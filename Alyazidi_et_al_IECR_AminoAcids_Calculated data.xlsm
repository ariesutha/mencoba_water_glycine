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tha\Downloads\"/>
    </mc:Choice>
  </mc:AlternateContent>
  <xr:revisionPtr revIDLastSave="0" documentId="13_ncr:1_{89D90B9C-8AE6-4AE6-864F-4270193D9994}" xr6:coauthVersionLast="47" xr6:coauthVersionMax="47" xr10:uidLastSave="{00000000-0000-0000-0000-000000000000}"/>
  <bookViews>
    <workbookView xWindow="9510" yWindow="0" windowWidth="9780" windowHeight="11370" firstSheet="1" activeTab="1" xr2:uid="{00000000-000D-0000-FFFF-FFFF00000000}"/>
  </bookViews>
  <sheets>
    <sheet name="Description of document" sheetId="1" r:id="rId1"/>
    <sheet name="Table 1" sheetId="2" r:id="rId2"/>
    <sheet name="Table 2" sheetId="3" r:id="rId3"/>
    <sheet name="Table 3" sheetId="4" r:id="rId4"/>
    <sheet name="Table 4" sheetId="5" r:id="rId5"/>
    <sheet name="Table 5" sheetId="6" r:id="rId6"/>
    <sheet name="Table 6" sheetId="7" r:id="rId7"/>
    <sheet name="Table 7" sheetId="8" r:id="rId8"/>
    <sheet name="Table 8" sheetId="9" r:id="rId9"/>
    <sheet name="Figure 4" sheetId="10" r:id="rId10"/>
    <sheet name="Figure 5" sheetId="11" r:id="rId11"/>
    <sheet name="Figure 6" sheetId="12" r:id="rId12"/>
    <sheet name="Figure 7" sheetId="13" r:id="rId13"/>
    <sheet name="Figure 8" sheetId="14" r:id="rId14"/>
    <sheet name="Figure 9" sheetId="15" r:id="rId15"/>
    <sheet name="Figure 10" sheetId="16" r:id="rId16"/>
    <sheet name="Figure 11" sheetId="17" r:id="rId17"/>
    <sheet name="Figure 12" sheetId="18" r:id="rId18"/>
    <sheet name="Figure 13" sheetId="19" r:id="rId19"/>
    <sheet name="Figure 14" sheetId="20" r:id="rId20"/>
    <sheet name="Figure 16" sheetId="21" r:id="rId21"/>
    <sheet name="Figure 17" sheetId="22" r:id="rId22"/>
    <sheet name="Figure 18" sheetId="23" r:id="rId23"/>
    <sheet name="Figure 19" sheetId="24" r:id="rId2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" i="4" l="1"/>
  <c r="P7" i="4"/>
  <c r="P8" i="4"/>
  <c r="P9" i="4"/>
  <c r="P10" i="4"/>
  <c r="P11" i="4"/>
  <c r="P12" i="4"/>
  <c r="P13" i="4"/>
  <c r="P14" i="4"/>
  <c r="R14" i="4" s="1"/>
  <c r="P15" i="4"/>
  <c r="P16" i="4"/>
  <c r="P17" i="4"/>
  <c r="P18" i="4"/>
  <c r="P19" i="4"/>
  <c r="P20" i="4"/>
  <c r="P21" i="4"/>
  <c r="R21" i="4" s="1"/>
  <c r="P22" i="4"/>
  <c r="P23" i="4"/>
  <c r="P24" i="4"/>
  <c r="P25" i="4"/>
  <c r="P26" i="4"/>
  <c r="P27" i="4"/>
  <c r="P28" i="4"/>
  <c r="P29" i="4"/>
  <c r="P30" i="4"/>
  <c r="R30" i="4" s="1"/>
  <c r="P31" i="4"/>
  <c r="R31" i="4" s="1"/>
  <c r="P32" i="4"/>
  <c r="R32" i="4" s="1"/>
  <c r="P33" i="4"/>
  <c r="R33" i="4" s="1"/>
  <c r="P34" i="4"/>
  <c r="R34" i="4" s="1"/>
  <c r="P35" i="4"/>
  <c r="R35" i="4" s="1"/>
  <c r="P36" i="4"/>
  <c r="R36" i="4" s="1"/>
  <c r="P37" i="4"/>
  <c r="R37" i="4" s="1"/>
  <c r="P38" i="4"/>
  <c r="P39" i="4"/>
  <c r="P40" i="4"/>
  <c r="P41" i="4"/>
  <c r="P42" i="4"/>
  <c r="P43" i="4"/>
  <c r="P44" i="4"/>
  <c r="R44" i="4" s="1"/>
  <c r="P45" i="4"/>
  <c r="P46" i="4"/>
  <c r="P47" i="4"/>
  <c r="R47" i="4" s="1"/>
  <c r="P48" i="4"/>
  <c r="R48" i="4" s="1"/>
  <c r="P49" i="4"/>
  <c r="R49" i="4" s="1"/>
  <c r="P50" i="4"/>
  <c r="R50" i="4" s="1"/>
  <c r="P51" i="4"/>
  <c r="R51" i="4" s="1"/>
  <c r="P52" i="4"/>
  <c r="R52" i="4" s="1"/>
  <c r="P53" i="4"/>
  <c r="R53" i="4" s="1"/>
  <c r="P54" i="4"/>
  <c r="P55" i="4"/>
  <c r="P56" i="4"/>
  <c r="P57" i="4"/>
  <c r="P58" i="4"/>
  <c r="P59" i="4"/>
  <c r="P60" i="4"/>
  <c r="R60" i="4" s="1"/>
  <c r="P5" i="4"/>
  <c r="R7" i="4"/>
  <c r="R13" i="4"/>
  <c r="R15" i="4"/>
  <c r="R16" i="4"/>
  <c r="R17" i="4"/>
  <c r="R18" i="4"/>
  <c r="R19" i="4"/>
  <c r="R20" i="4"/>
  <c r="R5" i="4"/>
  <c r="R4" i="4"/>
  <c r="R6" i="4"/>
  <c r="R8" i="4"/>
  <c r="R9" i="4"/>
  <c r="R10" i="4"/>
  <c r="R11" i="4"/>
  <c r="R12" i="4"/>
  <c r="R22" i="4"/>
  <c r="R23" i="4"/>
  <c r="R24" i="4"/>
  <c r="R25" i="4"/>
  <c r="R26" i="4"/>
  <c r="R27" i="4"/>
  <c r="R28" i="4"/>
  <c r="R29" i="4"/>
  <c r="R38" i="4"/>
  <c r="R39" i="4"/>
  <c r="R40" i="4"/>
  <c r="R41" i="4"/>
  <c r="R42" i="4"/>
  <c r="R43" i="4"/>
  <c r="R45" i="4"/>
  <c r="R46" i="4"/>
  <c r="R54" i="4"/>
  <c r="R55" i="4"/>
  <c r="R56" i="4"/>
  <c r="R57" i="4"/>
  <c r="R58" i="4"/>
  <c r="R59" i="4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5" i="3"/>
  <c r="P6" i="3"/>
  <c r="P7" i="3"/>
  <c r="P8" i="3"/>
  <c r="P9" i="3"/>
  <c r="P10" i="3"/>
  <c r="P11" i="3"/>
  <c r="P12" i="3"/>
  <c r="P13" i="3"/>
  <c r="P4" i="3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22" i="2"/>
  <c r="AY8" i="12"/>
  <c r="AY9" i="12"/>
  <c r="AY10" i="12"/>
  <c r="AY11" i="12"/>
  <c r="AY12" i="12"/>
  <c r="AY13" i="12"/>
  <c r="AY14" i="12"/>
  <c r="AY15" i="12"/>
  <c r="AY16" i="12"/>
  <c r="AY17" i="12"/>
  <c r="AY18" i="12"/>
  <c r="AY19" i="12"/>
  <c r="AY20" i="12"/>
  <c r="AY21" i="12"/>
  <c r="AY22" i="12"/>
  <c r="AY23" i="12"/>
  <c r="AY24" i="12"/>
  <c r="AY25" i="12"/>
  <c r="AY26" i="12"/>
  <c r="AY27" i="12"/>
  <c r="AY28" i="12"/>
  <c r="AY29" i="12"/>
  <c r="AY30" i="12"/>
  <c r="AY31" i="12"/>
  <c r="AY32" i="12"/>
  <c r="AY33" i="12"/>
  <c r="AY34" i="12"/>
  <c r="AY35" i="12"/>
  <c r="AY36" i="12"/>
  <c r="AY37" i="12"/>
  <c r="AY38" i="12"/>
  <c r="AY39" i="12"/>
  <c r="AY40" i="12"/>
  <c r="AY41" i="12"/>
  <c r="AY42" i="12"/>
  <c r="AY43" i="12"/>
  <c r="AY44" i="12"/>
  <c r="AY45" i="12"/>
  <c r="AY46" i="12"/>
  <c r="AY47" i="12"/>
  <c r="AY48" i="12"/>
  <c r="AY49" i="12"/>
  <c r="AY50" i="12"/>
  <c r="AY51" i="12"/>
  <c r="AY52" i="12"/>
  <c r="AY53" i="12"/>
  <c r="AY54" i="12"/>
  <c r="AY55" i="12"/>
  <c r="AY56" i="12"/>
  <c r="AY57" i="12"/>
  <c r="AY58" i="12"/>
  <c r="AY59" i="12"/>
  <c r="AY60" i="12"/>
  <c r="AY61" i="12"/>
  <c r="AY62" i="12"/>
  <c r="AY63" i="12"/>
  <c r="AY64" i="12"/>
  <c r="AY65" i="12"/>
  <c r="AY66" i="12"/>
  <c r="AY67" i="12"/>
  <c r="AY68" i="12"/>
  <c r="AY69" i="12"/>
  <c r="AY70" i="12"/>
  <c r="AY71" i="12"/>
  <c r="AY72" i="12"/>
  <c r="AY73" i="12"/>
  <c r="AY74" i="12"/>
  <c r="AY75" i="12"/>
  <c r="AY76" i="12"/>
  <c r="AY77" i="12"/>
  <c r="AY78" i="12"/>
  <c r="AY79" i="12"/>
  <c r="AY80" i="12"/>
  <c r="AY81" i="12"/>
  <c r="AY82" i="12"/>
  <c r="AY83" i="12"/>
  <c r="AY84" i="12"/>
  <c r="AY85" i="12"/>
  <c r="AY86" i="12"/>
  <c r="AY87" i="12"/>
  <c r="AY88" i="12"/>
  <c r="AY89" i="12"/>
  <c r="AY90" i="12"/>
  <c r="AY91" i="12"/>
  <c r="AY92" i="12"/>
  <c r="AY93" i="12"/>
  <c r="AY94" i="12"/>
  <c r="AY95" i="12"/>
  <c r="AY96" i="12"/>
  <c r="AY97" i="12"/>
  <c r="AY98" i="12"/>
  <c r="AY99" i="12"/>
  <c r="AY100" i="12"/>
  <c r="AY101" i="12"/>
  <c r="AY102" i="12"/>
  <c r="AY103" i="12"/>
  <c r="AY104" i="12"/>
  <c r="AY105" i="12"/>
  <c r="AY106" i="12"/>
  <c r="AY107" i="12"/>
  <c r="AY108" i="12"/>
  <c r="AY109" i="12"/>
  <c r="AY110" i="12"/>
  <c r="AY111" i="12"/>
  <c r="AY112" i="12"/>
  <c r="AY113" i="12"/>
  <c r="AY114" i="12"/>
  <c r="AY115" i="12"/>
  <c r="AY116" i="12"/>
  <c r="AY117" i="12"/>
  <c r="AY118" i="12"/>
  <c r="AY119" i="12"/>
  <c r="AY120" i="12"/>
  <c r="AY121" i="12"/>
  <c r="AY122" i="12"/>
  <c r="AY123" i="12"/>
  <c r="AY124" i="12"/>
  <c r="AY125" i="12"/>
  <c r="AY126" i="12"/>
  <c r="AY127" i="12"/>
  <c r="AY128" i="12"/>
  <c r="AY129" i="12"/>
  <c r="AY130" i="12"/>
  <c r="AY131" i="12"/>
  <c r="AY132" i="12"/>
  <c r="AY133" i="12"/>
  <c r="AY134" i="12"/>
  <c r="AY135" i="12"/>
  <c r="AY136" i="12"/>
  <c r="AY137" i="12"/>
  <c r="AY138" i="12"/>
  <c r="AY139" i="12"/>
  <c r="AY140" i="12"/>
  <c r="AY141" i="12"/>
  <c r="AY142" i="12"/>
  <c r="AY143" i="12"/>
  <c r="AY144" i="12"/>
  <c r="AY145" i="12"/>
  <c r="AY146" i="12"/>
  <c r="AY147" i="12"/>
  <c r="AY148" i="12"/>
  <c r="AY149" i="12"/>
  <c r="AY150" i="12"/>
  <c r="AY151" i="12"/>
  <c r="AY152" i="12"/>
  <c r="AY153" i="12"/>
  <c r="AY154" i="12"/>
  <c r="AY155" i="12"/>
  <c r="AY156" i="12"/>
  <c r="AY157" i="12"/>
  <c r="AY158" i="12"/>
  <c r="AY159" i="12"/>
  <c r="AY160" i="12"/>
  <c r="AY161" i="12"/>
  <c r="AY162" i="12"/>
  <c r="AY163" i="12"/>
  <c r="AY164" i="12"/>
  <c r="AY165" i="12"/>
  <c r="AY166" i="12"/>
  <c r="AY167" i="12"/>
  <c r="AY168" i="12"/>
  <c r="AY169" i="12"/>
  <c r="AY170" i="12"/>
  <c r="AY171" i="12"/>
  <c r="AY172" i="12"/>
  <c r="AY173" i="12"/>
  <c r="AY174" i="12"/>
  <c r="AY175" i="12"/>
  <c r="AY176" i="12"/>
  <c r="AY177" i="12"/>
  <c r="AY178" i="12"/>
  <c r="AY179" i="12"/>
  <c r="AY180" i="12"/>
  <c r="AY181" i="12"/>
  <c r="AY182" i="12"/>
  <c r="AY183" i="12"/>
  <c r="AY184" i="12"/>
  <c r="AY185" i="12"/>
  <c r="AY186" i="12"/>
  <c r="AY187" i="12"/>
  <c r="AY188" i="12"/>
  <c r="AY189" i="12"/>
  <c r="AY190" i="12"/>
  <c r="AY191" i="12"/>
  <c r="AY192" i="12"/>
  <c r="AY193" i="12"/>
  <c r="AY194" i="12"/>
  <c r="AY195" i="12"/>
  <c r="AY196" i="12"/>
  <c r="AY197" i="12"/>
  <c r="AY198" i="12"/>
  <c r="AY199" i="12"/>
  <c r="AY200" i="12"/>
  <c r="AY201" i="12"/>
  <c r="AY202" i="12"/>
  <c r="AY203" i="12"/>
  <c r="AY204" i="12"/>
  <c r="AY205" i="12"/>
  <c r="AY206" i="12"/>
  <c r="AY207" i="12"/>
  <c r="AY208" i="12"/>
  <c r="AY209" i="12"/>
  <c r="AY210" i="12"/>
  <c r="AY211" i="12"/>
  <c r="AY212" i="12"/>
  <c r="AY213" i="12"/>
  <c r="AY214" i="12"/>
  <c r="AY215" i="12"/>
  <c r="AY216" i="12"/>
  <c r="AY217" i="12"/>
  <c r="AY218" i="12"/>
  <c r="AY219" i="12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X51" i="11"/>
  <c r="X52" i="11"/>
  <c r="X53" i="11"/>
  <c r="X54" i="11"/>
  <c r="X55" i="11"/>
  <c r="X56" i="11"/>
  <c r="X57" i="11"/>
  <c r="X58" i="11"/>
  <c r="X59" i="11"/>
  <c r="X60" i="11"/>
  <c r="X61" i="11"/>
  <c r="X62" i="11"/>
  <c r="X63" i="11"/>
  <c r="X64" i="11"/>
  <c r="X65" i="11"/>
  <c r="X66" i="11"/>
  <c r="X67" i="11"/>
  <c r="X68" i="11"/>
  <c r="X69" i="11"/>
  <c r="X70" i="11"/>
  <c r="X71" i="11"/>
  <c r="X72" i="11"/>
  <c r="X73" i="11"/>
  <c r="X74" i="11"/>
  <c r="X75" i="11"/>
  <c r="X76" i="11"/>
  <c r="X77" i="11"/>
  <c r="X78" i="11"/>
  <c r="X79" i="11"/>
  <c r="X80" i="11"/>
  <c r="X81" i="11"/>
  <c r="X82" i="11"/>
  <c r="X83" i="11"/>
  <c r="X84" i="11"/>
  <c r="X85" i="11"/>
  <c r="X86" i="11"/>
  <c r="X87" i="11"/>
  <c r="X88" i="11"/>
  <c r="X89" i="11"/>
  <c r="X90" i="11"/>
  <c r="X91" i="11"/>
  <c r="X92" i="11"/>
  <c r="X93" i="11"/>
  <c r="X94" i="11"/>
  <c r="X95" i="11"/>
  <c r="X96" i="11"/>
  <c r="X97" i="11"/>
  <c r="X98" i="11"/>
  <c r="X99" i="11"/>
  <c r="X100" i="11"/>
  <c r="X101" i="11"/>
  <c r="X102" i="11"/>
  <c r="X103" i="11"/>
  <c r="X104" i="11"/>
  <c r="X105" i="11"/>
  <c r="X106" i="11"/>
  <c r="X107" i="11"/>
  <c r="X108" i="11"/>
  <c r="X109" i="11"/>
  <c r="X110" i="11"/>
  <c r="X111" i="11"/>
  <c r="X112" i="11"/>
  <c r="X113" i="11"/>
  <c r="X114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U97" i="11"/>
  <c r="U98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5" i="11"/>
  <c r="U116" i="11"/>
  <c r="U117" i="11"/>
  <c r="U118" i="11"/>
  <c r="U119" i="11"/>
  <c r="U120" i="11"/>
  <c r="U121" i="11"/>
  <c r="U122" i="11"/>
  <c r="U123" i="11"/>
  <c r="U124" i="11"/>
  <c r="U125" i="11"/>
  <c r="U126" i="11"/>
  <c r="U127" i="11"/>
  <c r="U128" i="11"/>
  <c r="U129" i="11"/>
  <c r="U130" i="11"/>
  <c r="U131" i="11"/>
  <c r="U132" i="11"/>
  <c r="U133" i="11"/>
  <c r="U134" i="11"/>
  <c r="U135" i="11"/>
  <c r="U136" i="11"/>
  <c r="U137" i="11"/>
  <c r="U138" i="11"/>
  <c r="U139" i="11"/>
  <c r="U140" i="11"/>
  <c r="U141" i="11"/>
  <c r="U142" i="11"/>
  <c r="U143" i="11"/>
  <c r="U144" i="11"/>
  <c r="U145" i="11"/>
  <c r="U146" i="11"/>
  <c r="U147" i="11"/>
  <c r="U148" i="11"/>
  <c r="U149" i="11"/>
  <c r="U150" i="11"/>
  <c r="U151" i="11"/>
  <c r="U152" i="11"/>
  <c r="U153" i="11"/>
  <c r="U154" i="11"/>
  <c r="U155" i="11"/>
  <c r="U156" i="11"/>
  <c r="U157" i="11"/>
  <c r="U158" i="11"/>
  <c r="U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5" i="11"/>
  <c r="R96" i="11"/>
  <c r="R97" i="11"/>
  <c r="R98" i="11"/>
  <c r="R99" i="11"/>
  <c r="R100" i="11"/>
  <c r="R101" i="11"/>
  <c r="R102" i="11"/>
  <c r="R103" i="11"/>
  <c r="R104" i="11"/>
  <c r="R105" i="11"/>
  <c r="R106" i="11"/>
  <c r="R107" i="11"/>
  <c r="R108" i="11"/>
  <c r="R109" i="11"/>
  <c r="R110" i="11"/>
  <c r="R111" i="11"/>
  <c r="R112" i="11"/>
  <c r="R113" i="11"/>
  <c r="R114" i="11"/>
  <c r="R115" i="11"/>
  <c r="R116" i="11"/>
  <c r="R117" i="11"/>
  <c r="R118" i="11"/>
  <c r="R119" i="11"/>
  <c r="R120" i="11"/>
  <c r="R121" i="11"/>
  <c r="R122" i="11"/>
  <c r="R123" i="11"/>
  <c r="R124" i="11"/>
  <c r="R125" i="11"/>
  <c r="R126" i="11"/>
  <c r="R127" i="11"/>
  <c r="R128" i="11"/>
  <c r="R129" i="11"/>
  <c r="R130" i="11"/>
  <c r="R131" i="11"/>
  <c r="R132" i="11"/>
  <c r="R133" i="11"/>
  <c r="R134" i="11"/>
  <c r="R135" i="11"/>
  <c r="R136" i="11"/>
  <c r="R137" i="11"/>
  <c r="R138" i="11"/>
  <c r="R139" i="11"/>
  <c r="R140" i="11"/>
  <c r="R141" i="11"/>
  <c r="R142" i="11"/>
  <c r="R143" i="11"/>
  <c r="R144" i="11"/>
  <c r="R145" i="11"/>
  <c r="R146" i="11"/>
  <c r="R147" i="11"/>
  <c r="R148" i="11"/>
  <c r="R149" i="11"/>
  <c r="R150" i="11"/>
  <c r="R151" i="11"/>
  <c r="R152" i="11"/>
  <c r="R153" i="11"/>
  <c r="R154" i="11"/>
  <c r="R155" i="11"/>
  <c r="R156" i="11"/>
  <c r="R157" i="11"/>
  <c r="R158" i="11"/>
  <c r="R159" i="11"/>
  <c r="R160" i="11"/>
  <c r="R161" i="11"/>
  <c r="R162" i="11"/>
  <c r="R163" i="11"/>
  <c r="R164" i="11"/>
  <c r="R165" i="11"/>
  <c r="R166" i="11"/>
  <c r="R167" i="11"/>
  <c r="R168" i="11"/>
  <c r="R169" i="11"/>
  <c r="R170" i="11"/>
  <c r="R171" i="11"/>
  <c r="R172" i="11"/>
  <c r="R173" i="11"/>
  <c r="R174" i="11"/>
  <c r="R175" i="11"/>
  <c r="R176" i="11"/>
  <c r="R177" i="11"/>
  <c r="R178" i="11"/>
  <c r="R179" i="11"/>
  <c r="R180" i="11"/>
  <c r="R181" i="11"/>
  <c r="R182" i="11"/>
  <c r="R183" i="11"/>
  <c r="R184" i="11"/>
  <c r="R185" i="11"/>
  <c r="R186" i="11"/>
  <c r="R187" i="11"/>
  <c r="R188" i="11"/>
  <c r="R189" i="11"/>
  <c r="R190" i="11"/>
  <c r="R191" i="11"/>
  <c r="R192" i="11"/>
  <c r="R193" i="11"/>
  <c r="R194" i="11"/>
  <c r="R195" i="11"/>
  <c r="R196" i="11"/>
  <c r="R197" i="11"/>
  <c r="R198" i="11"/>
  <c r="R199" i="11"/>
  <c r="R200" i="11"/>
  <c r="R201" i="11"/>
  <c r="R202" i="11"/>
  <c r="R203" i="11"/>
  <c r="R204" i="11"/>
  <c r="R205" i="11"/>
  <c r="R206" i="11"/>
  <c r="R207" i="11"/>
  <c r="R208" i="11"/>
  <c r="R9" i="11"/>
  <c r="E6" i="9"/>
  <c r="E5" i="9"/>
  <c r="C6" i="9"/>
  <c r="C5" i="9"/>
</calcChain>
</file>

<file path=xl/sharedStrings.xml><?xml version="1.0" encoding="utf-8"?>
<sst xmlns="http://schemas.openxmlformats.org/spreadsheetml/2006/main" count="3028" uniqueCount="929">
  <si>
    <t>Supporting document containing datapoints and auxiliary data for the paper:</t>
  </si>
  <si>
    <r>
      <t>On predicting the solubility of amino acids and peptides with the SAFT-</t>
    </r>
    <r>
      <rPr>
        <b/>
        <sz val="11"/>
        <color theme="1"/>
        <rFont val="Arial"/>
        <family val="2"/>
      </rPr>
      <t>γ</t>
    </r>
    <r>
      <rPr>
        <b/>
        <sz val="11"/>
        <color theme="1"/>
        <rFont val="Calibri"/>
        <family val="2"/>
      </rPr>
      <t xml:space="preserve"> Mie approach: neutral and charged models</t>
    </r>
  </si>
  <si>
    <t>Alyazidi, Ahmed; Paliwal, Shubhani; Perdomo-Hurtado, Felipe; Mead, Amy; Guo, Mingxia; Jerry, Heng; Bernet, Thomas; Haslam, Andrew; Adjiman, Claire; Jackson, George; and Galindo, Amparo</t>
  </si>
  <si>
    <t>if there are any comments or general enquiries, please contact a.galindo@imperial.ac.uk</t>
  </si>
  <si>
    <t>Worksheet</t>
  </si>
  <si>
    <t>Description of contents</t>
  </si>
  <si>
    <t>Table 1</t>
  </si>
  <si>
    <t>Table 2</t>
  </si>
  <si>
    <t>Table 1: SAFT-γ Mie like interaction parameters of the groups considered in our current work (excluding association). The attractive range of the Mie potential is λ^{a}_kk = 6 for all groups here. The asterisk indicates that the CONH group has been characterized in the current work.</t>
  </si>
  <si>
    <t>Group k</t>
  </si>
  <si>
    <t>group k</t>
  </si>
  <si>
    <t>Ref.</t>
  </si>
  <si>
    <t xml:space="preserve"> ---</t>
  </si>
  <si>
    <t>H2O</t>
  </si>
  <si>
    <t>COOH</t>
  </si>
  <si>
    <t>NH2</t>
  </si>
  <si>
    <t>CH3</t>
  </si>
  <si>
    <t>CH2</t>
  </si>
  <si>
    <t>CH</t>
  </si>
  <si>
    <t>CH2OH</t>
  </si>
  <si>
    <t>CHOH</t>
  </si>
  <si>
    <t>CONH</t>
  </si>
  <si>
    <t>COO-</t>
  </si>
  <si>
    <t>NH3+</t>
  </si>
  <si>
    <t>H3O+</t>
  </si>
  <si>
    <t>OH-</t>
  </si>
  <si>
    <t>Na+</t>
  </si>
  <si>
    <t>Cl-</t>
  </si>
  <si>
    <t>Dufal-MolPhys-2015, Jackson-MolPhys-2018</t>
  </si>
  <si>
    <t>Dufal-JChemEngData-2014</t>
  </si>
  <si>
    <t>Perdomo-AIChE-2021</t>
  </si>
  <si>
    <t>Papaioannou-JChemPhys-2014</t>
  </si>
  <si>
    <t>Hutacharoen-PhDThesis-2017</t>
  </si>
  <si>
    <t>Haslam-JChemEngData-2020</t>
  </si>
  <si>
    <t>*</t>
  </si>
  <si>
    <t>DiLecce-RSCAdv-2020</t>
  </si>
  <si>
    <t>Wehbe-FPE-2022</t>
  </si>
  <si>
    <t>Eriksen-MolPhys-2016</t>
  </si>
  <si>
    <t>Table 2: Unlike group parameters (excluding association) for use with the SAFT-γ Mie approach. An asterisk indicates that the parameters have been characterised in the current work. CR indicates that combining rules are used.</t>
  </si>
  <si>
    <t>Group l</t>
  </si>
  <si>
    <t>CR</t>
  </si>
  <si>
    <t>--</t>
  </si>
  <si>
    <t>Hutacharoen-IndEngChemRes-2017</t>
  </si>
  <si>
    <t>DiLecce-RSCAdv-2019, DiLecce-RSCAdv-2020</t>
  </si>
  <si>
    <t>Nur_Jazlan-PhDThesis-2020</t>
  </si>
  <si>
    <t>Perdomo-FPE-2023</t>
  </si>
  <si>
    <t>SAFT-gamma Mie unlike group parameters (excluding association).</t>
  </si>
  <si>
    <t>SAFT-gamma Mie group parameters of the groups considered in our current work.</t>
  </si>
  <si>
    <t>Table 3</t>
  </si>
  <si>
    <t>SAFT-gamma Mie group association parameters.</t>
  </si>
  <si>
    <t>Table 3: Group association parameters for use with the SAFT-γ Mie approach. An asterisk indicates that the parameters have been characterized in the current work.</t>
  </si>
  <si>
    <t>site a on k</t>
  </si>
  <si>
    <t>group l</t>
  </si>
  <si>
    <t>site b on l</t>
  </si>
  <si>
    <t>(εkl,abHB/kB)/K</t>
  </si>
  <si>
    <t>Kkl,ab/A3</t>
  </si>
  <si>
    <t>reference</t>
  </si>
  <si>
    <t>H</t>
  </si>
  <si>
    <t>e1</t>
  </si>
  <si>
    <t>e2</t>
  </si>
  <si>
    <r>
      <t>λ</t>
    </r>
    <r>
      <rPr>
        <b/>
        <vertAlign val="subscript"/>
        <sz val="11"/>
        <color theme="1"/>
        <rFont val="Calibri"/>
        <family val="2"/>
        <scheme val="minor"/>
      </rPr>
      <t>kl</t>
    </r>
    <r>
      <rPr>
        <b/>
        <vertAlign val="superscript"/>
        <sz val="11"/>
        <color theme="1"/>
        <rFont val="Calibri"/>
        <family val="2"/>
        <scheme val="minor"/>
      </rPr>
      <t>r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</si>
  <si>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k</t>
    </r>
  </si>
  <si>
    <r>
      <t>σ</t>
    </r>
    <r>
      <rPr>
        <b/>
        <vertAlign val="subscript"/>
        <sz val="11"/>
        <color theme="1"/>
        <rFont val="Calibri"/>
        <family val="2"/>
        <scheme val="minor"/>
      </rPr>
      <t>kk</t>
    </r>
    <r>
      <rPr>
        <b/>
        <sz val="11"/>
        <color theme="1"/>
        <rFont val="Calibri"/>
        <family val="2"/>
        <scheme val="minor"/>
      </rPr>
      <t xml:space="preserve"> / Å</t>
    </r>
  </si>
  <si>
    <r>
      <t>σ</t>
    </r>
    <r>
      <rPr>
        <b/>
        <vertAlign val="subscript"/>
        <sz val="11"/>
        <color theme="1"/>
        <rFont val="Calibri"/>
        <family val="2"/>
        <scheme val="minor"/>
      </rPr>
      <t>kk</t>
    </r>
    <r>
      <rPr>
        <b/>
        <vertAlign val="superscript"/>
        <sz val="11"/>
        <color theme="1"/>
        <rFont val="Calibri"/>
        <family val="2"/>
        <scheme val="minor"/>
      </rPr>
      <t>Born</t>
    </r>
    <r>
      <rPr>
        <b/>
        <sz val="11"/>
        <color theme="1"/>
        <rFont val="Calibri"/>
        <family val="2"/>
        <scheme val="minor"/>
      </rPr>
      <t xml:space="preserve"> / Å</t>
    </r>
  </si>
  <si>
    <r>
      <t>λ</t>
    </r>
    <r>
      <rPr>
        <b/>
        <vertAlign val="subscript"/>
        <sz val="11"/>
        <color theme="1"/>
        <rFont val="Calibri"/>
        <family val="2"/>
        <scheme val="minor"/>
      </rPr>
      <t>kk</t>
    </r>
    <r>
      <rPr>
        <b/>
        <vertAlign val="superscript"/>
        <sz val="11"/>
        <color theme="1"/>
        <rFont val="Calibri"/>
        <family val="2"/>
        <scheme val="minor"/>
      </rPr>
      <t>r</t>
    </r>
  </si>
  <si>
    <r>
      <t>(ε</t>
    </r>
    <r>
      <rPr>
        <b/>
        <vertAlign val="subscript"/>
        <sz val="11"/>
        <color theme="1"/>
        <rFont val="Calibri"/>
        <family val="2"/>
        <scheme val="minor"/>
      </rPr>
      <t xml:space="preserve">kk </t>
    </r>
    <r>
      <rPr>
        <b/>
        <sz val="11"/>
        <color theme="1"/>
        <rFont val="Calibri"/>
        <family val="2"/>
        <scheme val="minor"/>
      </rPr>
      <t>/k</t>
    </r>
    <r>
      <rPr>
        <b/>
        <vertAlign val="subscript"/>
        <sz val="11"/>
        <color theme="1"/>
        <rFont val="Calibri"/>
        <family val="2"/>
        <scheme val="minor"/>
      </rPr>
      <t>B</t>
    </r>
    <r>
      <rPr>
        <b/>
        <sz val="11"/>
        <color theme="1"/>
        <rFont val="Calibri"/>
        <family val="2"/>
        <scheme val="minor"/>
      </rPr>
      <t>) / K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</si>
  <si>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ST,k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</si>
  <si>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k,H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</si>
  <si>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k,e1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</si>
  <si>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k,e2</t>
    </r>
  </si>
  <si>
    <r>
      <t>ν</t>
    </r>
    <r>
      <rPr>
        <b/>
        <vertAlign val="superscript"/>
        <sz val="11"/>
        <color theme="1"/>
        <rFont val="Calibri"/>
        <family val="2"/>
        <scheme val="minor"/>
      </rPr>
      <t>*</t>
    </r>
    <r>
      <rPr>
        <b/>
        <vertAlign val="subscript"/>
        <sz val="11"/>
        <color theme="1"/>
        <rFont val="Calibri"/>
        <family val="2"/>
        <scheme val="minor"/>
      </rPr>
      <t>k</t>
    </r>
  </si>
  <si>
    <r>
      <t>(ε</t>
    </r>
    <r>
      <rPr>
        <b/>
        <vertAlign val="subscript"/>
        <sz val="11"/>
        <color theme="1"/>
        <rFont val="Calibri"/>
        <family val="2"/>
        <scheme val="minor"/>
      </rPr>
      <t xml:space="preserve">kl </t>
    </r>
    <r>
      <rPr>
        <b/>
        <sz val="11"/>
        <color theme="1"/>
        <rFont val="Calibri"/>
        <family val="2"/>
        <scheme val="minor"/>
      </rPr>
      <t>/k</t>
    </r>
    <r>
      <rPr>
        <b/>
        <vertAlign val="subscript"/>
        <sz val="11"/>
        <color theme="1"/>
        <rFont val="Calibri"/>
        <family val="2"/>
        <scheme val="minor"/>
      </rPr>
      <t>B</t>
    </r>
    <r>
      <rPr>
        <b/>
        <sz val="11"/>
        <color theme="1"/>
        <rFont val="Calibri"/>
        <family val="2"/>
        <scheme val="minor"/>
      </rPr>
      <t>)/K</t>
    </r>
  </si>
  <si>
    <t>Wehbe-FPE-2022, this work</t>
  </si>
  <si>
    <t>Table 4</t>
  </si>
  <si>
    <r>
      <t>Table 4: Overview of the accuracy of SAFT-γ Mie, represented in %AAD and AAD, in the calculation of vapour pressure (P</t>
    </r>
    <r>
      <rPr>
        <b/>
        <vertAlign val="superscript"/>
        <sz val="11"/>
        <color theme="1"/>
        <rFont val="Calibri"/>
        <family val="2"/>
        <scheme val="minor"/>
      </rPr>
      <t>sat</t>
    </r>
    <r>
      <rPr>
        <b/>
        <sz val="11"/>
        <color theme="1"/>
        <rFont val="Calibri"/>
        <family val="2"/>
        <scheme val="minor"/>
      </rPr>
      <t>), liquid pure-component and mixture densities (ρ), bubble temperature (T</t>
    </r>
    <r>
      <rPr>
        <b/>
        <vertAlign val="subscript"/>
        <sz val="11"/>
        <color theme="1"/>
        <rFont val="Calibri"/>
        <family val="2"/>
        <scheme val="minor"/>
      </rPr>
      <t>bub</t>
    </r>
    <r>
      <rPr>
        <b/>
        <sz val="11"/>
        <color theme="1"/>
        <rFont val="Calibri"/>
        <family val="2"/>
        <scheme val="minor"/>
      </rPr>
      <t>), dew temperature (T</t>
    </r>
    <r>
      <rPr>
        <b/>
        <vertAlign val="subscript"/>
        <sz val="11"/>
        <color theme="1"/>
        <rFont val="Calibri"/>
        <family val="2"/>
        <scheme val="minor"/>
      </rPr>
      <t>dew</t>
    </r>
    <r>
      <rPr>
        <b/>
        <sz val="11"/>
        <color theme="1"/>
        <rFont val="Calibri"/>
        <family val="2"/>
        <scheme val="minor"/>
      </rPr>
      <t>), bubble pressure (P</t>
    </r>
    <r>
      <rPr>
        <b/>
        <vertAlign val="subscript"/>
        <sz val="11"/>
        <color theme="1"/>
        <rFont val="Calibri"/>
        <family val="2"/>
        <scheme val="minor"/>
      </rPr>
      <t>bub</t>
    </r>
    <r>
      <rPr>
        <b/>
        <sz val="11"/>
        <color theme="1"/>
        <rFont val="Calibri"/>
        <family val="2"/>
        <scheme val="minor"/>
      </rPr>
      <t>), dew pressure (P</t>
    </r>
    <r>
      <rPr>
        <b/>
        <vertAlign val="subscript"/>
        <sz val="11"/>
        <color theme="1"/>
        <rFont val="Calibri"/>
        <family val="2"/>
        <scheme val="minor"/>
      </rPr>
      <t>dew</t>
    </r>
    <r>
      <rPr>
        <b/>
        <sz val="11"/>
        <color theme="1"/>
        <rFont val="Calibri"/>
        <family val="2"/>
        <scheme val="minor"/>
      </rPr>
      <t>), LLE temperature (T</t>
    </r>
    <r>
      <rPr>
        <b/>
        <vertAlign val="subscript"/>
        <sz val="11"/>
        <color theme="1"/>
        <rFont val="Calibri"/>
        <family val="2"/>
        <scheme val="minor"/>
      </rPr>
      <t>LLE</t>
    </r>
    <r>
      <rPr>
        <b/>
        <sz val="11"/>
        <color theme="1"/>
        <rFont val="Calibri"/>
        <family val="2"/>
        <scheme val="minor"/>
      </rPr>
      <t>), and excess enthalpy (H</t>
    </r>
    <r>
      <rPr>
        <b/>
        <vertAlign val="superscript"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>). N</t>
    </r>
    <r>
      <rPr>
        <b/>
        <vertAlign val="subscript"/>
        <sz val="11"/>
        <color theme="1"/>
        <rFont val="Calibri"/>
        <family val="2"/>
        <scheme val="minor"/>
      </rPr>
      <t>D</t>
    </r>
    <r>
      <rPr>
        <b/>
        <sz val="11"/>
        <color theme="1"/>
        <rFont val="Calibri"/>
        <family val="2"/>
        <scheme val="minor"/>
      </rPr>
      <t xml:space="preserve"> is the number of experimental data points used to evaluate the accuracy of the model.</t>
    </r>
  </si>
  <si>
    <t>System</t>
  </si>
  <si>
    <t>T range</t>
  </si>
  <si>
    <t>P range (kPa)</t>
  </si>
  <si>
    <t>x2 range</t>
  </si>
  <si>
    <t># of data points</t>
  </si>
  <si>
    <t>%AAD</t>
  </si>
  <si>
    <t>AAD (kPa)</t>
  </si>
  <si>
    <t>Figures</t>
  </si>
  <si>
    <t>2-propanamine</t>
  </si>
  <si>
    <t>2-butanamine</t>
  </si>
  <si>
    <t>2-methyl-1-propanamine</t>
  </si>
  <si>
    <t>n-ethylacetamide</t>
  </si>
  <si>
    <t>n-propylacetamide</t>
  </si>
  <si>
    <t>n-butylacetamide</t>
  </si>
  <si>
    <t>n-pentylacetamide</t>
  </si>
  <si>
    <t>n-methylpropanamide</t>
  </si>
  <si>
    <t>n-methylhexanamide</t>
  </si>
  <si>
    <t>n-butylpropanamide</t>
  </si>
  <si>
    <t>AAD (kg/m3)</t>
  </si>
  <si>
    <t>n-methylbutanamide</t>
  </si>
  <si>
    <t>water + n-methylacetamide</t>
  </si>
  <si>
    <t xml:space="preserve">water + n-ethylacetamide </t>
  </si>
  <si>
    <t>water + n-methylpropanamide</t>
  </si>
  <si>
    <t>water + methyl urea</t>
  </si>
  <si>
    <t>water + ethyl urea</t>
  </si>
  <si>
    <t>water + butyl urea</t>
  </si>
  <si>
    <t>AAD (K)</t>
  </si>
  <si>
    <t>2-propanol + propanoic acid</t>
  </si>
  <si>
    <t>acetic acid + n-methylacetamide</t>
  </si>
  <si>
    <t>water + glycine</t>
  </si>
  <si>
    <t>2-butanol + 1-butanamine</t>
  </si>
  <si>
    <t>2-propanol + butanoic acid</t>
  </si>
  <si>
    <t>ethane + 2-propanamine</t>
  </si>
  <si>
    <t>hexane + 2-propanamine</t>
  </si>
  <si>
    <t>n-octane + n-methylacetamide</t>
  </si>
  <si>
    <t>n-decane + n-methylacetamide</t>
  </si>
  <si>
    <t>n-decane + n-ethylacetamide</t>
  </si>
  <si>
    <t>n-octane + n-methylpropanamide</t>
  </si>
  <si>
    <t>AAD (J/mol)</t>
  </si>
  <si>
    <t>2-propanol + 2-propanamine</t>
  </si>
  <si>
    <t>2-propanol + 1-butanamine</t>
  </si>
  <si>
    <t>2-propanol + 2-butanamine</t>
  </si>
  <si>
    <t>n-hexane + 2-butanamine</t>
  </si>
  <si>
    <t>n-heptane + 2-butanamine</t>
  </si>
  <si>
    <t>water + n-ethylacetamide</t>
  </si>
  <si>
    <t>1-hexanamine + n-methylacetamide</t>
  </si>
  <si>
    <t>propanpoic acid + n-methylacetamide</t>
  </si>
  <si>
    <t>AAD</t>
  </si>
  <si>
    <t>2-propanol + octanoic acid</t>
  </si>
  <si>
    <t>2-propanol + nonanoic acid</t>
  </si>
  <si>
    <t>2-propanol + decanoic acid</t>
  </si>
  <si>
    <t>2-propanol + undecanoic acid</t>
  </si>
  <si>
    <t>2-propanol + dodecanoic acid</t>
  </si>
  <si>
    <t>2-propanol + tridecanoic acid</t>
  </si>
  <si>
    <t>2-propanol + tetradecanoic acid</t>
  </si>
  <si>
    <t>2-propanol + pentadecanoic acid</t>
  </si>
  <si>
    <t>2-propanol + hexadecanoic acid</t>
  </si>
  <si>
    <t>2-propanol + heptadecanoic acid</t>
  </si>
  <si>
    <t>2-propanol + octadecanoic acid</t>
  </si>
  <si>
    <t xml:space="preserve">water  + 3-aminopropanoic acid </t>
  </si>
  <si>
    <t xml:space="preserve">water  + 4-aminobutanoic acid </t>
  </si>
  <si>
    <t xml:space="preserve">water  + 5-aminopentanoic acid </t>
  </si>
  <si>
    <t xml:space="preserve">water  + 6-aminohexanoic acid </t>
  </si>
  <si>
    <t xml:space="preserve">2-propanol  + 1-propanamine </t>
  </si>
  <si>
    <t xml:space="preserve">2-butanol  + 1-propanamine </t>
  </si>
  <si>
    <t xml:space="preserve">2-butanol  + 1-butanamine </t>
  </si>
  <si>
    <t xml:space="preserve">2-hexanol  + 1-butanamine </t>
  </si>
  <si>
    <t xml:space="preserve">3-hexanol  + 1-butanamine </t>
  </si>
  <si>
    <t xml:space="preserve">2-butanol  + propanoic acid </t>
  </si>
  <si>
    <t>System (1+2)</t>
  </si>
  <si>
    <t>system (1+2)</t>
  </si>
  <si>
    <t>213 – 373</t>
  </si>
  <si>
    <t>274 – 363</t>
  </si>
  <si>
    <t>236 – 374</t>
  </si>
  <si>
    <t>279 – 423</t>
  </si>
  <si>
    <t>297 – 453</t>
  </si>
  <si>
    <t>355 – 502</t>
  </si>
  <si>
    <t>374 – 384</t>
  </si>
  <si>
    <t>303 – 685</t>
  </si>
  <si>
    <t>372 – 472</t>
  </si>
  <si>
    <t>351 – 454</t>
  </si>
  <si>
    <t>213 – 298</t>
  </si>
  <si>
    <t>288 – 323</t>
  </si>
  <si>
    <t>278 – 318</t>
  </si>
  <si>
    <t>288 – 363</t>
  </si>
  <si>
    <t>298 – 333</t>
  </si>
  <si>
    <t>293 – 308</t>
  </si>
  <si>
    <t>0.0002 – 0.002</t>
  </si>
  <si>
    <t>298 – 328</t>
  </si>
  <si>
    <t>0.00 – 1.00</t>
  </si>
  <si>
    <t>298 – 313</t>
  </si>
  <si>
    <t>0.05 – 0.95</t>
  </si>
  <si>
    <t>303 – 323</t>
  </si>
  <si>
    <t>293 – 333</t>
  </si>
  <si>
    <t>298 – 323</t>
  </si>
  <si>
    <t xml:space="preserve">0.00 – 1.00 </t>
  </si>
  <si>
    <t>293 – 313</t>
  </si>
  <si>
    <t>274 – 333</t>
  </si>
  <si>
    <t>0.00 – 0.12</t>
  </si>
  <si>
    <t>0.00 – 0.13</t>
  </si>
  <si>
    <t>288 – 308</t>
  </si>
  <si>
    <t>0.00 – 0.005</t>
  </si>
  <si>
    <t>358 – 413</t>
  </si>
  <si>
    <t>373 – 478</t>
  </si>
  <si>
    <t>391 – 478</t>
  </si>
  <si>
    <t>373 – 473</t>
  </si>
  <si>
    <t>3.0 – 3.2</t>
  </si>
  <si>
    <t>0.00 – 0.06</t>
  </si>
  <si>
    <t>14 – 46</t>
  </si>
  <si>
    <t>333 – 373</t>
  </si>
  <si>
    <t>1 – 194</t>
  </si>
  <si>
    <t>279 – 372</t>
  </si>
  <si>
    <t>676 – 6850</t>
  </si>
  <si>
    <t>0.04 – 0.85</t>
  </si>
  <si>
    <t>283 – 333</t>
  </si>
  <si>
    <t>10 – 262</t>
  </si>
  <si>
    <t>0.00 –1.00</t>
  </si>
  <si>
    <t>363 – 398</t>
  </si>
  <si>
    <t>2 – 98</t>
  </si>
  <si>
    <t>12 – 50</t>
  </si>
  <si>
    <t>363 – 383</t>
  </si>
  <si>
    <t>1 – 17</t>
  </si>
  <si>
    <t>1 – 64</t>
  </si>
  <si>
    <t>313 – 413</t>
  </si>
  <si>
    <t>0.05 – 313</t>
  </si>
  <si>
    <t>279 – 369</t>
  </si>
  <si>
    <t>208 – 4860</t>
  </si>
  <si>
    <t>0.04 – 0.82</t>
  </si>
  <si>
    <t>313 – 373</t>
  </si>
  <si>
    <t>0.05 – 69</t>
  </si>
  <si>
    <t>310 – 361</t>
  </si>
  <si>
    <t>0.04 – 0.70</t>
  </si>
  <si>
    <t>0.10 – 0.90</t>
  </si>
  <si>
    <t>0.00 – 0.90</t>
  </si>
  <si>
    <t>0.01 – 0.99</t>
  </si>
  <si>
    <t>0.1 – 0.95</t>
  </si>
  <si>
    <t>0.06 – 0.89</t>
  </si>
  <si>
    <t>323 – 398</t>
  </si>
  <si>
    <t>0.01 – 0.95</t>
  </si>
  <si>
    <t>0.02 – 0.98</t>
  </si>
  <si>
    <t>0.03 – 0.98</t>
  </si>
  <si>
    <t>0.03 – 0.96</t>
  </si>
  <si>
    <t>272 – 283</t>
  </si>
  <si>
    <t>0.50 – 0.80</t>
  </si>
  <si>
    <t>273 – 283</t>
  </si>
  <si>
    <t>0.60 – 0.90</t>
  </si>
  <si>
    <t>273 – 303</t>
  </si>
  <si>
    <t>0.20 – 0.95</t>
  </si>
  <si>
    <t>273 – 293</t>
  </si>
  <si>
    <t>0.20 – 0.60</t>
  </si>
  <si>
    <t>273 – 318</t>
  </si>
  <si>
    <t>0.05 – 1.00</t>
  </si>
  <si>
    <t>273 – 313</t>
  </si>
  <si>
    <t>273 – 323</t>
  </si>
  <si>
    <t>0.00 – 0.80</t>
  </si>
  <si>
    <t>0.02 – 0.80</t>
  </si>
  <si>
    <t>273 – 336</t>
  </si>
  <si>
    <t>273 – 333</t>
  </si>
  <si>
    <t>0.00 – 0.94</t>
  </si>
  <si>
    <t>283 – 344</t>
  </si>
  <si>
    <t>–</t>
  </si>
  <si>
    <t>5(a)</t>
  </si>
  <si>
    <t>6(a)</t>
  </si>
  <si>
    <t>8(a)</t>
  </si>
  <si>
    <t>7(a)</t>
  </si>
  <si>
    <t>4(a)</t>
  </si>
  <si>
    <t>5(b)</t>
  </si>
  <si>
    <t>6(b)</t>
  </si>
  <si>
    <t>4(c)</t>
  </si>
  <si>
    <t>5(c)</t>
  </si>
  <si>
    <t>8(c)</t>
  </si>
  <si>
    <t>7(c)</t>
  </si>
  <si>
    <t>9(b)</t>
  </si>
  <si>
    <t>10(b)</t>
  </si>
  <si>
    <t>5(d)</t>
  </si>
  <si>
    <t>8(b)</t>
  </si>
  <si>
    <t>7(b)</t>
  </si>
  <si>
    <t>5(f)</t>
  </si>
  <si>
    <t>5(e)</t>
  </si>
  <si>
    <t>9(a)</t>
  </si>
  <si>
    <t>10(a)</t>
  </si>
  <si>
    <t>Table 5</t>
  </si>
  <si>
    <t>Melting properties of amino acids and peptides.</t>
  </si>
  <si>
    <t>solute</t>
  </si>
  <si>
    <t>glycine</t>
  </si>
  <si>
    <t>569 ± 9</t>
  </si>
  <si>
    <r>
      <t xml:space="preserve">22 </t>
    </r>
    <r>
      <rPr>
        <sz val="11"/>
        <color theme="1"/>
        <rFont val="Calibri"/>
        <family val="2"/>
      </rPr>
      <t>± 3</t>
    </r>
  </si>
  <si>
    <t>alanine</t>
  </si>
  <si>
    <t>608 ± 9</t>
  </si>
  <si>
    <r>
      <t xml:space="preserve">23 </t>
    </r>
    <r>
      <rPr>
        <sz val="11"/>
        <color theme="1"/>
        <rFont val="Calibri"/>
        <family val="2"/>
      </rPr>
      <t>± 3</t>
    </r>
  </si>
  <si>
    <t>valine</t>
  </si>
  <si>
    <t>529 ± 7</t>
  </si>
  <si>
    <r>
      <t xml:space="preserve">44 </t>
    </r>
    <r>
      <rPr>
        <sz val="11"/>
        <color theme="1"/>
        <rFont val="Calibri"/>
        <family val="2"/>
      </rPr>
      <t>± 6</t>
    </r>
  </si>
  <si>
    <t>leucine</t>
  </si>
  <si>
    <t>518 ± 8</t>
  </si>
  <si>
    <r>
      <t xml:space="preserve">43 </t>
    </r>
    <r>
      <rPr>
        <sz val="11"/>
        <color theme="1"/>
        <rFont val="Calibri"/>
        <family val="2"/>
      </rPr>
      <t>± 5</t>
    </r>
  </si>
  <si>
    <t>serine</t>
  </si>
  <si>
    <t>519 ± 7</t>
  </si>
  <si>
    <r>
      <t xml:space="preserve">28 </t>
    </r>
    <r>
      <rPr>
        <sz val="11"/>
        <color theme="1"/>
        <rFont val="Calibri"/>
        <family val="2"/>
      </rPr>
      <t>± 3</t>
    </r>
  </si>
  <si>
    <t xml:space="preserve">gly-gly </t>
  </si>
  <si>
    <t>593 ± 7</t>
  </si>
  <si>
    <r>
      <t xml:space="preserve">40 </t>
    </r>
    <r>
      <rPr>
        <sz val="11"/>
        <color theme="1"/>
        <rFont val="Calibri"/>
        <family val="2"/>
      </rPr>
      <t>± 6</t>
    </r>
  </si>
  <si>
    <t>51 ± 6</t>
  </si>
  <si>
    <t>gly-gly-gly</t>
  </si>
  <si>
    <t>594 ± 7</t>
  </si>
  <si>
    <r>
      <t xml:space="preserve">54 </t>
    </r>
    <r>
      <rPr>
        <sz val="11"/>
        <color theme="1"/>
        <rFont val="Calibri"/>
        <family val="2"/>
      </rPr>
      <t>± 7</t>
    </r>
  </si>
  <si>
    <t>57 ± 15</t>
  </si>
  <si>
    <t>ala-ala</t>
  </si>
  <si>
    <t>606 ± 7</t>
  </si>
  <si>
    <t>62 ± 18</t>
  </si>
  <si>
    <t>ala-ala-ala</t>
  </si>
  <si>
    <r>
      <t xml:space="preserve">72 </t>
    </r>
    <r>
      <rPr>
        <sz val="11"/>
        <color theme="1"/>
        <rFont val="Calibri"/>
        <family val="2"/>
      </rPr>
      <t>± 9</t>
    </r>
  </si>
  <si>
    <t>124 ± 8</t>
  </si>
  <si>
    <t>gly-ala</t>
  </si>
  <si>
    <t>551 ± 7</t>
  </si>
  <si>
    <r>
      <t xml:space="preserve">41 </t>
    </r>
    <r>
      <rPr>
        <sz val="11"/>
        <color theme="1"/>
        <rFont val="Calibri"/>
        <family val="2"/>
      </rPr>
      <t>± 5</t>
    </r>
  </si>
  <si>
    <t>55 ± 6</t>
  </si>
  <si>
    <t>ala-gly</t>
  </si>
  <si>
    <t>611 ± 7</t>
  </si>
  <si>
    <r>
      <t xml:space="preserve">52 </t>
    </r>
    <r>
      <rPr>
        <sz val="11"/>
        <color theme="1"/>
        <rFont val="Calibri"/>
        <family val="2"/>
      </rPr>
      <t>± 7</t>
    </r>
  </si>
  <si>
    <t>57 ± 3</t>
  </si>
  <si>
    <t>gly-gly-ala</t>
  </si>
  <si>
    <t>592 ± 10</t>
  </si>
  <si>
    <r>
      <t xml:space="preserve">70 </t>
    </r>
    <r>
      <rPr>
        <sz val="11"/>
        <color theme="1"/>
        <rFont val="Calibri"/>
        <family val="2"/>
      </rPr>
      <t>± 8</t>
    </r>
  </si>
  <si>
    <t>66 ± 7</t>
  </si>
  <si>
    <t>gly-ala-gly</t>
  </si>
  <si>
    <t>623 ± 7</t>
  </si>
  <si>
    <r>
      <t xml:space="preserve">61 </t>
    </r>
    <r>
      <rPr>
        <sz val="11"/>
        <color theme="1"/>
        <rFont val="Calibri"/>
        <family val="2"/>
      </rPr>
      <t>± 7</t>
    </r>
  </si>
  <si>
    <t>78 ± 11</t>
  </si>
  <si>
    <t>ala-gly-ala</t>
  </si>
  <si>
    <t>557 ± 8</t>
  </si>
  <si>
    <r>
      <t xml:space="preserve">58 </t>
    </r>
    <r>
      <rPr>
        <sz val="11"/>
        <color theme="1"/>
        <rFont val="Calibri"/>
        <family val="2"/>
      </rPr>
      <t>± 7</t>
    </r>
  </si>
  <si>
    <t>98 ± 5</t>
  </si>
  <si>
    <t>leu-gly-gly</t>
  </si>
  <si>
    <t>530 ± 7</t>
  </si>
  <si>
    <r>
      <t xml:space="preserve">74 </t>
    </r>
    <r>
      <rPr>
        <sz val="11"/>
        <color theme="1"/>
        <rFont val="Calibri"/>
        <family val="2"/>
      </rPr>
      <t>± 8</t>
    </r>
  </si>
  <si>
    <t>111 ± 11</t>
  </si>
  <si>
    <t>gly-leu-gly</t>
  </si>
  <si>
    <t>545 ± 7</t>
  </si>
  <si>
    <r>
      <t xml:space="preserve">60 </t>
    </r>
    <r>
      <rPr>
        <sz val="11"/>
        <color theme="1"/>
        <rFont val="Calibri"/>
        <family val="2"/>
      </rPr>
      <t>± 7</t>
    </r>
  </si>
  <si>
    <t>139 ± 11</t>
  </si>
  <si>
    <t>gly-gly-leu</t>
  </si>
  <si>
    <t>521 ± 7</t>
  </si>
  <si>
    <r>
      <t xml:space="preserve">55 </t>
    </r>
    <r>
      <rPr>
        <sz val="11"/>
        <color theme="1"/>
        <rFont val="Calibri"/>
        <family val="2"/>
      </rPr>
      <t>± 7</t>
    </r>
  </si>
  <si>
    <t>160 ± 7</t>
  </si>
  <si>
    <t>gly-ala-leu</t>
  </si>
  <si>
    <t>578 ± 7</t>
  </si>
  <si>
    <r>
      <t xml:space="preserve">77 </t>
    </r>
    <r>
      <rPr>
        <sz val="11"/>
        <color theme="1"/>
        <rFont val="Calibri"/>
        <family val="2"/>
      </rPr>
      <t>± 9</t>
    </r>
  </si>
  <si>
    <t>112 ± 6</t>
  </si>
  <si>
    <t>gly-ser</t>
  </si>
  <si>
    <t>530 ± 8</t>
  </si>
  <si>
    <r>
      <t xml:space="preserve">49 </t>
    </r>
    <r>
      <rPr>
        <sz val="11"/>
        <color theme="1"/>
        <rFont val="Calibri"/>
        <family val="2"/>
      </rPr>
      <t>± 6</t>
    </r>
  </si>
  <si>
    <t>67 ± 6</t>
  </si>
  <si>
    <t>ser-gly</t>
  </si>
  <si>
    <t>553 ± 7</t>
  </si>
  <si>
    <r>
      <t xml:space="preserve">62 </t>
    </r>
    <r>
      <rPr>
        <sz val="11"/>
        <color theme="1"/>
        <rFont val="Calibri"/>
        <family val="2"/>
      </rPr>
      <t>± 7</t>
    </r>
  </si>
  <si>
    <t>61 ± 9</t>
  </si>
  <si>
    <t>ala-ser</t>
  </si>
  <si>
    <t>556 ± 7</t>
  </si>
  <si>
    <t>48 ± 6</t>
  </si>
  <si>
    <t>ser-ala</t>
  </si>
  <si>
    <t>609 ± 7</t>
  </si>
  <si>
    <r>
      <t xml:space="preserve">73 </t>
    </r>
    <r>
      <rPr>
        <sz val="11"/>
        <color theme="1"/>
        <rFont val="Calibri"/>
        <family val="2"/>
      </rPr>
      <t>± 8</t>
    </r>
  </si>
  <si>
    <t>55 ± 3</t>
  </si>
  <si>
    <r>
      <t>Table 5: Melting properties of the amino acids and peptides used to calculate their solubility, reported with their experimental uncertainties; melting-point temperature (T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vertAlign val="superscript"/>
        <sz val="11"/>
        <color theme="1"/>
        <rFont val="Calibri"/>
        <family val="2"/>
        <scheme val="minor"/>
      </rPr>
      <t>fus</t>
    </r>
    <r>
      <rPr>
        <b/>
        <sz val="11"/>
        <color theme="1"/>
        <rFont val="Calibri"/>
        <family val="2"/>
        <scheme val="minor"/>
      </rPr>
      <t xml:space="preserve"> ), enthalpyof fusion (∆h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vertAlign val="superscript"/>
        <sz val="11"/>
        <color theme="1"/>
        <rFont val="Calibri"/>
        <family val="2"/>
        <scheme val="minor"/>
      </rPr>
      <t>fus</t>
    </r>
    <r>
      <rPr>
        <b/>
        <sz val="11"/>
        <color theme="1"/>
        <rFont val="Calibri"/>
        <family val="2"/>
        <scheme val="minor"/>
      </rPr>
      <t xml:space="preserve"> ), and difference between the molar heat capacity of liquid and solid phases evaluated at T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vertAlign val="superscript"/>
        <sz val="11"/>
        <color theme="1"/>
        <rFont val="Calibri"/>
        <family val="2"/>
        <scheme val="minor"/>
      </rPr>
      <t>fus</t>
    </r>
    <r>
      <rPr>
        <b/>
        <sz val="11"/>
        <color theme="1"/>
        <rFont val="Calibri"/>
        <family val="2"/>
        <scheme val="minor"/>
      </rPr>
      <t xml:space="preserve"> (∆c</t>
    </r>
    <r>
      <rPr>
        <b/>
        <vertAlign val="subscript"/>
        <sz val="11"/>
        <color theme="1"/>
        <rFont val="Calibri"/>
        <family val="2"/>
        <scheme val="minor"/>
      </rPr>
      <t>p,i</t>
    </r>
    <r>
      <rPr>
        <b/>
        <sz val="11"/>
        <color theme="1"/>
        <rFont val="Calibri"/>
        <family val="2"/>
        <scheme val="minor"/>
      </rPr>
      <t>).</t>
    </r>
  </si>
  <si>
    <t>Overview of the accuracy of SAFT-gamma Mie in %AAD and AAD (parameter optimisation).</t>
  </si>
  <si>
    <t>Table 6</t>
  </si>
  <si>
    <t>Overview of the accuracy of SAFT-gamma Mie in and AAD (solubility prediction of amino acids).</t>
  </si>
  <si>
    <t>Figure</t>
  </si>
  <si>
    <t>glycine (1) + water (2)</t>
  </si>
  <si>
    <t>glycine (1) + ethanol (2)</t>
  </si>
  <si>
    <t>glycine (1) + 1-propanol (2)</t>
  </si>
  <si>
    <t>glycine (1) + 2-propanol (2)</t>
  </si>
  <si>
    <t>glycine (1) + 1-butanol (2)</t>
  </si>
  <si>
    <t>alanine (1) + water (2)</t>
  </si>
  <si>
    <t>alanine (1) + ethanol (2)</t>
  </si>
  <si>
    <t>alanine (1) + 1-propanol (2)</t>
  </si>
  <si>
    <t>alanine (1) + 2-propanol (2)</t>
  </si>
  <si>
    <t>alanine (1) + 1-butanol (2)</t>
  </si>
  <si>
    <t>alanine (1) + 2-butanol (2)</t>
  </si>
  <si>
    <t>alanine (1) + 2-methyl-1-propanol (2)</t>
  </si>
  <si>
    <t>serine (1) + water (2)</t>
  </si>
  <si>
    <t>serine (1) + ethanol (2)</t>
  </si>
  <si>
    <t>serine (1) + 2-propanol (2)</t>
  </si>
  <si>
    <t>serine (1) + 1-butanol (2)</t>
  </si>
  <si>
    <t>valine (1) + water (2)</t>
  </si>
  <si>
    <t>valine (1) + ethanol (2)</t>
  </si>
  <si>
    <t>valine (1) + 2-propanol (2)</t>
  </si>
  <si>
    <r>
      <t>AAD (x</t>
    </r>
    <r>
      <rPr>
        <b/>
        <vertAlign val="subscript"/>
        <sz val="11"/>
        <color theme="1"/>
        <rFont val="Calibri"/>
        <family val="2"/>
        <scheme val="minor"/>
      </rPr>
      <t>1</t>
    </r>
    <r>
      <rPr>
        <b/>
        <vertAlign val="superscript"/>
        <sz val="11"/>
        <color theme="1"/>
        <rFont val="Calibri"/>
        <family val="2"/>
        <scheme val="minor"/>
      </rPr>
      <t>sat</t>
    </r>
    <r>
      <rPr>
        <b/>
        <sz val="11"/>
        <color theme="1"/>
        <rFont val="Calibri"/>
        <family val="2"/>
        <scheme val="minor"/>
      </rPr>
      <t>)</t>
    </r>
  </si>
  <si>
    <r>
      <t>N</t>
    </r>
    <r>
      <rPr>
        <b/>
        <vertAlign val="superscript"/>
        <sz val="11"/>
        <color theme="1"/>
        <rFont val="Calibri"/>
        <family val="2"/>
        <scheme val="minor"/>
      </rPr>
      <t>D</t>
    </r>
  </si>
  <si>
    <r>
      <t>Table 6: Overview of the accuracy of SAFT-γ Mie in the calculation of solubility for amino acids in water or alcohol, where N</t>
    </r>
    <r>
      <rPr>
        <b/>
        <vertAlign val="superscript"/>
        <sz val="11"/>
        <color theme="1"/>
        <rFont val="Calibri"/>
        <family val="2"/>
        <scheme val="minor"/>
      </rPr>
      <t>D</t>
    </r>
    <r>
      <rPr>
        <b/>
        <sz val="11"/>
        <color theme="1"/>
        <rFont val="Calibri"/>
        <family val="2"/>
        <scheme val="minor"/>
      </rPr>
      <t xml:space="preserve"> is the number of experimental data points used to calculate the average absolute deviation (AAD).</t>
    </r>
  </si>
  <si>
    <t>T / K</t>
  </si>
  <si>
    <t>273 – 373</t>
  </si>
  <si>
    <t>278 – 333</t>
  </si>
  <si>
    <t>298 – 310</t>
  </si>
  <si>
    <t>283 – 323</t>
  </si>
  <si>
    <t>273 – 343</t>
  </si>
  <si>
    <t>288 – 343</t>
  </si>
  <si>
    <t>293 – 343</t>
  </si>
  <si>
    <t>12, 13</t>
  </si>
  <si>
    <t>Table 7</t>
  </si>
  <si>
    <t>Overview of the accuracy of SAFT-gamma Mie in and AAD (solubility prediction of peptides).</t>
  </si>
  <si>
    <r>
      <t>Table 7: Overview of the accuracy of SAFT-γ Mie in the calculation of solubility for peptides in water, where N</t>
    </r>
    <r>
      <rPr>
        <b/>
        <vertAlign val="superscript"/>
        <sz val="11"/>
        <color theme="1"/>
        <rFont val="Calibri"/>
        <family val="2"/>
        <scheme val="minor"/>
      </rPr>
      <t>D</t>
    </r>
    <r>
      <rPr>
        <b/>
        <sz val="11"/>
        <color theme="1"/>
        <rFont val="Calibri"/>
        <family val="2"/>
        <scheme val="minor"/>
      </rPr>
      <t xml:space="preserve"> is the number of experimental data points used to calculate the average absolute deviation (AAD).</t>
    </r>
  </si>
  <si>
    <t>Solute</t>
  </si>
  <si>
    <t>278 – 313</t>
  </si>
  <si>
    <t>293 – 323</t>
  </si>
  <si>
    <t>Table 8</t>
  </si>
  <si>
    <t>Acid-base equilibrium properties of glycine and alanine.</t>
  </si>
  <si>
    <t>Table 8: Acid–base equilibrium properties of glycine and alanine.</t>
  </si>
  <si>
    <t>Compound</t>
  </si>
  <si>
    <r>
      <t>K</t>
    </r>
    <r>
      <rPr>
        <b/>
        <vertAlign val="subscript"/>
        <sz val="11"/>
        <color theme="1"/>
        <rFont val="Calibri"/>
        <family val="2"/>
        <scheme val="minor"/>
      </rPr>
      <t>A1</t>
    </r>
    <r>
      <rPr>
        <b/>
        <sz val="11"/>
        <color theme="1"/>
        <rFont val="Calibri"/>
        <family val="2"/>
        <scheme val="minor"/>
      </rPr>
      <t xml:space="preserve"> (298.15 K)</t>
    </r>
  </si>
  <si>
    <r>
      <t>Δh</t>
    </r>
    <r>
      <rPr>
        <b/>
        <vertAlign val="subscript"/>
        <sz val="11"/>
        <color theme="1"/>
        <rFont val="Calibri"/>
        <family val="2"/>
      </rPr>
      <t>A1</t>
    </r>
    <r>
      <rPr>
        <b/>
        <sz val="11"/>
        <color theme="1"/>
        <rFont val="Calibri"/>
        <family val="2"/>
      </rPr>
      <t xml:space="preserve"> (kJ/mol)</t>
    </r>
  </si>
  <si>
    <t>Glycine</t>
  </si>
  <si>
    <t>Alanine</t>
  </si>
  <si>
    <t>Figure 4</t>
  </si>
  <si>
    <t>water (1) + glycine (2)</t>
  </si>
  <si>
    <t>298 K</t>
  </si>
  <si>
    <t>Kuramochi-1997-JChemEngData</t>
  </si>
  <si>
    <t>Figure 4(a)</t>
  </si>
  <si>
    <t>Figure 4(b)</t>
  </si>
  <si>
    <t>Solid-liquid solubility</t>
  </si>
  <si>
    <t>Bubble pressure</t>
  </si>
  <si>
    <t>Experimental data</t>
  </si>
  <si>
    <r>
      <t>SAFT-</t>
    </r>
    <r>
      <rPr>
        <sz val="11"/>
        <color theme="1"/>
        <rFont val="Arial"/>
        <family val="2"/>
      </rPr>
      <t>γ</t>
    </r>
    <r>
      <rPr>
        <sz val="11"/>
        <color theme="1"/>
        <rFont val="Calibri"/>
        <family val="2"/>
      </rPr>
      <t xml:space="preserve"> Mie calculations</t>
    </r>
  </si>
  <si>
    <t>1 bar</t>
  </si>
  <si>
    <t>Dalton-1933-JBiolChem</t>
  </si>
  <si>
    <t>Guo-2022-JMolLiq</t>
  </si>
  <si>
    <t>Yi-2005-IndEngChemRes</t>
  </si>
  <si>
    <t>Ferreira-2004-ChemEngRes</t>
  </si>
  <si>
    <t xml:space="preserve">Figure 4(c) </t>
  </si>
  <si>
    <t>water (1) + 3-aminopropanoic acid (2)</t>
  </si>
  <si>
    <t>Liquid density</t>
  </si>
  <si>
    <t>Romero-2010-JSolutionChem</t>
  </si>
  <si>
    <t>SAFT-γ Mie calculations</t>
  </si>
  <si>
    <r>
      <rPr>
        <i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/ K</t>
    </r>
  </si>
  <si>
    <r>
      <rPr>
        <i/>
        <sz val="11"/>
        <color theme="1"/>
        <rFont val="Calibri"/>
        <family val="2"/>
        <scheme val="minor"/>
      </rPr>
      <t>x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/ (mol/mol)</t>
    </r>
  </si>
  <si>
    <r>
      <rPr>
        <i/>
        <sz val="11"/>
        <color theme="1"/>
        <rFont val="Arial"/>
        <family val="2"/>
      </rPr>
      <t xml:space="preserve">ρ </t>
    </r>
    <r>
      <rPr>
        <sz val="11"/>
        <color theme="1"/>
        <rFont val="Arial"/>
        <family val="2"/>
      </rPr>
      <t>/ (kg/m</t>
    </r>
    <r>
      <rPr>
        <vertAlign val="superscript"/>
        <sz val="11"/>
        <color theme="1"/>
        <rFont val="Arial"/>
        <family val="2"/>
      </rPr>
      <t>3</t>
    </r>
    <r>
      <rPr>
        <sz val="11"/>
        <color theme="1"/>
        <rFont val="Arial"/>
        <family val="2"/>
      </rPr>
      <t>)</t>
    </r>
  </si>
  <si>
    <r>
      <rPr>
        <i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/ Pa</t>
    </r>
  </si>
  <si>
    <t>Figure 5</t>
  </si>
  <si>
    <t>SAFT-gamma Mie calculations and experimental data used in the optimization of the NH2-COOH unlike interaction.</t>
  </si>
  <si>
    <t>Figure 5(a)</t>
  </si>
  <si>
    <t>Vapour pressure</t>
  </si>
  <si>
    <r>
      <t>T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/ K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</si>
  <si>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P</t>
    </r>
    <r>
      <rPr>
        <sz val="11"/>
        <color theme="1"/>
        <rFont val="Calibri"/>
        <family val="2"/>
        <scheme val="minor"/>
      </rPr>
      <t xml:space="preserve"> / Pa</t>
    </r>
  </si>
  <si>
    <t>Osborn-1968-JChemEngData</t>
  </si>
  <si>
    <t>Brunner-1978-BerBunsengesPhysChem</t>
  </si>
  <si>
    <t>Ahmed-2012-JChemThermodyn</t>
  </si>
  <si>
    <t>Osborn-1980-JChemThermodyn</t>
  </si>
  <si>
    <t>Simon-1935-ZElektrochemAngewPhysChem</t>
  </si>
  <si>
    <t>Figure 5(b)</t>
  </si>
  <si>
    <t>Pressure-composition isotherms</t>
  </si>
  <si>
    <t>hexane (1) + 2-propanamine (2)</t>
  </si>
  <si>
    <t>Wolff-1983-FluidPhEquilib</t>
  </si>
  <si>
    <r>
      <t xml:space="preserve">T </t>
    </r>
    <r>
      <rPr>
        <sz val="11"/>
        <color theme="1"/>
        <rFont val="Calibri"/>
        <family val="2"/>
        <scheme val="minor"/>
      </rPr>
      <t>/ K</t>
    </r>
  </si>
  <si>
    <r>
      <t>P</t>
    </r>
    <r>
      <rPr>
        <i/>
        <vertAlign val="subscript"/>
        <sz val="11"/>
        <color theme="1"/>
        <rFont val="Calibri"/>
        <family val="2"/>
        <scheme val="minor"/>
      </rPr>
      <t>bub</t>
    </r>
    <r>
      <rPr>
        <sz val="11"/>
        <color theme="1"/>
        <rFont val="Calibri"/>
        <family val="2"/>
        <scheme val="minor"/>
      </rPr>
      <t xml:space="preserve"> / kPa</t>
    </r>
  </si>
  <si>
    <r>
      <rPr>
        <i/>
        <sz val="11"/>
        <color theme="1"/>
        <rFont val="Calibri"/>
        <family val="2"/>
        <scheme val="minor"/>
      </rPr>
      <t>x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</t>
    </r>
    <r>
      <rPr>
        <i/>
        <sz val="11"/>
        <color theme="1"/>
        <rFont val="Calibri"/>
        <family val="2"/>
        <scheme val="minor"/>
      </rPr>
      <t>y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/ (mol/mol)</t>
    </r>
  </si>
  <si>
    <r>
      <t>P</t>
    </r>
    <r>
      <rPr>
        <vertAlign val="subscript"/>
        <sz val="11"/>
        <color theme="1"/>
        <rFont val="Calibri"/>
        <family val="2"/>
        <scheme val="minor"/>
      </rPr>
      <t>bub</t>
    </r>
    <r>
      <rPr>
        <sz val="11"/>
        <color theme="1"/>
        <rFont val="Calibri"/>
        <family val="2"/>
        <scheme val="minor"/>
      </rPr>
      <t xml:space="preserve"> / kPa</t>
    </r>
  </si>
  <si>
    <r>
      <t>P</t>
    </r>
    <r>
      <rPr>
        <vertAlign val="subscript"/>
        <sz val="11"/>
        <color theme="1"/>
        <rFont val="Calibri"/>
        <family val="2"/>
        <scheme val="minor"/>
      </rPr>
      <t>dew</t>
    </r>
    <r>
      <rPr>
        <sz val="11"/>
        <color theme="1"/>
        <rFont val="Calibri"/>
        <family val="2"/>
        <scheme val="minor"/>
      </rPr>
      <t xml:space="preserve"> / kPa</t>
    </r>
  </si>
  <si>
    <t>Figure 5(c)</t>
  </si>
  <si>
    <t>ethane (1) + 2-propanamine (2)</t>
  </si>
  <si>
    <t>DeLoos-1987-JChemEngData</t>
  </si>
  <si>
    <t>Figure 5(d)</t>
  </si>
  <si>
    <t>Excess enthalpy</t>
  </si>
  <si>
    <t>hexane (1) + 2-butanamine (2)</t>
  </si>
  <si>
    <t>Pradhan-1978-ProcIndianAcadSci</t>
  </si>
  <si>
    <t>298.15 K and 1 bar</t>
  </si>
  <si>
    <r>
      <rPr>
        <i/>
        <sz val="11"/>
        <color theme="1"/>
        <rFont val="Calibri"/>
        <family val="2"/>
        <scheme val="minor"/>
      </rPr>
      <t>h</t>
    </r>
    <r>
      <rPr>
        <vertAlign val="super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/ (J mol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</si>
  <si>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Figure 6</t>
  </si>
  <si>
    <t>SAFT-gamma Mie calculations and experimental data used in the optimisation of the CONH-CONH, CONH-CH3, and CONH-CH2 interactions (Pure-component properties).</t>
  </si>
  <si>
    <t>Figure 6(a)</t>
  </si>
  <si>
    <t>N-methylacetamide</t>
  </si>
  <si>
    <r>
      <rPr>
        <i/>
        <sz val="11"/>
        <color theme="1"/>
        <rFont val="Calibri"/>
        <family val="2"/>
        <scheme val="minor"/>
      </rPr>
      <t xml:space="preserve">T </t>
    </r>
    <r>
      <rPr>
        <sz val="11"/>
        <color theme="1"/>
        <rFont val="Calibri"/>
        <family val="2"/>
        <scheme val="minor"/>
      </rPr>
      <t>/ K</t>
    </r>
  </si>
  <si>
    <r>
      <t xml:space="preserve">P </t>
    </r>
    <r>
      <rPr>
        <sz val="11"/>
        <color theme="1"/>
        <rFont val="Calibri"/>
        <family val="2"/>
        <scheme val="minor"/>
      </rPr>
      <t>/ Pa</t>
    </r>
  </si>
  <si>
    <t>Kortum-1970-ChemIngTechnol</t>
  </si>
  <si>
    <t>Stejfa-2020-JMolLiq</t>
  </si>
  <si>
    <t>N-ethylacetamide</t>
  </si>
  <si>
    <t>Schmelzer-1995-FluidPhEquilib</t>
  </si>
  <si>
    <t>Zaitseva-2019-JMolLiq</t>
  </si>
  <si>
    <t>N-propylacetamide</t>
  </si>
  <si>
    <t>Hahn-1983-LeunaProtokoll</t>
  </si>
  <si>
    <t>N-butylacetamide</t>
  </si>
  <si>
    <t>Gertler-1955-AGResServ</t>
  </si>
  <si>
    <t>Eshgi-2004-JChemRes</t>
  </si>
  <si>
    <t>N-pentylacetamide</t>
  </si>
  <si>
    <t>Mueller-1988-LeunaProtokoll</t>
  </si>
  <si>
    <t>N-methylpropanamide</t>
  </si>
  <si>
    <t>Gopal-1968-JIndianChemSoc</t>
  </si>
  <si>
    <t>N-butylpropanamide</t>
  </si>
  <si>
    <t>Hahn-1984-LeunaProtokoll</t>
  </si>
  <si>
    <t>N-methylhexanamide</t>
  </si>
  <si>
    <t>Figure 6(b)</t>
  </si>
  <si>
    <r>
      <t>T</t>
    </r>
    <r>
      <rPr>
        <sz val="11"/>
        <color theme="1"/>
        <rFont val="Calibri"/>
        <family val="2"/>
        <scheme val="minor"/>
      </rPr>
      <t xml:space="preserve"> / K</t>
    </r>
  </si>
  <si>
    <r>
      <rPr>
        <i/>
        <sz val="11"/>
        <color theme="1"/>
        <rFont val="Arial"/>
        <family val="2"/>
      </rPr>
      <t>ρ</t>
    </r>
    <r>
      <rPr>
        <sz val="11"/>
        <color theme="1"/>
        <rFont val="Calibri"/>
        <family val="2"/>
      </rPr>
      <t xml:space="preserve"> / (kg m</t>
    </r>
    <r>
      <rPr>
        <vertAlign val="superscript"/>
        <sz val="11"/>
        <color theme="1"/>
        <rFont val="Calibri"/>
        <family val="2"/>
      </rPr>
      <t>-3</t>
    </r>
    <r>
      <rPr>
        <sz val="11"/>
        <color theme="1"/>
        <rFont val="Calibri"/>
        <family val="2"/>
      </rPr>
      <t>)</t>
    </r>
  </si>
  <si>
    <t>Isobaric liquid density (1 bar)</t>
  </si>
  <si>
    <t>N-methylbutanamide</t>
  </si>
  <si>
    <t>Nain-2006-JChemThermodyn</t>
  </si>
  <si>
    <t>Pacak-1991-ChemPap</t>
  </si>
  <si>
    <t>Gmehling-1983-DDB</t>
  </si>
  <si>
    <t>Mukesh-2019-ChemDataColl</t>
  </si>
  <si>
    <t>Jovic-2014-JMolLiq</t>
  </si>
  <si>
    <t>Gopal-1966-JIndianChemSoc</t>
  </si>
  <si>
    <t>Millero-1968-JChemPhys</t>
  </si>
  <si>
    <t>Hoover-1969-JPhysChem</t>
  </si>
  <si>
    <t>vanEvercooren-1975-CBullSocChimBelg</t>
  </si>
  <si>
    <t>Dawson-1957-JAmChemSoc</t>
  </si>
  <si>
    <t>Figure 7</t>
  </si>
  <si>
    <t>SAFT-gamma Mie calculations and experimental data used in the optimisation of the CONH-CONH, CONH-CH3, and CONH-CH2 interactions (Mixture properties).</t>
  </si>
  <si>
    <t>SAFT-gamma Mie calculations and experimental data used in the optimisation of the NH2-CH unlike interaction.</t>
  </si>
  <si>
    <t>Figure 7(a)</t>
  </si>
  <si>
    <t>Pressure-composition isotherms (VLE)</t>
  </si>
  <si>
    <r>
      <t>P</t>
    </r>
    <r>
      <rPr>
        <sz val="11"/>
        <color theme="1"/>
        <rFont val="Calibri"/>
        <family val="2"/>
        <scheme val="minor"/>
      </rPr>
      <t xml:space="preserve"> / kPa</t>
    </r>
  </si>
  <si>
    <t>N-methylpropanamide (1) + n-octane (2)</t>
  </si>
  <si>
    <r>
      <rPr>
        <i/>
        <sz val="11"/>
        <color theme="1"/>
        <rFont val="Calibri"/>
        <family val="2"/>
        <scheme val="minor"/>
      </rPr>
      <t>y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/ (mol/mol)</t>
    </r>
  </si>
  <si>
    <t>SAFT-γ Mie calculations (363.15 K)</t>
  </si>
  <si>
    <t>SAFT-γ Mie calculations (383.15 K)</t>
  </si>
  <si>
    <t>Figure 7(b)</t>
  </si>
  <si>
    <t>Temperature-composition isobar (LLE) (1 bar)</t>
  </si>
  <si>
    <r>
      <t xml:space="preserve">amide-rich phase, </t>
    </r>
    <r>
      <rPr>
        <i/>
        <sz val="11"/>
        <color theme="1"/>
        <rFont val="Calibri"/>
        <family val="2"/>
        <scheme val="minor"/>
      </rPr>
      <t>x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/ (mol/mol)</t>
    </r>
  </si>
  <si>
    <r>
      <t xml:space="preserve">alkane-rich phase, </t>
    </r>
    <r>
      <rPr>
        <i/>
        <sz val="11"/>
        <color theme="1"/>
        <rFont val="Calibri"/>
        <family val="2"/>
        <scheme val="minor"/>
      </rPr>
      <t>x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/ (mol/mol)</t>
    </r>
  </si>
  <si>
    <t>Temperature-composition isobar (VLLE) (1 bar)</t>
  </si>
  <si>
    <t>N-methylpropanamide (1) + n-decane (2)</t>
  </si>
  <si>
    <r>
      <t xml:space="preserve">amide-rich phase, </t>
    </r>
    <r>
      <rPr>
        <i/>
        <sz val="11"/>
        <color theme="1"/>
        <rFont val="Calibri"/>
        <family val="2"/>
        <scheme val="minor"/>
      </rPr>
      <t>x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, </t>
    </r>
    <r>
      <rPr>
        <i/>
        <sz val="11"/>
        <color theme="1"/>
        <rFont val="Calibri"/>
        <family val="2"/>
        <scheme val="minor"/>
      </rPr>
      <t>y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 (mol/mol)</t>
    </r>
  </si>
  <si>
    <r>
      <t xml:space="preserve">alkane-rich phase, </t>
    </r>
    <r>
      <rPr>
        <i/>
        <sz val="11"/>
        <color theme="1"/>
        <rFont val="Calibri"/>
        <family val="2"/>
        <scheme val="minor"/>
      </rPr>
      <t>x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, </t>
    </r>
    <r>
      <rPr>
        <i/>
        <sz val="11"/>
        <color theme="1"/>
        <rFont val="Calibri"/>
        <family val="2"/>
        <scheme val="minor"/>
      </rPr>
      <t>y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 (mol/mol)</t>
    </r>
  </si>
  <si>
    <t xml:space="preserve">Figure 7(c) </t>
  </si>
  <si>
    <t xml:space="preserve">Excess enthalpy </t>
  </si>
  <si>
    <t>N-methylacetamide (1) + n-decane (2); 413.15 K; 1.617 Mpa</t>
  </si>
  <si>
    <r>
      <rPr>
        <i/>
        <sz val="11"/>
        <color theme="1"/>
        <rFont val="Calibri"/>
        <family val="2"/>
        <scheme val="minor"/>
      </rPr>
      <t>h</t>
    </r>
    <r>
      <rPr>
        <vertAlign val="super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/ (J mol 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</si>
  <si>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deHaan-1997-JChemEngData</t>
  </si>
  <si>
    <t>N-methylacetamide (1) + n-octane (2); 398.15 K; 1.891 Mpa</t>
  </si>
  <si>
    <t>Figure 8(a)</t>
  </si>
  <si>
    <t>Temperature-composition isobar (VLE) (1 bar)</t>
  </si>
  <si>
    <t>Water (1) + n-methylacetamide (2)</t>
  </si>
  <si>
    <r>
      <rPr>
        <i/>
        <sz val="11"/>
        <color theme="1"/>
        <rFont val="Calibri"/>
        <family val="2"/>
        <scheme val="minor"/>
      </rPr>
      <t>T</t>
    </r>
    <r>
      <rPr>
        <vertAlign val="subscript"/>
        <sz val="11"/>
        <color theme="1"/>
        <rFont val="Calibri"/>
        <family val="2"/>
        <scheme val="minor"/>
      </rPr>
      <t>bub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/ K</t>
    </r>
  </si>
  <si>
    <r>
      <rPr>
        <i/>
        <sz val="11"/>
        <color theme="1"/>
        <rFont val="Calibri"/>
        <family val="2"/>
        <scheme val="minor"/>
      </rPr>
      <t>T</t>
    </r>
    <r>
      <rPr>
        <vertAlign val="subscript"/>
        <sz val="11"/>
        <color theme="1"/>
        <rFont val="Calibri"/>
        <family val="2"/>
        <scheme val="minor"/>
      </rPr>
      <t>dew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/ K</t>
    </r>
  </si>
  <si>
    <r>
      <rPr>
        <i/>
        <sz val="11"/>
        <color theme="1"/>
        <rFont val="Calibri"/>
        <family val="2"/>
        <scheme val="minor"/>
      </rPr>
      <t>x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, </t>
    </r>
    <r>
      <rPr>
        <i/>
        <sz val="11"/>
        <color theme="1"/>
        <rFont val="Calibri"/>
        <family val="2"/>
        <scheme val="minor"/>
      </rPr>
      <t>y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 (mol/mol)</t>
    </r>
  </si>
  <si>
    <t xml:space="preserve">SAFT-γ Mie calculations </t>
  </si>
  <si>
    <t>Figure 8(b)</t>
  </si>
  <si>
    <r>
      <rPr>
        <i/>
        <sz val="11"/>
        <color theme="1"/>
        <rFont val="Calibri"/>
        <family val="2"/>
        <scheme val="minor"/>
      </rPr>
      <t>P</t>
    </r>
    <r>
      <rPr>
        <vertAlign val="subscript"/>
        <sz val="11"/>
        <color theme="1"/>
        <rFont val="Calibri"/>
        <family val="2"/>
        <scheme val="minor"/>
      </rPr>
      <t>bub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/ Pa</t>
    </r>
  </si>
  <si>
    <r>
      <rPr>
        <i/>
        <sz val="11"/>
        <color theme="1"/>
        <rFont val="Calibri"/>
        <family val="2"/>
        <scheme val="minor"/>
      </rPr>
      <t>P</t>
    </r>
    <r>
      <rPr>
        <vertAlign val="subscript"/>
        <sz val="11"/>
        <color theme="1"/>
        <rFont val="Calibri"/>
        <family val="2"/>
        <scheme val="minor"/>
      </rPr>
      <t>dew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/ Pa</t>
    </r>
  </si>
  <si>
    <t>313 K</t>
  </si>
  <si>
    <t>333 K</t>
  </si>
  <si>
    <t>373 K</t>
  </si>
  <si>
    <t>413 K</t>
  </si>
  <si>
    <t>Zielkiewicz-2000-JChemThermodyn</t>
  </si>
  <si>
    <t>Manczinger-1975-ZeitPhysChemNeuFolge</t>
  </si>
  <si>
    <t>Excess enthalpy (1 bar)</t>
  </si>
  <si>
    <t>Water (1) + n-methylpropanamide (2)</t>
  </si>
  <si>
    <t>Water (1) + n-ethylacetamide (2)</t>
  </si>
  <si>
    <t>deHaan-1996-JChemEngData</t>
  </si>
  <si>
    <t>Zaichikov-1997-RussJGenChem</t>
  </si>
  <si>
    <t>398.15 K</t>
  </si>
  <si>
    <t>308.15 K</t>
  </si>
  <si>
    <t>308.15 k</t>
  </si>
  <si>
    <t xml:space="preserve">Figure 8(c) </t>
  </si>
  <si>
    <t>Figure 8</t>
  </si>
  <si>
    <t>SAFT-gamma Mie calculations and experimental data used in the optimisation of the CONH-H2O unlike interaction.</t>
  </si>
  <si>
    <t>Figure 9</t>
  </si>
  <si>
    <t>SAFT-gamma Mie calculations and experimental data used in the optimisation of the CONH-NH2 unlike interaction.</t>
  </si>
  <si>
    <t>Figure 9(a)</t>
  </si>
  <si>
    <t>Excess enthalpy (363.15 K) (12.03 bar)</t>
  </si>
  <si>
    <t>1-hexanamine (1) + n-methylacetamide (2)</t>
  </si>
  <si>
    <t>Figure 9(b)</t>
  </si>
  <si>
    <t>Liquid density (298.15 K) (1 bar)</t>
  </si>
  <si>
    <t>Water (1) + methylurea (2)</t>
  </si>
  <si>
    <t>Water (1) + ethylurea (2)</t>
  </si>
  <si>
    <t>Water (1) + butylurea (2)</t>
  </si>
  <si>
    <t>Egorov-2017-JChemEngData</t>
  </si>
  <si>
    <t>Saleh-1980-IraqiJSci</t>
  </si>
  <si>
    <t>Krakowiak-2013-JChemThermodyn</t>
  </si>
  <si>
    <t>Singh-2006-BiolSci</t>
  </si>
  <si>
    <t>Lapanje-1985-JChemEngData</t>
  </si>
  <si>
    <t>Figure 10(a)</t>
  </si>
  <si>
    <t>Excess enthalpy (363.15 K) (11.35 bar)</t>
  </si>
  <si>
    <t>Propanoic acid (1) + n-methylacetamide (2)</t>
  </si>
  <si>
    <t>Figure 10(b)</t>
  </si>
  <si>
    <t>Temperature-composition isobar (1 bar) (VLE)</t>
  </si>
  <si>
    <t>Acetic acid (1) + n-methylacetamide (2)</t>
  </si>
  <si>
    <r>
      <t>T</t>
    </r>
    <r>
      <rPr>
        <vertAlign val="subscript"/>
        <sz val="11"/>
        <color theme="1"/>
        <rFont val="Calibri"/>
        <family val="2"/>
        <scheme val="minor"/>
      </rPr>
      <t>bub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/ K</t>
    </r>
  </si>
  <si>
    <r>
      <t>T</t>
    </r>
    <r>
      <rPr>
        <vertAlign val="subscript"/>
        <sz val="11"/>
        <color theme="1"/>
        <rFont val="Calibri"/>
        <family val="2"/>
        <scheme val="minor"/>
      </rPr>
      <t>dew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/ K</t>
    </r>
  </si>
  <si>
    <t>Chang-2006-FluidPhEquilib</t>
  </si>
  <si>
    <t>Figure 10</t>
  </si>
  <si>
    <t>SAFT-gamma Mie calculations and experimental data used in the optimisation of the CONH-COOH unlike interaction.</t>
  </si>
  <si>
    <t>Figure 11</t>
  </si>
  <si>
    <t>Effect of uncertainty in melting temperature and heat of fusion on the SAFT-gamma description of SLE of glycine.</t>
  </si>
  <si>
    <t>Figure 11(a)</t>
  </si>
  <si>
    <t>Water (1) + glycine (2); (1 bar)</t>
  </si>
  <si>
    <t>Water (1) + glycine (2)</t>
  </si>
  <si>
    <t>(1 bar)</t>
  </si>
  <si>
    <t>Temperature-composition diagram (Solid-liquid equilibrium)</t>
  </si>
  <si>
    <t>Ferreira-2004-ChemEngSci</t>
  </si>
  <si>
    <t>Effect of uncertainty in melting temperature on SLE calculations</t>
  </si>
  <si>
    <r>
      <rPr>
        <i/>
        <sz val="11"/>
        <color theme="1"/>
        <rFont val="Calibri"/>
        <family val="2"/>
        <scheme val="minor"/>
      </rPr>
      <t>T</t>
    </r>
    <r>
      <rPr>
        <vertAlign val="subscript"/>
        <sz val="11"/>
        <color theme="1"/>
        <rFont val="Calibri"/>
        <family val="2"/>
        <scheme val="minor"/>
      </rPr>
      <t>2</t>
    </r>
    <r>
      <rPr>
        <vertAlign val="superscript"/>
        <sz val="11"/>
        <color theme="1"/>
        <rFont val="Calibri"/>
        <family val="2"/>
        <scheme val="minor"/>
      </rPr>
      <t>fus</t>
    </r>
    <r>
      <rPr>
        <sz val="11"/>
        <color theme="1"/>
        <rFont val="Calibri"/>
        <family val="2"/>
        <scheme val="minor"/>
      </rPr>
      <t xml:space="preserve"> = 560 K</t>
    </r>
  </si>
  <si>
    <r>
      <rPr>
        <i/>
        <sz val="11"/>
        <color theme="1"/>
        <rFont val="Calibri"/>
        <family val="2"/>
        <scheme val="minor"/>
      </rPr>
      <t>T</t>
    </r>
    <r>
      <rPr>
        <vertAlign val="subscript"/>
        <sz val="11"/>
        <color theme="1"/>
        <rFont val="Calibri"/>
        <family val="2"/>
        <scheme val="minor"/>
      </rPr>
      <t>2</t>
    </r>
    <r>
      <rPr>
        <vertAlign val="superscript"/>
        <sz val="11"/>
        <color theme="1"/>
        <rFont val="Calibri"/>
        <family val="2"/>
        <scheme val="minor"/>
      </rPr>
      <t>fus</t>
    </r>
    <r>
      <rPr>
        <sz val="11"/>
        <color theme="1"/>
        <rFont val="Calibri"/>
        <family val="2"/>
        <scheme val="minor"/>
      </rPr>
      <t xml:space="preserve"> = 569 K</t>
    </r>
  </si>
  <si>
    <r>
      <rPr>
        <i/>
        <sz val="11"/>
        <color theme="1"/>
        <rFont val="Calibri"/>
        <family val="2"/>
        <scheme val="minor"/>
      </rPr>
      <t>T</t>
    </r>
    <r>
      <rPr>
        <vertAlign val="subscript"/>
        <sz val="11"/>
        <color theme="1"/>
        <rFont val="Calibri"/>
        <family val="2"/>
        <scheme val="minor"/>
      </rPr>
      <t>2</t>
    </r>
    <r>
      <rPr>
        <vertAlign val="superscript"/>
        <sz val="11"/>
        <color theme="1"/>
        <rFont val="Calibri"/>
        <family val="2"/>
        <scheme val="minor"/>
      </rPr>
      <t>fus</t>
    </r>
    <r>
      <rPr>
        <sz val="11"/>
        <color theme="1"/>
        <rFont val="Calibri"/>
        <family val="2"/>
        <scheme val="minor"/>
      </rPr>
      <t xml:space="preserve"> = 578 K</t>
    </r>
  </si>
  <si>
    <r>
      <t>Δ</t>
    </r>
    <r>
      <rPr>
        <b/>
        <i/>
        <sz val="11"/>
        <color theme="1"/>
        <rFont val="Calibri"/>
        <family val="2"/>
      </rPr>
      <t>h</t>
    </r>
    <r>
      <rPr>
        <b/>
        <i/>
        <vertAlign val="subscript"/>
        <sz val="11"/>
        <color theme="1"/>
        <rFont val="Calibri"/>
        <family val="2"/>
      </rPr>
      <t>2</t>
    </r>
    <r>
      <rPr>
        <b/>
        <vertAlign val="superscript"/>
        <sz val="11"/>
        <color theme="1"/>
        <rFont val="Calibri"/>
        <family val="2"/>
      </rPr>
      <t>fus</t>
    </r>
    <r>
      <rPr>
        <b/>
        <sz val="11"/>
        <color theme="1"/>
        <rFont val="Calibri"/>
        <family val="2"/>
      </rPr>
      <t xml:space="preserve"> = 22 kJ/mol</t>
    </r>
  </si>
  <si>
    <t>Figure 11(b)</t>
  </si>
  <si>
    <t>Effect of uncertainty in fusion enthalpy on SLE calculations</t>
  </si>
  <si>
    <r>
      <rPr>
        <b/>
        <i/>
        <sz val="11"/>
        <color theme="1"/>
        <rFont val="Calibri"/>
        <family val="2"/>
      </rPr>
      <t>T</t>
    </r>
    <r>
      <rPr>
        <b/>
        <vertAlign val="subscript"/>
        <sz val="11"/>
        <color theme="1"/>
        <rFont val="Calibri"/>
        <family val="2"/>
      </rPr>
      <t>2</t>
    </r>
    <r>
      <rPr>
        <b/>
        <vertAlign val="superscript"/>
        <sz val="11"/>
        <color theme="1"/>
        <rFont val="Calibri"/>
        <family val="2"/>
      </rPr>
      <t>fus</t>
    </r>
    <r>
      <rPr>
        <b/>
        <sz val="11"/>
        <color theme="1"/>
        <rFont val="Calibri"/>
        <family val="2"/>
      </rPr>
      <t xml:space="preserve"> = 569 K</t>
    </r>
  </si>
  <si>
    <r>
      <t>Δh</t>
    </r>
    <r>
      <rPr>
        <vertAlign val="subscript"/>
        <sz val="11"/>
        <color theme="1"/>
        <rFont val="Calibri"/>
        <family val="2"/>
        <scheme val="minor"/>
      </rPr>
      <t>2</t>
    </r>
    <r>
      <rPr>
        <vertAlign val="superscript"/>
        <sz val="11"/>
        <color theme="1"/>
        <rFont val="Calibri"/>
        <family val="2"/>
        <scheme val="minor"/>
      </rPr>
      <t>fus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= 22 kJ/mol</t>
    </r>
  </si>
  <si>
    <r>
      <t>Δh</t>
    </r>
    <r>
      <rPr>
        <vertAlign val="subscript"/>
        <sz val="11"/>
        <color theme="1"/>
        <rFont val="Calibri"/>
        <family val="2"/>
        <scheme val="minor"/>
      </rPr>
      <t>2</t>
    </r>
    <r>
      <rPr>
        <vertAlign val="superscript"/>
        <sz val="11"/>
        <color theme="1"/>
        <rFont val="Calibri"/>
        <family val="2"/>
        <scheme val="minor"/>
      </rPr>
      <t>fus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= 19 kJ/mol</t>
    </r>
  </si>
  <si>
    <r>
      <t>Δh</t>
    </r>
    <r>
      <rPr>
        <vertAlign val="subscript"/>
        <sz val="11"/>
        <color theme="1"/>
        <rFont val="Calibri"/>
        <family val="2"/>
        <scheme val="minor"/>
      </rPr>
      <t>2</t>
    </r>
    <r>
      <rPr>
        <vertAlign val="superscript"/>
        <sz val="11"/>
        <color theme="1"/>
        <rFont val="Calibri"/>
        <family val="2"/>
        <scheme val="minor"/>
      </rPr>
      <t>fus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= 25 kJ/mol</t>
    </r>
  </si>
  <si>
    <t>Figure 12</t>
  </si>
  <si>
    <t>SAFT-gamma Mie calculations of solid-liquid solubility of amino acids in water.</t>
  </si>
  <si>
    <t>Water (1) + alanine (2)</t>
  </si>
  <si>
    <t>An-2020-JChemEngData</t>
  </si>
  <si>
    <t>Water (1) + serine (2)</t>
  </si>
  <si>
    <t>Water (1) + valine (2)</t>
  </si>
  <si>
    <t>Figure 12 (a) and (b)</t>
  </si>
  <si>
    <t>Figure 11 (a) and (b)</t>
  </si>
  <si>
    <t>Figure 13</t>
  </si>
  <si>
    <t>Parity plot of the solubility of amino acids in pure solvents.</t>
  </si>
  <si>
    <t>Solubility parity plot (amino acids in pure solvents)</t>
  </si>
  <si>
    <r>
      <rPr>
        <i/>
        <sz val="11"/>
        <color theme="1"/>
        <rFont val="Calibri"/>
        <family val="2"/>
        <scheme val="minor"/>
      </rPr>
      <t>x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/ (mol/mol) [SAFT-</t>
    </r>
    <r>
      <rPr>
        <sz val="11"/>
        <color theme="1"/>
        <rFont val="Arial"/>
        <family val="2"/>
      </rPr>
      <t>γ</t>
    </r>
    <r>
      <rPr>
        <sz val="11"/>
        <color theme="1"/>
        <rFont val="Calibri"/>
        <family val="2"/>
      </rPr>
      <t xml:space="preserve"> Mie]</t>
    </r>
  </si>
  <si>
    <r>
      <rPr>
        <i/>
        <sz val="11"/>
        <color theme="1"/>
        <rFont val="Calibri"/>
        <family val="2"/>
        <scheme val="minor"/>
      </rPr>
      <t>x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/ (mol/mol) [Exp. data]</t>
    </r>
  </si>
  <si>
    <t>Ethanol (1) + glycine (2)</t>
  </si>
  <si>
    <t>1-propanol (1) + glycine (2)</t>
  </si>
  <si>
    <t>2-propanol (1) + glycine (2)</t>
  </si>
  <si>
    <t>1-butanol (1) + glycine (2)</t>
  </si>
  <si>
    <t>Ethanol (1) + alanine (2)</t>
  </si>
  <si>
    <t>1-propanol (1) + alanine (2)</t>
  </si>
  <si>
    <t>2-propanol (1) + alanine (2)</t>
  </si>
  <si>
    <t>2-methyl-1-propanol (1) + alanine (2)</t>
  </si>
  <si>
    <t>1-butanol (1) + alanine (2)</t>
  </si>
  <si>
    <t>2-butanol (1) + alanine (2)</t>
  </si>
  <si>
    <t>Ethanol (1) + serine (2)</t>
  </si>
  <si>
    <t>1-butanol (1) + serine (2)</t>
  </si>
  <si>
    <t>2-propanol (1) + serine (2)</t>
  </si>
  <si>
    <t>Ethanol (1) + valine (2)</t>
  </si>
  <si>
    <t>2-propanol (1) + valine (2)</t>
  </si>
  <si>
    <t>Abraham-1975-JChemSocPerkinTrans</t>
  </si>
  <si>
    <t>Bowden-2018-JChemEngData</t>
  </si>
  <si>
    <t>Cao-2013-FluidPhEquilib</t>
  </si>
  <si>
    <t>Cohn-1934-JAmChemSoc</t>
  </si>
  <si>
    <t>Dey-1992-JIndianChemSoc</t>
  </si>
  <si>
    <t>Long-2005-JChemEngData</t>
  </si>
  <si>
    <t>Pucher-1921-JAmChemSoc</t>
  </si>
  <si>
    <t>Bouchard-2007-JChemEngData</t>
  </si>
  <si>
    <t>Gude-1996-FluidPhEquilib</t>
  </si>
  <si>
    <t>McMeekin-1936-JAmChemSoc</t>
  </si>
  <si>
    <t>Orella-1991-IndEngChemRes</t>
  </si>
  <si>
    <t>Fan-2019-JChemEngData</t>
  </si>
  <si>
    <t>Zhang-2014-JChemEngData</t>
  </si>
  <si>
    <t>Figure 14</t>
  </si>
  <si>
    <t>Parity plot of the solubility of peptides in water.</t>
  </si>
  <si>
    <t>Solubility parity plot (peptides)</t>
  </si>
  <si>
    <t>Do-2021-IndEngChemRes</t>
  </si>
  <si>
    <t>Water (1) + Gly-Gly (2)</t>
  </si>
  <si>
    <t>Water (1) + Gly-Gly-Gly (2)</t>
  </si>
  <si>
    <t>Water (1) +Ala-Ala (2)</t>
  </si>
  <si>
    <t>Water (1) +Ala-Ala-Ala (2)</t>
  </si>
  <si>
    <t>Water (1) + Gly-Ala (2)</t>
  </si>
  <si>
    <t>Water (1) + Ala-Gly (2)</t>
  </si>
  <si>
    <t>Water (1) + Gly-Gly-Ala (2)</t>
  </si>
  <si>
    <t>Water (1) + Gly-Ala-Gly (2)</t>
  </si>
  <si>
    <t>Water (1) + Ala-Gly-Ala (2)</t>
  </si>
  <si>
    <t>Water (1) + Leu-Gly-Gly (2)</t>
  </si>
  <si>
    <t>Water (1) + Gly-Leu-Gly (2)</t>
  </si>
  <si>
    <t>Water (1) + Gly-Gly-Leu (2)</t>
  </si>
  <si>
    <t>Water (1) + Gly-Ala-Leu (2)</t>
  </si>
  <si>
    <t>Water (1) + Gly-Ser (2)</t>
  </si>
  <si>
    <t>Water (1) + Ser-Gly (2)</t>
  </si>
  <si>
    <t>Water (1) + Ala-Ser (2)</t>
  </si>
  <si>
    <t>Water (1) + Ser-Ala (2)</t>
  </si>
  <si>
    <t>Figure 16</t>
  </si>
  <si>
    <t>Acid-base titration curve</t>
  </si>
  <si>
    <t>pH</t>
  </si>
  <si>
    <r>
      <t>OH</t>
    </r>
    <r>
      <rPr>
        <vertAlign val="superscript"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 xml:space="preserve"> equivalents</t>
    </r>
  </si>
  <si>
    <r>
      <rPr>
        <b/>
        <i/>
        <sz val="11"/>
        <color theme="1"/>
        <rFont val="Calibri"/>
        <family val="2"/>
        <scheme val="minor"/>
      </rPr>
      <t>x</t>
    </r>
    <r>
      <rPr>
        <b/>
        <vertAlign val="subscript"/>
        <sz val="11"/>
        <color theme="1"/>
        <rFont val="Calibri"/>
        <family val="2"/>
        <scheme val="minor"/>
      </rPr>
      <t>gly</t>
    </r>
    <r>
      <rPr>
        <b/>
        <sz val="11"/>
        <color theme="1"/>
        <rFont val="Calibri"/>
        <family val="2"/>
        <scheme val="minor"/>
      </rPr>
      <t xml:space="preserve"> = 0.00265, </t>
    </r>
    <r>
      <rPr>
        <b/>
        <i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= 298.15 K, </t>
    </r>
    <r>
      <rPr>
        <b/>
        <i/>
        <sz val="11"/>
        <color theme="1"/>
        <rFont val="Calibri"/>
        <family val="2"/>
        <scheme val="minor"/>
      </rPr>
      <t>P</t>
    </r>
    <r>
      <rPr>
        <b/>
        <sz val="11"/>
        <color theme="1"/>
        <rFont val="Calibri"/>
        <family val="2"/>
        <scheme val="minor"/>
      </rPr>
      <t xml:space="preserve"> = 1 bar</t>
    </r>
  </si>
  <si>
    <t>Figure 17</t>
  </si>
  <si>
    <t>SAFT-gamma Mie calculations of the acid-base titration curve of glycine.</t>
  </si>
  <si>
    <t>pH-dependent solubility of glycine.</t>
  </si>
  <si>
    <t>Figure 18</t>
  </si>
  <si>
    <t>Figure 19</t>
  </si>
  <si>
    <t>pH-dependent solubility of alanine.</t>
  </si>
  <si>
    <t>The activity of water as a funtion of pH.</t>
  </si>
  <si>
    <t>Figure 17(a)</t>
  </si>
  <si>
    <t>Relative concentration of glycine species</t>
  </si>
  <si>
    <t>298.15 K, 1 bar</t>
  </si>
  <si>
    <r>
      <rPr>
        <i/>
        <sz val="11"/>
        <color theme="1"/>
        <rFont val="Arial"/>
        <family val="2"/>
      </rPr>
      <t>ξ</t>
    </r>
    <r>
      <rPr>
        <vertAlign val="subscript"/>
        <sz val="11"/>
        <color theme="1"/>
        <rFont val="Calibri"/>
        <family val="2"/>
      </rPr>
      <t>l,i</t>
    </r>
  </si>
  <si>
    <t>Gly±</t>
  </si>
  <si>
    <t>Gly+</t>
  </si>
  <si>
    <t>Gly-</t>
  </si>
  <si>
    <t>Figure 17(b)</t>
  </si>
  <si>
    <t>pH-dependent solubility of glycine</t>
  </si>
  <si>
    <t>Experimental Data</t>
  </si>
  <si>
    <r>
      <t>Solubility / (mol kg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</si>
  <si>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298.15 K</t>
  </si>
  <si>
    <t>Needham-1971-JPharmSci</t>
  </si>
  <si>
    <t>318.15 K</t>
  </si>
  <si>
    <t>348.15 K</t>
  </si>
  <si>
    <t>Figure 18(a)</t>
  </si>
  <si>
    <t>Activity of water as a function of pH</t>
  </si>
  <si>
    <r>
      <rPr>
        <i/>
        <sz val="11"/>
        <color theme="1"/>
        <rFont val="Calibri"/>
        <family val="2"/>
        <scheme val="minor"/>
      </rPr>
      <t>a</t>
    </r>
    <r>
      <rPr>
        <vertAlign val="subscript"/>
        <sz val="11"/>
        <color theme="1"/>
        <rFont val="Calibri"/>
        <family val="2"/>
        <scheme val="minor"/>
      </rPr>
      <t>W</t>
    </r>
  </si>
  <si>
    <t>Figure 18(b)</t>
  </si>
  <si>
    <t>Figure 19(a)</t>
  </si>
  <si>
    <t>Relative concentration of alanine species</t>
  </si>
  <si>
    <t>Ala±</t>
  </si>
  <si>
    <t>Ala+</t>
  </si>
  <si>
    <t>Ala-</t>
  </si>
  <si>
    <t>Tseng-2009-FluidPhEquilib</t>
  </si>
  <si>
    <t>Figure 19(b)</t>
  </si>
  <si>
    <t>pH-dependent solubility of alanine</t>
  </si>
  <si>
    <t>Branch-1930-JAmChemSoc</t>
  </si>
  <si>
    <t>Guo-2022-JMolLiq; Do-2021-IndEngChemRes</t>
  </si>
  <si>
    <t>Talukdar-1988-CanJChem</t>
  </si>
  <si>
    <t>References</t>
  </si>
  <si>
    <t>1, 2, 3, 4</t>
  </si>
  <si>
    <t>1, 6, 10</t>
  </si>
  <si>
    <t>5, 1, 6-11</t>
  </si>
  <si>
    <t>1, 6, 10, 12</t>
  </si>
  <si>
    <t>13, 6, 14</t>
  </si>
  <si>
    <t>2, 15</t>
  </si>
  <si>
    <t>5, 1, 15, 7, 9, 10</t>
  </si>
  <si>
    <t>13, 15</t>
  </si>
  <si>
    <t>16, 1, 15, 10</t>
  </si>
  <si>
    <t>9, 17</t>
  </si>
  <si>
    <t>13, 17</t>
  </si>
  <si>
    <t>Chua-2018-RSCAdv</t>
  </si>
  <si>
    <t>Do-2020-RSCAdv</t>
  </si>
  <si>
    <t>Do-2019-RSCAdv</t>
  </si>
  <si>
    <r>
      <t>T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vertAlign val="superscript"/>
        <sz val="11"/>
        <color theme="1"/>
        <rFont val="Calibri"/>
        <family val="2"/>
        <scheme val="minor"/>
      </rPr>
      <t>fus</t>
    </r>
    <r>
      <rPr>
        <b/>
        <sz val="11"/>
        <color theme="1"/>
        <rFont val="Calibri"/>
        <family val="2"/>
        <scheme val="minor"/>
      </rPr>
      <t xml:space="preserve"> / K</t>
    </r>
  </si>
  <si>
    <r>
      <t>Δh</t>
    </r>
    <r>
      <rPr>
        <b/>
        <vertAlign val="subscript"/>
        <sz val="11"/>
        <color theme="1"/>
        <rFont val="Calibri"/>
        <family val="2"/>
      </rPr>
      <t>i</t>
    </r>
    <r>
      <rPr>
        <b/>
        <vertAlign val="superscript"/>
        <sz val="11"/>
        <color theme="1"/>
        <rFont val="Calibri"/>
        <family val="2"/>
      </rPr>
      <t>fus</t>
    </r>
    <r>
      <rPr>
        <b/>
        <sz val="11"/>
        <color theme="1"/>
        <rFont val="Calibri"/>
        <family val="2"/>
      </rPr>
      <t xml:space="preserve"> / kJ mol</t>
    </r>
    <r>
      <rPr>
        <b/>
        <vertAlign val="superscript"/>
        <sz val="11"/>
        <color theme="1"/>
        <rFont val="Calibri"/>
        <family val="2"/>
      </rPr>
      <t>-1</t>
    </r>
  </si>
  <si>
    <r>
      <t>Δc</t>
    </r>
    <r>
      <rPr>
        <b/>
        <vertAlign val="subscript"/>
        <sz val="11"/>
        <color theme="1"/>
        <rFont val="Calibri"/>
        <family val="2"/>
      </rPr>
      <t>p,i</t>
    </r>
    <r>
      <rPr>
        <b/>
        <sz val="11"/>
        <color theme="1"/>
        <rFont val="Calibri"/>
        <family val="2"/>
      </rPr>
      <t xml:space="preserve"> / J mol</t>
    </r>
    <r>
      <rPr>
        <b/>
        <vertAlign val="superscript"/>
        <sz val="11"/>
        <color theme="1"/>
        <rFont val="Calibri"/>
        <family val="2"/>
      </rPr>
      <t>-1</t>
    </r>
    <r>
      <rPr>
        <b/>
        <sz val="11"/>
        <color theme="1"/>
        <rFont val="Calibri"/>
        <family val="2"/>
      </rPr>
      <t xml:space="preserve"> K</t>
    </r>
    <r>
      <rPr>
        <b/>
        <vertAlign val="superscript"/>
        <sz val="11"/>
        <color theme="1"/>
        <rFont val="Calibri"/>
        <family val="2"/>
      </rPr>
      <t>-1</t>
    </r>
  </si>
  <si>
    <t>Pradhan-1981-ProcIndianAcSci</t>
  </si>
  <si>
    <t>Thacker-1954-TransFaradaySoc</t>
  </si>
  <si>
    <t>Kimura-2013-ThermAnalCalorim</t>
  </si>
  <si>
    <t>Iloukhani-2017-JsolutionChem</t>
  </si>
  <si>
    <t>Dominguez-2000-JMolLiq</t>
  </si>
  <si>
    <t>Weng-2004-JChemEngData</t>
  </si>
  <si>
    <t>AmerAmezaga-1975-AnnQuim</t>
  </si>
  <si>
    <t>Iwarere-2014-FluidPhEquilib</t>
  </si>
  <si>
    <t>Behroozi-2012-JChemEngData</t>
  </si>
  <si>
    <t>ChialiBaba-2012-JChemThermodyn</t>
  </si>
  <si>
    <t>Simon-1935-ZElekAngPhysChem</t>
  </si>
  <si>
    <t>Shirai-1956-BullChemSocJpn</t>
  </si>
  <si>
    <t>Torres-2008-JMolLiq</t>
  </si>
  <si>
    <t>Saleh-2000-PhysChemLiq</t>
  </si>
  <si>
    <t>Matteoli-2003-FluidPhEquilib</t>
  </si>
  <si>
    <t>Brunner-1978-BerBunsPhysChem</t>
  </si>
  <si>
    <t>Gertler-1955-AgriResService</t>
  </si>
  <si>
    <t>Millero-1968-JPhysChem</t>
  </si>
  <si>
    <t>Hoover-1964-JPhysChem</t>
  </si>
  <si>
    <t>vanEvercooren-1975-BullSocChimBelg</t>
  </si>
  <si>
    <t>deHaan-1995-JChemEngData</t>
  </si>
  <si>
    <t>Assarsson-1968-JPhysChem</t>
  </si>
  <si>
    <t>Casteel-1974-JChemEngData</t>
  </si>
  <si>
    <t>Manczinger-1975-ZPhysChemNeueFolge</t>
  </si>
  <si>
    <t>Hoerr-1944-JOrgChem</t>
  </si>
  <si>
    <t>Cepeda-2009-JChemEngData</t>
  </si>
  <si>
    <t>Goncalves-2019-JChemEngData</t>
  </si>
  <si>
    <t>Calvo-2009-JChemEngData</t>
  </si>
  <si>
    <t>Domanska-1987-IndEngChemRes</t>
  </si>
  <si>
    <t>Calvo-2008-JChemEngData</t>
  </si>
  <si>
    <t>14, 15</t>
  </si>
  <si>
    <t>17, 18</t>
  </si>
  <si>
    <t>12, 23</t>
  </si>
  <si>
    <t>24, 25</t>
  </si>
  <si>
    <t>25, 26</t>
  </si>
  <si>
    <t>27, 28</t>
  </si>
  <si>
    <t>24, 30</t>
  </si>
  <si>
    <t>32 - 34</t>
  </si>
  <si>
    <t>35 - 39</t>
  </si>
  <si>
    <t>24, 42</t>
  </si>
  <si>
    <t>44, 45</t>
  </si>
  <si>
    <t>41, 48, 49</t>
  </si>
  <si>
    <t>48, 49</t>
  </si>
  <si>
    <t>52, 53</t>
  </si>
  <si>
    <t>50 - 52, 55</t>
  </si>
  <si>
    <t>56 - 58</t>
  </si>
  <si>
    <t>56, 58, 59</t>
  </si>
  <si>
    <t>56, 58, 60, 61</t>
  </si>
  <si>
    <r>
      <rPr>
        <i/>
        <sz val="11"/>
        <color theme="1"/>
        <rFont val="Calibri"/>
        <family val="2"/>
        <scheme val="minor"/>
      </rPr>
      <t>T</t>
    </r>
    <r>
      <rPr>
        <vertAlign val="subscript"/>
        <sz val="11"/>
        <color theme="1"/>
        <rFont val="Calibri"/>
        <family val="2"/>
        <scheme val="minor"/>
      </rPr>
      <t>avg</t>
    </r>
    <r>
      <rPr>
        <sz val="11"/>
        <color theme="1"/>
        <rFont val="Calibri"/>
        <family val="2"/>
        <scheme val="minor"/>
      </rPr>
      <t xml:space="preserve"> = 279.1 K</t>
    </r>
  </si>
  <si>
    <r>
      <rPr>
        <i/>
        <sz val="11"/>
        <color theme="1"/>
        <rFont val="Calibri"/>
        <family val="2"/>
        <scheme val="minor"/>
      </rPr>
      <t>T</t>
    </r>
    <r>
      <rPr>
        <vertAlign val="subscript"/>
        <sz val="11"/>
        <color theme="1"/>
        <rFont val="Calibri"/>
        <family val="2"/>
        <scheme val="minor"/>
      </rPr>
      <t>avg</t>
    </r>
    <r>
      <rPr>
        <sz val="11"/>
        <color theme="1"/>
        <rFont val="Calibri"/>
        <family val="2"/>
        <scheme val="minor"/>
      </rPr>
      <t xml:space="preserve"> = 328.28 K</t>
    </r>
  </si>
  <si>
    <r>
      <rPr>
        <i/>
        <sz val="11"/>
        <color theme="1"/>
        <rFont val="Calibri"/>
        <family val="2"/>
        <scheme val="minor"/>
      </rPr>
      <t>T</t>
    </r>
    <r>
      <rPr>
        <vertAlign val="subscript"/>
        <sz val="11"/>
        <color theme="1"/>
        <rFont val="Calibri"/>
        <family val="2"/>
        <scheme val="minor"/>
      </rPr>
      <t>avg</t>
    </r>
    <r>
      <rPr>
        <sz val="11"/>
        <color theme="1"/>
        <rFont val="Calibri"/>
        <family val="2"/>
        <scheme val="minor"/>
      </rPr>
      <t xml:space="preserve"> = 367.9 K</t>
    </r>
  </si>
  <si>
    <t>Note this is the Adjancent CH2-COO- interaction</t>
  </si>
  <si>
    <t>species</t>
  </si>
  <si>
    <t>Mw</t>
  </si>
  <si>
    <t>vst</t>
  </si>
  <si>
    <t>S</t>
  </si>
  <si>
    <t>lambda_r</t>
  </si>
  <si>
    <t>sigma</t>
  </si>
  <si>
    <t>epsilon</t>
  </si>
  <si>
    <t>n_H</t>
  </si>
  <si>
    <t>n_e1</t>
  </si>
  <si>
    <t>n_e2</t>
  </si>
  <si>
    <t>species,Mw,vst,S,lambda_r,lamda_a,sigma,epsilon,n_H,n_e1,n_e2</t>
  </si>
  <si>
    <t>COOH,45.02,1,0.55593,8,6,4.3331,405.78,1,2,2</t>
  </si>
  <si>
    <t>species1</t>
  </si>
  <si>
    <t>species2</t>
  </si>
  <si>
    <t>species1,species2,epsilon,lambda_r</t>
  </si>
  <si>
    <t>H2O,COOH,289.76,</t>
  </si>
  <si>
    <t>H2O,NH2,358.55,</t>
  </si>
  <si>
    <t>H2O,CH3,358.18,100</t>
  </si>
  <si>
    <t>H2O,CH2,423.63,100</t>
  </si>
  <si>
    <t>H2O,CH,275.75,</t>
  </si>
  <si>
    <t>H2O,CH2OH,353.37,</t>
  </si>
  <si>
    <t>H2O,CHOH,479.16,</t>
  </si>
  <si>
    <t>H2O,COO-,171.61,</t>
  </si>
  <si>
    <t>H2O,NH3+,450.21,</t>
  </si>
  <si>
    <t>H2O,H3O+,391.04,</t>
  </si>
  <si>
    <t>H2O,OH-,134.41,</t>
  </si>
  <si>
    <t>H2O,CONH,379.59007329,</t>
  </si>
  <si>
    <t>H2O,Na+,539.68,</t>
  </si>
  <si>
    <t>H2O,Cl-,95.406,</t>
  </si>
  <si>
    <t>COOH,NH2,285,</t>
  </si>
  <si>
    <t>COOH,CH3,255.99,</t>
  </si>
  <si>
    <t>COOH,CH2,413.74,</t>
  </si>
  <si>
    <t>COOH,CH,504.99,</t>
  </si>
  <si>
    <t>COOH,CH2OH,488.18,</t>
  </si>
  <si>
    <t>COOH,CHOH,1154.34,50</t>
  </si>
  <si>
    <t>COOH,COO-,405.78,8</t>
  </si>
  <si>
    <t>COOH,NH3+,388.58,</t>
  </si>
  <si>
    <t>COOH,H3O+,,</t>
  </si>
  <si>
    <t>COOH,OH-,,</t>
  </si>
  <si>
    <t>COOH,CONH,670.039574263,</t>
  </si>
  <si>
    <t>COOH,Na+,,</t>
  </si>
  <si>
    <t>COOH,Cl-,,</t>
  </si>
  <si>
    <t>NH2,CH3,244.15,</t>
  </si>
  <si>
    <t>NH2,CH2,348.39,</t>
  </si>
  <si>
    <t>NH2,CH,278.259,</t>
  </si>
  <si>
    <t>NH2,CH2OH,528.21,52.305</t>
  </si>
  <si>
    <t>NH2,CHOH,415.535746703,10.6429310725</t>
  </si>
  <si>
    <t>NH2,COO-,,</t>
  </si>
  <si>
    <t>NH2,NH3+,284.78,</t>
  </si>
  <si>
    <t>NH2,H3O+,,</t>
  </si>
  <si>
    <t>NH2,OH-,,</t>
  </si>
  <si>
    <t>NH2,CONH,150.77,</t>
  </si>
  <si>
    <t>NH2,Na+,,</t>
  </si>
  <si>
    <t>NH2,Cl-,,</t>
  </si>
  <si>
    <t>CH3,CH2,350.77,</t>
  </si>
  <si>
    <t>CH3,CH,387.48,</t>
  </si>
  <si>
    <t>CH3,CH2OH,333.2,</t>
  </si>
  <si>
    <t>CH3,CHOH,479.38,</t>
  </si>
  <si>
    <t>CH3,COO-,255.99,</t>
  </si>
  <si>
    <t>CH3,NH3+,244.15,</t>
  </si>
  <si>
    <t>CH3,H3O+,,</t>
  </si>
  <si>
    <t>CH3,Na+,,</t>
  </si>
  <si>
    <t>CH3,Cl-,,</t>
  </si>
  <si>
    <t>CH3,OH-,,</t>
  </si>
  <si>
    <t>CH3,CONH,430.6028,</t>
  </si>
  <si>
    <t>CH2,CH,506.21,</t>
  </si>
  <si>
    <t>CH2,CH2OH,423.17,</t>
  </si>
  <si>
    <t>CH2,CHOH,517.64,</t>
  </si>
  <si>
    <t>CH2,COO-,780.24,</t>
  </si>
  <si>
    <t>CH2,NH3+,348.39,</t>
  </si>
  <si>
    <t>CH2,H3O+,,</t>
  </si>
  <si>
    <t>CH2,OH-,,</t>
  </si>
  <si>
    <t>CH2,CONH,315,</t>
  </si>
  <si>
    <t>CH2,Na+,,</t>
  </si>
  <si>
    <t>CH2,Cl-,,</t>
  </si>
  <si>
    <t>CH,CH2OH,329.22,</t>
  </si>
  <si>
    <t>CH,CHOH,0,</t>
  </si>
  <si>
    <t>CH,COO-,504.99,</t>
  </si>
  <si>
    <t>CH,NH3+,151.01,</t>
  </si>
  <si>
    <t>CH,H3O+,,</t>
  </si>
  <si>
    <t>CH,OH-,,</t>
  </si>
  <si>
    <t>CH,CONH,,</t>
  </si>
  <si>
    <t>CH,Na+,,</t>
  </si>
  <si>
    <t>CH,Cl-,,</t>
  </si>
  <si>
    <t>CH2OH,CHOH,389.23,</t>
  </si>
  <si>
    <t>CH2OH,CONH,,</t>
  </si>
  <si>
    <t>COO-,NH3+,26.33,</t>
  </si>
  <si>
    <t>COO-,H3O+,27.74,</t>
  </si>
  <si>
    <t>COO-,OH-,44.52,</t>
  </si>
  <si>
    <t>COO-,Na+,9.9125,</t>
  </si>
  <si>
    <t>COO-,Cl-,21.265,</t>
  </si>
  <si>
    <t>NH3+,H3O+,56.958,</t>
  </si>
  <si>
    <t>NH3+,OH-,62.238,</t>
  </si>
  <si>
    <t>NH3+,Na+,,</t>
  </si>
  <si>
    <t>NH3+,Cl-,65.2566,</t>
  </si>
  <si>
    <t>H3O+,OH-,66.439,</t>
  </si>
  <si>
    <t>H3O+,Na+,37.48,</t>
  </si>
  <si>
    <t>H3O+,Cl-,70.552,</t>
  </si>
  <si>
    <t>OH-,Na+,27.898,</t>
  </si>
  <si>
    <t>OH-,Cl-,123.21,</t>
  </si>
  <si>
    <t>Na+,Cl-,27.938,</t>
  </si>
  <si>
    <t>site1</t>
  </si>
  <si>
    <t>site2</t>
  </si>
  <si>
    <t>epsilon_assoc</t>
  </si>
  <si>
    <t>bondvol</t>
  </si>
  <si>
    <t>species1,site1,species2,site2,epsilon_assoc,bondvol</t>
  </si>
  <si>
    <t>H2O,H,H2O,e1,1985.4,1.0169E-28</t>
  </si>
  <si>
    <t>H2O,e1,COOH,H,2567.7,2.7009E-28</t>
  </si>
  <si>
    <t>H2O,H,COOH,e1,1451.8,2.8089E-28</t>
  </si>
  <si>
    <t>H2O,H,COOH,e2,1252.6,1.5098E-28</t>
  </si>
  <si>
    <t>H2O,H,NH2,e1,1460,1.796E-28</t>
  </si>
  <si>
    <t>H2O,e1,NH2,H,1988.3,5.5824E-29</t>
  </si>
  <si>
    <t>H2O,H,CH2OH,e1,2153.2,1.474E-28</t>
  </si>
  <si>
    <t>H2O,e1,CH2OH,H,621.68,4.25E-28</t>
  </si>
  <si>
    <t>H2O,H,CHOH,e1,2140.9,1.9478E-29</t>
  </si>
  <si>
    <t>H2O,e1,CHOH,H,2289.1,6.3813E-29</t>
  </si>
  <si>
    <t>H2O,H,COO-,e1,802.21,5.2555E-29</t>
  </si>
  <si>
    <t>H2O,e1,NH3+,H,2016.6,4.9397E-29</t>
  </si>
  <si>
    <t>H2O,e1,H3O+,H,1985.4,1.0169E-28</t>
  </si>
  <si>
    <t>H2O,H,OH-,e1,1492,7.6411E-29</t>
  </si>
  <si>
    <t>H2O,H,CONH,e1,1986.15540678,2.36587435076E-28</t>
  </si>
  <si>
    <t>H2O,e1,CONH,H,3061.48979745,1.30807183315E-28</t>
  </si>
  <si>
    <t>COOH,H,COOH,H,6427.9,8.062E-31</t>
  </si>
  <si>
    <t>COOH,H,NH2,e1,4000,1E-28</t>
  </si>
  <si>
    <t>COOH,e1,NH2,H,1446.624,1E-28</t>
  </si>
  <si>
    <t>COOH,e2,NH2,H,1220.143,1E-28</t>
  </si>
  <si>
    <t>COOH,H,CH2OH,e1,3238.4,3.605E-29</t>
  </si>
  <si>
    <t>COOH,e1,CH2OH,H,1062.1,2.1067E-28</t>
  </si>
  <si>
    <t>COOH,e2,CH2OH,H,997.89,2.2707E-28</t>
  </si>
  <si>
    <t>COOH,H,CHOH,e1,4000,1.083438E-29</t>
  </si>
  <si>
    <t>COOH,e1,CHOH,H,305.01688,1E-30</t>
  </si>
  <si>
    <t>COOH,e2,CHOH,H,319.86784,1E-31</t>
  </si>
  <si>
    <t>COOH,e1,NH3+,H,334.08,1.35E-29</t>
  </si>
  <si>
    <t>COOH,e2,NH3+,H,366.54,9.99E-27</t>
  </si>
  <si>
    <t>COOH,e1,H3O+,H,1451.8,2.8089E-28</t>
  </si>
  <si>
    <t>COOH,e2,H3O+,H,1252.6,1.5098E-28</t>
  </si>
  <si>
    <t>COOH,H,OH-,e1,2036,2.1416E-28</t>
  </si>
  <si>
    <t>COOH,H,CONH,e1,2487.22158057,2.42724804648E-28</t>
  </si>
  <si>
    <t>COOH,e1,CONH,H,1723.46443955,4.61802409928E-28</t>
  </si>
  <si>
    <t>COOH,e2,CONH,H,1723.46443955,4.61802409928E-28</t>
  </si>
  <si>
    <t>NH2,e1,NH2,H,1070.8,9.5225E-29</t>
  </si>
  <si>
    <t>NH2,H,CH2OH,e1,629.88,3.4608E-28</t>
  </si>
  <si>
    <t>NH2,e1,CH2OH,H,2403.8,2.6192E-29</t>
  </si>
  <si>
    <t>NH2,H,CHOH,e1,1524.85714625,1.032195E-28</t>
  </si>
  <si>
    <t>NH2,e1,CHOH,H,1470.33396066,3.03470375E-28</t>
  </si>
  <si>
    <t>NH2,H,COO-,e1,1220.143,1E-28</t>
  </si>
  <si>
    <t>NH2,e1,NH3+,H,1070.8,9.5225E-29</t>
  </si>
  <si>
    <t>NH2,e1,H3O+,H,1460,1.796E-28</t>
  </si>
  <si>
    <t>NH2,H,OH-,e1,1511.4,4.2436E-29</t>
  </si>
  <si>
    <t>NH2,e1,CONH,H,2807.1,1.2283E-28</t>
  </si>
  <si>
    <t>NH2,H,CONH,e1,1687.6,1.2283E-28</t>
  </si>
  <si>
    <t>CH2OH,H,CH2OH,e1,2097.9,6.2309E-29</t>
  </si>
  <si>
    <t>CH2OH,H,CHOH,e1,2500,1.0444E-29</t>
  </si>
  <si>
    <t>CH2OH,e1,CHOH,H,1464.1,5.9155E-28</t>
  </si>
  <si>
    <t>CH2OH,H,CONH,e1,2583.57804,1.0183737E-28</t>
  </si>
  <si>
    <t>CH2OH,e1,CONH,H,2583.57804,1.0183737E-28</t>
  </si>
  <si>
    <t>CHOH,H,CHOH,e1,2480.6,8.474E-30</t>
  </si>
  <si>
    <t>COO-,e1,NH3+,H,1767,1.35E-29</t>
  </si>
  <si>
    <t>COO-,e1,H3O+,H,802.21,5.2555E-29</t>
  </si>
  <si>
    <t>NH3+,H,OH-,e1,1988.3,5.5824E-29</t>
  </si>
  <si>
    <t>H3O+,H,OH-,e1,1492,7.6411E-29</t>
  </si>
  <si>
    <t>CONH,H,CONH,e1,3181.6938,1.55314E-28</t>
  </si>
  <si>
    <t>H2O,18.01528,1,1,17.02,6,3.0063,266.68,2,2,0</t>
  </si>
  <si>
    <t>NH2,16.02,1,0.79675,10.254,6,3.2477,284.78,2,1,0</t>
  </si>
  <si>
    <t>CH3,15.04,1,0.57255,15.05,6,4.0772,256.77,0,0,0</t>
  </si>
  <si>
    <t>CH2,14.03,1,0.22932,19.871,6,4.8801,473.39,0,0,0</t>
  </si>
  <si>
    <t>CH,13.02,1,0.0721,8,6,5.295,95.621,0,0,0</t>
  </si>
  <si>
    <t>CH2OH,31.034,2,0.58538,22.699,6,3.4054,407.22,1,2,0</t>
  </si>
  <si>
    <t>CHOH,31.02,2,0.18963,18.185,6,4.5381,599.66,1,2,0</t>
  </si>
  <si>
    <t>CONH,44.03,2,0.73764,29.8393,6,2.9482,156.1242,1,2,0</t>
  </si>
  <si>
    <t>COO-,44.009,1,0.55593,8,6,4.3331,21.264,0,4,0</t>
  </si>
  <si>
    <t>NH3+,17.031,1,0.79675,10.254,6,3.2477,48.3,3,0,0</t>
  </si>
  <si>
    <t>H3O+,19.025,1,1,17.02,6,3.0063,68.19,3,0,0</t>
  </si>
  <si>
    <t>OH-,17.007,1,1,17.02,6,2.46,170.24,0,3,0</t>
  </si>
  <si>
    <t>Na+,22.99,1,1,12,6,2.32,31.711,0,0,0</t>
  </si>
  <si>
    <t>Cl-,35.45,1,1,12,6,3.34,113.77,0,0,0</t>
  </si>
  <si>
    <t>lambda_a</t>
  </si>
  <si>
    <t>COO-,1,0.55593,8,6,4.3331,21.264,0,4,0,</t>
  </si>
  <si>
    <t>COO,1,0.65264,31.189,6,3.9939,868.92,0,2,0,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</si>
</sst>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[&lt;10]0.0000;[&lt;100]00.000;000.00"/>
    <numFmt numFmtId="165" formatCode="0.000"/>
    <numFmt numFmtId="166" formatCode="0.0000"/>
    <numFmt numFmtId="167" formatCode="0.00000"/>
    <numFmt numFmtId="168" formatCode="0.000000"/>
    <numFmt numFmtId="169" formatCode="0.0"/>
    <numFmt numFmtId="170" formatCode="0.0000000"/>
    <numFmt numFmtId="171" formatCode="#,##0\ [$€-1];[Red]\-#,##0\ [$€-1]"/>
    <numFmt numFmtId="172" formatCode="0.000E+00"/>
    <numFmt numFmtId="173" formatCode="0.0000E+00"/>
    <numFmt numFmtId="174" formatCode="0.00000000"/>
  </numFmts>
  <fonts count="2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</font>
    <font>
      <sz val="10"/>
      <color theme="1"/>
      <name val="ArialMT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b/>
      <vertAlign val="subscript"/>
      <sz val="11"/>
      <color theme="1"/>
      <name val="Calibri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vertAlign val="superscript"/>
      <sz val="11"/>
      <color theme="1"/>
      <name val="Arial"/>
      <family val="2"/>
    </font>
    <font>
      <u/>
      <sz val="11"/>
      <color theme="10"/>
      <name val="Calibri"/>
      <family val="2"/>
    </font>
    <font>
      <i/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</font>
    <font>
      <b/>
      <i/>
      <vertAlign val="subscript"/>
      <sz val="11"/>
      <color theme="1"/>
      <name val="Calibri"/>
      <family val="2"/>
    </font>
    <font>
      <b/>
      <vertAlign val="superscript"/>
      <sz val="11"/>
      <color theme="1"/>
      <name val="Calibri"/>
      <family val="2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326">
    <xf numFmtId="0" fontId="0" fillId="0" borderId="0" xfId="0"/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170" fontId="0" fillId="2" borderId="4" xfId="0" applyNumberFormat="1" applyFill="1" applyBorder="1" applyAlignment="1">
      <alignment horizontal="center" vertical="center"/>
    </xf>
    <xf numFmtId="169" fontId="0" fillId="2" borderId="5" xfId="0" applyNumberFormat="1" applyFill="1" applyBorder="1" applyAlignment="1">
      <alignment horizontal="center" vertical="center"/>
    </xf>
    <xf numFmtId="168" fontId="0" fillId="2" borderId="4" xfId="0" applyNumberFormat="1" applyFill="1" applyBorder="1" applyAlignment="1">
      <alignment horizontal="center" vertical="center"/>
    </xf>
    <xf numFmtId="168" fontId="0" fillId="2" borderId="6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9" fontId="0" fillId="2" borderId="0" xfId="0" applyNumberFormat="1" applyFill="1" applyAlignment="1">
      <alignment horizontal="center" vertical="center"/>
    </xf>
    <xf numFmtId="169" fontId="0" fillId="2" borderId="7" xfId="0" applyNumberForma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170" fontId="0" fillId="4" borderId="4" xfId="0" applyNumberFormat="1" applyFill="1" applyBorder="1"/>
    <xf numFmtId="169" fontId="0" fillId="4" borderId="5" xfId="0" applyNumberFormat="1" applyFill="1" applyBorder="1"/>
    <xf numFmtId="168" fontId="0" fillId="4" borderId="4" xfId="0" applyNumberFormat="1" applyFill="1" applyBorder="1"/>
    <xf numFmtId="167" fontId="0" fillId="4" borderId="6" xfId="0" applyNumberFormat="1" applyFill="1" applyBorder="1"/>
    <xf numFmtId="169" fontId="0" fillId="4" borderId="8" xfId="0" applyNumberFormat="1" applyFill="1" applyBorder="1"/>
    <xf numFmtId="168" fontId="0" fillId="2" borderId="5" xfId="0" applyNumberFormat="1" applyFill="1" applyBorder="1" applyAlignment="1">
      <alignment horizontal="center" vertical="center"/>
    </xf>
    <xf numFmtId="167" fontId="0" fillId="2" borderId="5" xfId="0" applyNumberForma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167" fontId="0" fillId="2" borderId="8" xfId="0" applyNumberFormat="1" applyFill="1" applyBorder="1" applyAlignment="1">
      <alignment horizontal="center" vertical="center"/>
    </xf>
    <xf numFmtId="168" fontId="0" fillId="2" borderId="8" xfId="0" applyNumberForma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8" fontId="0" fillId="2" borderId="0" xfId="0" applyNumberFormat="1" applyFill="1" applyAlignment="1">
      <alignment horizontal="center" vertical="center"/>
    </xf>
    <xf numFmtId="168" fontId="0" fillId="2" borderId="7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2" fontId="0" fillId="2" borderId="4" xfId="0" applyNumberFormat="1" applyFill="1" applyBorder="1" applyAlignment="1">
      <alignment horizontal="center" vertical="center"/>
    </xf>
    <xf numFmtId="170" fontId="0" fillId="2" borderId="0" xfId="0" applyNumberFormat="1" applyFill="1" applyAlignment="1">
      <alignment horizontal="center" vertical="center"/>
    </xf>
    <xf numFmtId="2" fontId="0" fillId="2" borderId="5" xfId="0" applyNumberFormat="1" applyFill="1" applyBorder="1" applyAlignment="1">
      <alignment horizontal="center" vertical="center"/>
    </xf>
    <xf numFmtId="1" fontId="0" fillId="2" borderId="5" xfId="0" applyNumberForma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170" fontId="0" fillId="2" borderId="7" xfId="0" applyNumberForma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1" fontId="0" fillId="2" borderId="7" xfId="0" applyNumberForma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170" fontId="0" fillId="4" borderId="0" xfId="0" applyNumberFormat="1" applyFill="1" applyAlignment="1">
      <alignment horizontal="center" vertical="center"/>
    </xf>
    <xf numFmtId="2" fontId="0" fillId="4" borderId="5" xfId="0" applyNumberFormat="1" applyFill="1" applyBorder="1"/>
    <xf numFmtId="1" fontId="0" fillId="4" borderId="5" xfId="0" applyNumberFormat="1" applyFill="1" applyBorder="1"/>
    <xf numFmtId="2" fontId="0" fillId="4" borderId="6" xfId="0" applyNumberFormat="1" applyFill="1" applyBorder="1" applyAlignment="1">
      <alignment horizontal="center" vertical="center"/>
    </xf>
    <xf numFmtId="170" fontId="0" fillId="4" borderId="7" xfId="0" applyNumberFormat="1" applyFill="1" applyBorder="1" applyAlignment="1">
      <alignment horizontal="center" vertical="center"/>
    </xf>
    <xf numFmtId="1" fontId="0" fillId="4" borderId="8" xfId="0" applyNumberFormat="1" applyFill="1" applyBorder="1"/>
    <xf numFmtId="165" fontId="0" fillId="4" borderId="5" xfId="0" applyNumberFormat="1" applyFill="1" applyBorder="1" applyAlignment="1">
      <alignment horizontal="center" vertical="center"/>
    </xf>
    <xf numFmtId="2" fontId="0" fillId="4" borderId="5" xfId="0" applyNumberFormat="1" applyFill="1" applyBorder="1" applyAlignment="1">
      <alignment horizontal="center" vertical="center"/>
    </xf>
    <xf numFmtId="169" fontId="0" fillId="4" borderId="5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" fontId="0" fillId="4" borderId="8" xfId="0" applyNumberForma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65" fontId="0" fillId="2" borderId="5" xfId="0" applyNumberFormat="1" applyFill="1" applyBorder="1" applyAlignment="1">
      <alignment horizontal="center" vertical="center"/>
    </xf>
    <xf numFmtId="167" fontId="0" fillId="2" borderId="0" xfId="0" applyNumberForma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6" fontId="0" fillId="2" borderId="7" xfId="0" applyNumberFormat="1" applyFill="1" applyBorder="1" applyAlignment="1">
      <alignment horizontal="center" vertical="center"/>
    </xf>
    <xf numFmtId="2" fontId="0" fillId="2" borderId="8" xfId="0" applyNumberFormat="1" applyFill="1" applyBorder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2" borderId="7" xfId="0" applyNumberForma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168" fontId="0" fillId="4" borderId="0" xfId="0" applyNumberFormat="1" applyFill="1" applyAlignment="1">
      <alignment horizontal="center" vertical="center"/>
    </xf>
    <xf numFmtId="167" fontId="0" fillId="4" borderId="0" xfId="0" applyNumberFormat="1" applyFill="1" applyAlignment="1">
      <alignment horizontal="center" vertical="center"/>
    </xf>
    <xf numFmtId="166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166" fontId="0" fillId="4" borderId="7" xfId="0" applyNumberFormat="1" applyFill="1" applyBorder="1" applyAlignment="1">
      <alignment horizontal="center" vertical="center"/>
    </xf>
    <xf numFmtId="165" fontId="0" fillId="4" borderId="7" xfId="0" applyNumberFormat="1" applyFill="1" applyBorder="1" applyAlignment="1">
      <alignment horizontal="center" vertical="center"/>
    </xf>
    <xf numFmtId="165" fontId="0" fillId="4" borderId="8" xfId="0" applyNumberFormat="1" applyFill="1" applyBorder="1" applyAlignment="1">
      <alignment horizontal="center" vertical="center"/>
    </xf>
    <xf numFmtId="167" fontId="0" fillId="2" borderId="4" xfId="0" applyNumberFormat="1" applyFill="1" applyBorder="1" applyAlignment="1">
      <alignment horizontal="center" vertical="center"/>
    </xf>
    <xf numFmtId="167" fontId="0" fillId="2" borderId="6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66" fontId="0" fillId="4" borderId="4" xfId="0" applyNumberFormat="1" applyFill="1" applyBorder="1" applyAlignment="1">
      <alignment horizontal="center" vertical="center"/>
    </xf>
    <xf numFmtId="167" fontId="0" fillId="4" borderId="5" xfId="0" applyNumberFormat="1" applyFill="1" applyBorder="1" applyAlignment="1">
      <alignment horizontal="center" vertical="center"/>
    </xf>
    <xf numFmtId="167" fontId="0" fillId="4" borderId="4" xfId="0" applyNumberFormat="1" applyFill="1" applyBorder="1" applyAlignment="1">
      <alignment horizontal="center" vertical="center"/>
    </xf>
    <xf numFmtId="168" fontId="0" fillId="4" borderId="4" xfId="0" applyNumberFormat="1" applyFill="1" applyBorder="1" applyAlignment="1">
      <alignment horizontal="center" vertical="center"/>
    </xf>
    <xf numFmtId="168" fontId="0" fillId="4" borderId="6" xfId="0" applyNumberFormat="1" applyFill="1" applyBorder="1" applyAlignment="1">
      <alignment horizontal="center" vertical="center"/>
    </xf>
    <xf numFmtId="167" fontId="0" fillId="4" borderId="8" xfId="0" applyNumberFormat="1" applyFill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 vertical="center"/>
    </xf>
    <xf numFmtId="165" fontId="0" fillId="2" borderId="8" xfId="0" applyNumberFormat="1" applyFill="1" applyBorder="1" applyAlignment="1">
      <alignment horizontal="center" vertical="center"/>
    </xf>
    <xf numFmtId="166" fontId="0" fillId="4" borderId="5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 wrapText="1"/>
    </xf>
    <xf numFmtId="166" fontId="0" fillId="4" borderId="5" xfId="0" applyNumberFormat="1" applyFill="1" applyBorder="1" applyAlignment="1">
      <alignment horizontal="center" vertical="center" wrapText="1"/>
    </xf>
    <xf numFmtId="170" fontId="0" fillId="4" borderId="0" xfId="0" applyNumberFormat="1" applyFill="1" applyAlignment="1">
      <alignment horizontal="center" vertical="center" wrapText="1"/>
    </xf>
    <xf numFmtId="165" fontId="0" fillId="4" borderId="5" xfId="0" applyNumberFormat="1" applyFill="1" applyBorder="1" applyAlignment="1">
      <alignment horizontal="center" vertical="center" wrapText="1"/>
    </xf>
    <xf numFmtId="2" fontId="0" fillId="4" borderId="5" xfId="0" applyNumberFormat="1" applyFill="1" applyBorder="1" applyAlignment="1">
      <alignment horizontal="center" vertical="center" wrapText="1"/>
    </xf>
    <xf numFmtId="169" fontId="0" fillId="4" borderId="5" xfId="0" applyNumberFormat="1" applyFill="1" applyBorder="1" applyAlignment="1">
      <alignment horizontal="center" vertical="center" wrapText="1"/>
    </xf>
    <xf numFmtId="1" fontId="0" fillId="4" borderId="5" xfId="0" applyNumberFormat="1" applyFill="1" applyBorder="1" applyAlignment="1">
      <alignment horizontal="center" vertical="center" wrapText="1"/>
    </xf>
    <xf numFmtId="2" fontId="0" fillId="4" borderId="6" xfId="0" applyNumberFormat="1" applyFill="1" applyBorder="1" applyAlignment="1">
      <alignment horizontal="center" vertical="center" wrapText="1"/>
    </xf>
    <xf numFmtId="170" fontId="0" fillId="4" borderId="7" xfId="0" applyNumberFormat="1" applyFill="1" applyBorder="1" applyAlignment="1">
      <alignment horizontal="center" vertical="center" wrapText="1"/>
    </xf>
    <xf numFmtId="1" fontId="0" fillId="4" borderId="8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0" fillId="4" borderId="0" xfId="0" applyNumberFormat="1" applyFill="1" applyAlignment="1">
      <alignment horizontal="center" vertical="center" wrapText="1"/>
    </xf>
    <xf numFmtId="165" fontId="0" fillId="4" borderId="0" xfId="0" applyNumberFormat="1" applyFill="1" applyAlignment="1">
      <alignment horizontal="center" vertical="center" wrapText="1"/>
    </xf>
    <xf numFmtId="2" fontId="0" fillId="4" borderId="0" xfId="0" applyNumberFormat="1" applyFill="1" applyAlignment="1">
      <alignment horizontal="center" vertical="center" wrapText="1"/>
    </xf>
    <xf numFmtId="169" fontId="0" fillId="4" borderId="0" xfId="0" applyNumberFormat="1" applyFill="1" applyAlignment="1">
      <alignment horizontal="center" vertical="center" wrapText="1"/>
    </xf>
    <xf numFmtId="1" fontId="0" fillId="4" borderId="0" xfId="0" applyNumberFormat="1" applyFill="1" applyAlignment="1">
      <alignment horizontal="center" vertical="center" wrapText="1"/>
    </xf>
    <xf numFmtId="1" fontId="0" fillId="4" borderId="7" xfId="0" applyNumberFormat="1" applyFill="1" applyBorder="1" applyAlignment="1">
      <alignment horizontal="center" vertical="center" wrapText="1"/>
    </xf>
    <xf numFmtId="2" fontId="0" fillId="4" borderId="8" xfId="0" applyNumberForma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8" xfId="0" applyFill="1" applyBorder="1"/>
    <xf numFmtId="0" fontId="2" fillId="2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2" fontId="0" fillId="4" borderId="8" xfId="0" applyNumberFormat="1" applyFill="1" applyBorder="1" applyAlignment="1">
      <alignment horizontal="center" vertical="center" wrapText="1"/>
    </xf>
    <xf numFmtId="165" fontId="0" fillId="2" borderId="4" xfId="0" applyNumberFormat="1" applyFill="1" applyBorder="1" applyAlignment="1">
      <alignment horizontal="center" vertical="center"/>
    </xf>
    <xf numFmtId="165" fontId="0" fillId="2" borderId="6" xfId="0" applyNumberForma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165" fontId="0" fillId="2" borderId="7" xfId="0" applyNumberFormat="1" applyFill="1" applyBorder="1" applyAlignment="1">
      <alignment horizontal="center" vertical="center"/>
    </xf>
    <xf numFmtId="167" fontId="0" fillId="4" borderId="7" xfId="0" applyNumberFormat="1" applyFill="1" applyBorder="1" applyAlignment="1">
      <alignment horizontal="center" vertical="center"/>
    </xf>
    <xf numFmtId="167" fontId="0" fillId="4" borderId="4" xfId="0" applyNumberFormat="1" applyFill="1" applyBorder="1" applyAlignment="1">
      <alignment horizontal="center" vertical="center" wrapText="1"/>
    </xf>
    <xf numFmtId="167" fontId="0" fillId="4" borderId="6" xfId="0" applyNumberFormat="1" applyFill="1" applyBorder="1" applyAlignment="1">
      <alignment horizontal="center" vertical="center" wrapText="1"/>
    </xf>
    <xf numFmtId="167" fontId="0" fillId="4" borderId="6" xfId="0" applyNumberFormat="1" applyFill="1" applyBorder="1" applyAlignment="1">
      <alignment horizontal="center" vertical="center"/>
    </xf>
    <xf numFmtId="167" fontId="0" fillId="2" borderId="7" xfId="0" applyNumberFormat="1" applyFill="1" applyBorder="1" applyAlignment="1">
      <alignment horizontal="center" vertical="center"/>
    </xf>
    <xf numFmtId="0" fontId="0" fillId="2" borderId="0" xfId="0" quotePrefix="1" applyFill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168" fontId="0" fillId="4" borderId="7" xfId="0" applyNumberFormat="1" applyFill="1" applyBorder="1" applyAlignment="1">
      <alignment horizontal="center" vertical="center"/>
    </xf>
    <xf numFmtId="168" fontId="0" fillId="4" borderId="5" xfId="0" applyNumberFormat="1" applyFill="1" applyBorder="1" applyAlignment="1">
      <alignment horizontal="center" vertical="center"/>
    </xf>
    <xf numFmtId="168" fontId="0" fillId="4" borderId="8" xfId="0" applyNumberForma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2" borderId="3" xfId="0" applyFill="1" applyBorder="1" applyAlignment="1">
      <alignment horizontal="center" vertical="center"/>
    </xf>
    <xf numFmtId="166" fontId="0" fillId="4" borderId="6" xfId="0" applyNumberFormat="1" applyFill="1" applyBorder="1" applyAlignment="1">
      <alignment horizontal="center" vertical="center"/>
    </xf>
    <xf numFmtId="166" fontId="0" fillId="4" borderId="8" xfId="0" applyNumberFormat="1" applyFill="1" applyBorder="1" applyAlignment="1">
      <alignment horizontal="center" vertical="center"/>
    </xf>
    <xf numFmtId="166" fontId="0" fillId="2" borderId="4" xfId="0" applyNumberFormat="1" applyFill="1" applyBorder="1" applyAlignment="1">
      <alignment horizontal="center" vertical="center"/>
    </xf>
    <xf numFmtId="166" fontId="0" fillId="2" borderId="6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169" fontId="0" fillId="2" borderId="8" xfId="0" applyNumberFormat="1" applyFill="1" applyBorder="1" applyAlignment="1">
      <alignment horizontal="center" vertical="center"/>
    </xf>
    <xf numFmtId="169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1" fontId="0" fillId="4" borderId="7" xfId="0" applyNumberForma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170" fontId="0" fillId="2" borderId="6" xfId="0" applyNumberFormat="1" applyFill="1" applyBorder="1" applyAlignment="1">
      <alignment horizontal="center" vertical="center"/>
    </xf>
    <xf numFmtId="169" fontId="0" fillId="4" borderId="8" xfId="0" applyNumberFormat="1" applyFill="1" applyBorder="1" applyAlignment="1">
      <alignment horizontal="center" vertical="center"/>
    </xf>
    <xf numFmtId="170" fontId="0" fillId="4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174" fontId="0" fillId="2" borderId="4" xfId="0" applyNumberFormat="1" applyFill="1" applyBorder="1" applyAlignment="1">
      <alignment horizontal="center" vertical="center"/>
    </xf>
    <xf numFmtId="174" fontId="0" fillId="2" borderId="6" xfId="0" applyNumberFormat="1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5" xfId="0" applyFill="1" applyBorder="1"/>
    <xf numFmtId="168" fontId="0" fillId="2" borderId="1" xfId="0" applyNumberFormat="1" applyFill="1" applyBorder="1" applyAlignment="1">
      <alignment horizontal="center" vertical="center"/>
    </xf>
    <xf numFmtId="168" fontId="0" fillId="4" borderId="2" xfId="0" applyNumberFormat="1" applyFill="1" applyBorder="1" applyAlignment="1">
      <alignment horizontal="center" vertical="center"/>
    </xf>
    <xf numFmtId="168" fontId="0" fillId="11" borderId="3" xfId="0" applyNumberFormat="1" applyFill="1" applyBorder="1" applyAlignment="1">
      <alignment horizontal="center" vertical="center"/>
    </xf>
    <xf numFmtId="168" fontId="0" fillId="11" borderId="5" xfId="0" applyNumberFormat="1" applyFill="1" applyBorder="1" applyAlignment="1">
      <alignment horizontal="center" vertical="center"/>
    </xf>
    <xf numFmtId="168" fontId="0" fillId="4" borderId="0" xfId="0" applyNumberFormat="1" applyFill="1" applyAlignment="1">
      <alignment horizontal="center" vertical="center" wrapText="1"/>
    </xf>
    <xf numFmtId="168" fontId="0" fillId="4" borderId="7" xfId="0" applyNumberFormat="1" applyFill="1" applyBorder="1" applyAlignment="1">
      <alignment horizontal="center" vertical="center" wrapText="1"/>
    </xf>
    <xf numFmtId="168" fontId="0" fillId="11" borderId="2" xfId="0" applyNumberFormat="1" applyFill="1" applyBorder="1" applyAlignment="1">
      <alignment horizontal="center" vertical="center"/>
    </xf>
    <xf numFmtId="170" fontId="0" fillId="4" borderId="4" xfId="0" applyNumberFormat="1" applyFill="1" applyBorder="1" applyAlignment="1">
      <alignment horizontal="center" vertical="center" wrapText="1"/>
    </xf>
    <xf numFmtId="170" fontId="0" fillId="4" borderId="5" xfId="0" applyNumberFormat="1" applyFill="1" applyBorder="1" applyAlignment="1">
      <alignment horizontal="center" vertical="center"/>
    </xf>
    <xf numFmtId="170" fontId="0" fillId="4" borderId="6" xfId="0" applyNumberFormat="1" applyFill="1" applyBorder="1" applyAlignment="1">
      <alignment horizontal="center" vertical="center" wrapText="1"/>
    </xf>
    <xf numFmtId="170" fontId="0" fillId="4" borderId="8" xfId="0" applyNumberForma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166" fontId="0" fillId="4" borderId="4" xfId="0" applyNumberFormat="1" applyFill="1" applyBorder="1" applyAlignment="1">
      <alignment horizontal="center" vertical="center" wrapText="1"/>
    </xf>
    <xf numFmtId="172" fontId="0" fillId="2" borderId="0" xfId="0" applyNumberFormat="1" applyFill="1" applyAlignment="1">
      <alignment horizontal="center" vertical="center"/>
    </xf>
    <xf numFmtId="172" fontId="0" fillId="2" borderId="7" xfId="0" applyNumberForma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173" fontId="0" fillId="4" borderId="0" xfId="0" applyNumberFormat="1" applyFill="1" applyAlignment="1">
      <alignment horizontal="center" vertical="center"/>
    </xf>
    <xf numFmtId="173" fontId="0" fillId="4" borderId="7" xfId="0" applyNumberFormat="1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2" borderId="7" xfId="0" quotePrefix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0" fillId="4" borderId="0" xfId="0" quotePrefix="1" applyFill="1" applyAlignment="1">
      <alignment horizontal="center" vertical="center"/>
    </xf>
    <xf numFmtId="171" fontId="0" fillId="4" borderId="0" xfId="0" applyNumberFormat="1" applyFill="1" applyAlignment="1">
      <alignment horizontal="center" vertical="center"/>
    </xf>
    <xf numFmtId="0" fontId="0" fillId="4" borderId="7" xfId="0" quotePrefix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0" fillId="3" borderId="8" xfId="0" applyFill="1" applyBorder="1" applyAlignment="1">
      <alignment horizontal="left" vertical="center"/>
    </xf>
    <xf numFmtId="169" fontId="0" fillId="4" borderId="7" xfId="0" applyNumberForma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10" borderId="1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8" borderId="7" xfId="0" applyFont="1" applyFill="1" applyBorder="1" applyAlignment="1">
      <alignment horizontal="center" vertical="center"/>
    </xf>
    <xf numFmtId="0" fontId="2" fillId="8" borderId="8" xfId="0" applyFont="1" applyFill="1" applyBorder="1" applyAlignment="1">
      <alignment horizontal="center" vertical="center"/>
    </xf>
    <xf numFmtId="0" fontId="0" fillId="12" borderId="6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/>
    </xf>
    <xf numFmtId="168" fontId="0" fillId="11" borderId="5" xfId="0" applyNumberFormat="1" applyFill="1" applyBorder="1" applyAlignment="1">
      <alignment horizontal="center" vertical="center"/>
    </xf>
    <xf numFmtId="168" fontId="0" fillId="11" borderId="8" xfId="0" applyNumberFormat="1" applyFill="1" applyBorder="1" applyAlignment="1">
      <alignment horizontal="center" vertical="center"/>
    </xf>
    <xf numFmtId="168" fontId="0" fillId="12" borderId="9" xfId="0" applyNumberFormat="1" applyFill="1" applyBorder="1" applyAlignment="1">
      <alignment horizontal="center" vertical="center"/>
    </xf>
    <xf numFmtId="168" fontId="0" fillId="12" borderId="10" xfId="0" applyNumberFormat="1" applyFill="1" applyBorder="1" applyAlignment="1">
      <alignment horizontal="center" vertical="center"/>
    </xf>
    <xf numFmtId="168" fontId="0" fillId="12" borderId="11" xfId="0" applyNumberFormat="1" applyFill="1" applyBorder="1" applyAlignment="1">
      <alignment horizontal="center" vertical="center"/>
    </xf>
    <xf numFmtId="168" fontId="0" fillId="11" borderId="0" xfId="0" applyNumberFormat="1" applyFill="1" applyAlignment="1">
      <alignment horizontal="center" vertical="center"/>
    </xf>
    <xf numFmtId="168" fontId="0" fillId="11" borderId="7" xfId="0" applyNumberForma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</cellXfs>
  <cellStyles count="2">
    <cellStyle name="Hyperlink 2" xfId="1" xr:uid="{E020A80B-E638-4D9D-9181-FC44A81B906F}"/>
    <cellStyle name="Normal" xfId="0" builtinId="0"/>
  </cellStyles>
  <dxfs count="9">
    <dxf>
      <numFmt numFmtId="175" formatCode="0000.0"/>
      <fill>
        <patternFill>
          <bgColor rgb="FFFFFFFF"/>
        </patternFill>
      </fill>
    </dxf>
    <dxf>
      <numFmt numFmtId="176" formatCode="000.00"/>
      <fill>
        <patternFill>
          <bgColor rgb="FFFFFFFF"/>
        </patternFill>
      </fill>
    </dxf>
    <dxf>
      <numFmt numFmtId="177" formatCode="00.000"/>
      <fill>
        <patternFill>
          <bgColor rgb="FFFFFFFF"/>
        </patternFill>
      </fill>
    </dxf>
    <dxf>
      <numFmt numFmtId="166" formatCode="0.0000"/>
      <fill>
        <patternFill>
          <bgColor rgb="FFFFFFFF"/>
        </patternFill>
      </fill>
    </dxf>
    <dxf>
      <numFmt numFmtId="167" formatCode="0.00000"/>
      <fill>
        <patternFill>
          <bgColor rgb="FFFFFFFF"/>
        </patternFill>
      </fill>
    </dxf>
    <dxf>
      <numFmt numFmtId="168" formatCode="0.000000"/>
      <fill>
        <patternFill>
          <bgColor rgb="FFFFFFFF"/>
        </patternFill>
      </fill>
    </dxf>
    <dxf>
      <numFmt numFmtId="170" formatCode="0.0000000"/>
      <fill>
        <patternFill>
          <bgColor rgb="FFFFFFFF"/>
        </patternFill>
      </fill>
    </dxf>
    <dxf>
      <numFmt numFmtId="175" formatCode="0000.0"/>
      <fill>
        <patternFill>
          <bgColor rgb="FFFFFFFF"/>
        </patternFill>
      </fill>
    </dxf>
    <dxf>
      <numFmt numFmtId="176" formatCode="000.00"/>
      <fill>
        <patternFill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B1:C31"/>
  <sheetViews>
    <sheetView workbookViewId="0">
      <selection activeCell="C38" sqref="C38"/>
    </sheetView>
  </sheetViews>
  <sheetFormatPr defaultRowHeight="14.5"/>
  <cols>
    <col min="1" max="1" width="8.7265625" style="1"/>
    <col min="2" max="2" width="14.1796875" style="1" customWidth="1"/>
    <col min="3" max="3" width="147.6328125" style="1" bestFit="1" customWidth="1"/>
    <col min="4" max="16384" width="8.7265625" style="1"/>
  </cols>
  <sheetData>
    <row r="1" spans="2:3" ht="15" thickBot="1"/>
    <row r="2" spans="2:3">
      <c r="B2" s="213" t="s">
        <v>0</v>
      </c>
      <c r="C2" s="214"/>
    </row>
    <row r="3" spans="2:3">
      <c r="B3" s="189"/>
      <c r="C3" s="190"/>
    </row>
    <row r="4" spans="2:3">
      <c r="B4" s="215" t="s">
        <v>1</v>
      </c>
      <c r="C4" s="216"/>
    </row>
    <row r="5" spans="2:3">
      <c r="B5" s="217" t="s">
        <v>2</v>
      </c>
      <c r="C5" s="218"/>
    </row>
    <row r="6" spans="2:3">
      <c r="B6" s="189"/>
      <c r="C6" s="190"/>
    </row>
    <row r="7" spans="2:3" ht="15" thickBot="1">
      <c r="B7" s="219" t="s">
        <v>3</v>
      </c>
      <c r="C7" s="220"/>
    </row>
    <row r="8" spans="2:3">
      <c r="B8" s="123" t="s">
        <v>4</v>
      </c>
      <c r="C8" s="207" t="s">
        <v>5</v>
      </c>
    </row>
    <row r="9" spans="2:3">
      <c r="B9" s="124" t="s">
        <v>6</v>
      </c>
      <c r="C9" s="208" t="s">
        <v>47</v>
      </c>
    </row>
    <row r="10" spans="2:3">
      <c r="B10" s="124" t="s">
        <v>7</v>
      </c>
      <c r="C10" s="209" t="s">
        <v>46</v>
      </c>
    </row>
    <row r="11" spans="2:3">
      <c r="B11" s="124" t="s">
        <v>48</v>
      </c>
      <c r="C11" s="209" t="s">
        <v>49</v>
      </c>
    </row>
    <row r="12" spans="2:3">
      <c r="B12" s="124" t="s">
        <v>73</v>
      </c>
      <c r="C12" s="209" t="s">
        <v>340</v>
      </c>
    </row>
    <row r="13" spans="2:3">
      <c r="B13" s="124" t="s">
        <v>256</v>
      </c>
      <c r="C13" s="209" t="s">
        <v>257</v>
      </c>
    </row>
    <row r="14" spans="2:3">
      <c r="B14" s="124" t="s">
        <v>341</v>
      </c>
      <c r="C14" s="209" t="s">
        <v>342</v>
      </c>
    </row>
    <row r="15" spans="2:3">
      <c r="B15" s="124" t="s">
        <v>375</v>
      </c>
      <c r="C15" s="209" t="s">
        <v>376</v>
      </c>
    </row>
    <row r="16" spans="2:3">
      <c r="B16" s="124" t="s">
        <v>381</v>
      </c>
      <c r="C16" s="209" t="s">
        <v>382</v>
      </c>
    </row>
    <row r="17" spans="2:3">
      <c r="B17" s="124" t="s">
        <v>389</v>
      </c>
      <c r="C17" s="209" t="s">
        <v>414</v>
      </c>
    </row>
    <row r="18" spans="2:3">
      <c r="B18" s="124" t="s">
        <v>413</v>
      </c>
      <c r="C18" s="209" t="s">
        <v>482</v>
      </c>
    </row>
    <row r="19" spans="2:3">
      <c r="B19" s="124" t="s">
        <v>442</v>
      </c>
      <c r="C19" s="209" t="s">
        <v>443</v>
      </c>
    </row>
    <row r="20" spans="2:3">
      <c r="B20" s="124" t="s">
        <v>480</v>
      </c>
      <c r="C20" s="209" t="s">
        <v>481</v>
      </c>
    </row>
    <row r="21" spans="2:3">
      <c r="B21" s="124" t="s">
        <v>529</v>
      </c>
      <c r="C21" s="209" t="s">
        <v>530</v>
      </c>
    </row>
    <row r="22" spans="2:3">
      <c r="B22" s="124" t="s">
        <v>531</v>
      </c>
      <c r="C22" s="209" t="s">
        <v>532</v>
      </c>
    </row>
    <row r="23" spans="2:3">
      <c r="B23" s="124" t="s">
        <v>555</v>
      </c>
      <c r="C23" s="209" t="s">
        <v>556</v>
      </c>
    </row>
    <row r="24" spans="2:3">
      <c r="B24" s="124" t="s">
        <v>557</v>
      </c>
      <c r="C24" s="209" t="s">
        <v>558</v>
      </c>
    </row>
    <row r="25" spans="2:3">
      <c r="B25" s="124" t="s">
        <v>576</v>
      </c>
      <c r="C25" s="209" t="s">
        <v>577</v>
      </c>
    </row>
    <row r="26" spans="2:3">
      <c r="B26" s="124" t="s">
        <v>584</v>
      </c>
      <c r="C26" s="209" t="s">
        <v>585</v>
      </c>
    </row>
    <row r="27" spans="2:3">
      <c r="B27" s="124" t="s">
        <v>617</v>
      </c>
      <c r="C27" s="209" t="s">
        <v>618</v>
      </c>
    </row>
    <row r="28" spans="2:3">
      <c r="B28" s="124" t="s">
        <v>638</v>
      </c>
      <c r="C28" s="209" t="s">
        <v>644</v>
      </c>
    </row>
    <row r="29" spans="2:3">
      <c r="B29" s="124" t="s">
        <v>643</v>
      </c>
      <c r="C29" s="209" t="s">
        <v>645</v>
      </c>
    </row>
    <row r="30" spans="2:3">
      <c r="B30" s="124" t="s">
        <v>646</v>
      </c>
      <c r="C30" s="209" t="s">
        <v>649</v>
      </c>
    </row>
    <row r="31" spans="2:3" ht="15" thickBot="1">
      <c r="B31" s="125" t="s">
        <v>647</v>
      </c>
      <c r="C31" s="210" t="s">
        <v>648</v>
      </c>
    </row>
  </sheetData>
  <mergeCells count="4">
    <mergeCell ref="B2:C2"/>
    <mergeCell ref="B4:C4"/>
    <mergeCell ref="B5:C5"/>
    <mergeCell ref="B7:C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C982B-999C-4DEE-8611-B8E957B340D8}">
  <sheetPr codeName="Sheet2">
    <pageSetUpPr autoPageBreaks="0"/>
  </sheetPr>
  <dimension ref="B1:U54"/>
  <sheetViews>
    <sheetView tabSelected="1" topLeftCell="T39" zoomScale="142" zoomScaleNormal="85" workbookViewId="0">
      <selection activeCell="X44" sqref="X44"/>
    </sheetView>
  </sheetViews>
  <sheetFormatPr defaultRowHeight="14.5"/>
  <cols>
    <col min="1" max="1" width="8.7265625" style="1"/>
    <col min="2" max="2" width="16.1796875" style="1" customWidth="1"/>
    <col min="3" max="5" width="10.36328125" style="1" customWidth="1"/>
    <col min="6" max="6" width="12.26953125" style="1" bestFit="1" customWidth="1"/>
    <col min="7" max="7" width="10.36328125" style="1" customWidth="1"/>
    <col min="8" max="8" width="12.81640625" style="1" bestFit="1" customWidth="1"/>
    <col min="9" max="12" width="10.36328125" style="1" customWidth="1"/>
    <col min="13" max="13" width="38.54296875" style="1" bestFit="1" customWidth="1"/>
    <col min="14" max="16384" width="8.7265625" style="1"/>
  </cols>
  <sheetData>
    <row r="1" spans="2:13" ht="15" thickBot="1"/>
    <row r="2" spans="2:13">
      <c r="B2" s="221" t="s">
        <v>8</v>
      </c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3"/>
    </row>
    <row r="3" spans="2:13" ht="15" thickBot="1">
      <c r="B3" s="224"/>
      <c r="C3" s="225"/>
      <c r="D3" s="225"/>
      <c r="E3" s="225"/>
      <c r="F3" s="225"/>
      <c r="G3" s="225"/>
      <c r="H3" s="225"/>
      <c r="I3" s="225"/>
      <c r="J3" s="225"/>
      <c r="K3" s="225"/>
      <c r="L3" s="225"/>
      <c r="M3" s="226"/>
    </row>
    <row r="4" spans="2:13" ht="16.5">
      <c r="B4" s="202" t="s">
        <v>10</v>
      </c>
      <c r="C4" s="203" t="s">
        <v>70</v>
      </c>
      <c r="D4" s="203" t="s">
        <v>61</v>
      </c>
      <c r="E4" s="203" t="s">
        <v>62</v>
      </c>
      <c r="F4" s="203" t="s">
        <v>63</v>
      </c>
      <c r="G4" s="203" t="s">
        <v>64</v>
      </c>
      <c r="H4" s="203" t="s">
        <v>65</v>
      </c>
      <c r="I4" s="203" t="s">
        <v>66</v>
      </c>
      <c r="J4" s="203" t="s">
        <v>67</v>
      </c>
      <c r="K4" s="203" t="s">
        <v>68</v>
      </c>
      <c r="L4" s="203" t="s">
        <v>69</v>
      </c>
      <c r="M4" s="204" t="s">
        <v>11</v>
      </c>
    </row>
    <row r="5" spans="2:13">
      <c r="B5" s="14" t="s">
        <v>13</v>
      </c>
      <c r="C5" s="38">
        <v>1</v>
      </c>
      <c r="D5" s="38">
        <v>1</v>
      </c>
      <c r="E5" s="38">
        <v>3.0063</v>
      </c>
      <c r="F5" s="38" t="s">
        <v>12</v>
      </c>
      <c r="G5" s="75">
        <v>17.02</v>
      </c>
      <c r="H5" s="38">
        <v>266.68</v>
      </c>
      <c r="I5" s="38">
        <v>2</v>
      </c>
      <c r="J5" s="38">
        <v>2</v>
      </c>
      <c r="K5" s="38">
        <v>2</v>
      </c>
      <c r="L5" s="38" t="s">
        <v>12</v>
      </c>
      <c r="M5" s="15" t="s">
        <v>28</v>
      </c>
    </row>
    <row r="6" spans="2:13">
      <c r="B6" s="14" t="s">
        <v>14</v>
      </c>
      <c r="C6" s="38">
        <v>1</v>
      </c>
      <c r="D6" s="38">
        <v>0.55593000000000004</v>
      </c>
      <c r="E6" s="38">
        <v>4.3331</v>
      </c>
      <c r="F6" s="38" t="s">
        <v>12</v>
      </c>
      <c r="G6" s="78">
        <v>8</v>
      </c>
      <c r="H6" s="38">
        <v>405.78</v>
      </c>
      <c r="I6" s="38">
        <v>3</v>
      </c>
      <c r="J6" s="38">
        <v>1</v>
      </c>
      <c r="K6" s="38">
        <v>2</v>
      </c>
      <c r="L6" s="38">
        <v>2</v>
      </c>
      <c r="M6" s="15" t="s">
        <v>29</v>
      </c>
    </row>
    <row r="7" spans="2:13">
      <c r="B7" s="14" t="s">
        <v>15</v>
      </c>
      <c r="C7" s="38">
        <v>1</v>
      </c>
      <c r="D7" s="38">
        <v>0.79674999999999996</v>
      </c>
      <c r="E7" s="38">
        <v>3.2477</v>
      </c>
      <c r="F7" s="38" t="s">
        <v>12</v>
      </c>
      <c r="G7" s="75">
        <v>10.254</v>
      </c>
      <c r="H7" s="38">
        <v>284.77999999999997</v>
      </c>
      <c r="I7" s="38">
        <v>2</v>
      </c>
      <c r="J7" s="38">
        <v>2</v>
      </c>
      <c r="K7" s="38">
        <v>1</v>
      </c>
      <c r="L7" s="38" t="s">
        <v>12</v>
      </c>
      <c r="M7" s="15" t="s">
        <v>30</v>
      </c>
    </row>
    <row r="8" spans="2:13">
      <c r="B8" s="14" t="s">
        <v>16</v>
      </c>
      <c r="C8" s="38">
        <v>1</v>
      </c>
      <c r="D8" s="38">
        <v>0.57255</v>
      </c>
      <c r="E8" s="38">
        <v>4.0772000000000004</v>
      </c>
      <c r="F8" s="38" t="s">
        <v>12</v>
      </c>
      <c r="G8" s="75">
        <v>15.05</v>
      </c>
      <c r="H8" s="38">
        <v>256.77</v>
      </c>
      <c r="I8" s="38" t="s">
        <v>12</v>
      </c>
      <c r="J8" s="38" t="s">
        <v>12</v>
      </c>
      <c r="K8" s="38" t="s">
        <v>12</v>
      </c>
      <c r="L8" s="38" t="s">
        <v>12</v>
      </c>
      <c r="M8" s="15" t="s">
        <v>31</v>
      </c>
    </row>
    <row r="9" spans="2:13">
      <c r="B9" s="14" t="s">
        <v>17</v>
      </c>
      <c r="C9" s="38">
        <v>1</v>
      </c>
      <c r="D9" s="38">
        <v>0.22932</v>
      </c>
      <c r="E9" s="38">
        <v>4.8800999999999997</v>
      </c>
      <c r="F9" s="38" t="s">
        <v>12</v>
      </c>
      <c r="G9" s="75">
        <v>19.870999999999999</v>
      </c>
      <c r="H9" s="38">
        <v>473.39</v>
      </c>
      <c r="I9" s="38" t="s">
        <v>12</v>
      </c>
      <c r="J9" s="38" t="s">
        <v>12</v>
      </c>
      <c r="K9" s="38" t="s">
        <v>12</v>
      </c>
      <c r="L9" s="38" t="s">
        <v>12</v>
      </c>
      <c r="M9" s="15" t="s">
        <v>31</v>
      </c>
    </row>
    <row r="10" spans="2:13">
      <c r="B10" s="14" t="s">
        <v>18</v>
      </c>
      <c r="C10" s="38">
        <v>1</v>
      </c>
      <c r="D10" s="38">
        <v>7.2099999999999997E-2</v>
      </c>
      <c r="E10" s="38">
        <v>5.2949999999999999</v>
      </c>
      <c r="F10" s="38" t="s">
        <v>12</v>
      </c>
      <c r="G10" s="78">
        <v>8</v>
      </c>
      <c r="H10" s="38">
        <v>95.620999999999995</v>
      </c>
      <c r="I10" s="38" t="s">
        <v>12</v>
      </c>
      <c r="J10" s="38" t="s">
        <v>12</v>
      </c>
      <c r="K10" s="38" t="s">
        <v>12</v>
      </c>
      <c r="L10" s="38" t="s">
        <v>12</v>
      </c>
      <c r="M10" s="15" t="s">
        <v>29</v>
      </c>
    </row>
    <row r="11" spans="2:13">
      <c r="B11" s="14" t="s">
        <v>19</v>
      </c>
      <c r="C11" s="38">
        <v>2</v>
      </c>
      <c r="D11" s="38">
        <v>0.58538000000000001</v>
      </c>
      <c r="E11" s="38">
        <v>3.4054000000000002</v>
      </c>
      <c r="F11" s="38" t="s">
        <v>12</v>
      </c>
      <c r="G11" s="75">
        <v>22.699000000000002</v>
      </c>
      <c r="H11" s="38">
        <v>407.22</v>
      </c>
      <c r="I11" s="38">
        <v>2</v>
      </c>
      <c r="J11" s="38">
        <v>1</v>
      </c>
      <c r="K11" s="38">
        <v>2</v>
      </c>
      <c r="L11" s="38" t="s">
        <v>12</v>
      </c>
      <c r="M11" s="15" t="s">
        <v>32</v>
      </c>
    </row>
    <row r="12" spans="2:13">
      <c r="B12" s="14" t="s">
        <v>20</v>
      </c>
      <c r="C12" s="38">
        <v>2</v>
      </c>
      <c r="D12" s="38">
        <v>0.18962999999999999</v>
      </c>
      <c r="E12" s="38">
        <v>4.5381</v>
      </c>
      <c r="F12" s="38" t="s">
        <v>12</v>
      </c>
      <c r="G12" s="75">
        <v>18.184999999999999</v>
      </c>
      <c r="H12" s="38">
        <v>599.66</v>
      </c>
      <c r="I12" s="38">
        <v>2</v>
      </c>
      <c r="J12" s="38">
        <v>1</v>
      </c>
      <c r="K12" s="38">
        <v>2</v>
      </c>
      <c r="L12" s="38" t="s">
        <v>12</v>
      </c>
      <c r="M12" s="15" t="s">
        <v>33</v>
      </c>
    </row>
    <row r="13" spans="2:13">
      <c r="B13" s="14" t="s">
        <v>21</v>
      </c>
      <c r="C13" s="38">
        <v>2</v>
      </c>
      <c r="D13" s="38">
        <v>0.73763999999999996</v>
      </c>
      <c r="E13" s="38">
        <v>2.9481999999999999</v>
      </c>
      <c r="F13" s="38" t="s">
        <v>12</v>
      </c>
      <c r="G13" s="75">
        <v>29.839300000000001</v>
      </c>
      <c r="H13" s="79">
        <v>156.1242</v>
      </c>
      <c r="I13" s="38">
        <v>2</v>
      </c>
      <c r="J13" s="38">
        <v>1</v>
      </c>
      <c r="K13" s="38">
        <v>2</v>
      </c>
      <c r="L13" s="38" t="s">
        <v>12</v>
      </c>
      <c r="M13" s="15" t="s">
        <v>34</v>
      </c>
    </row>
    <row r="14" spans="2:13">
      <c r="B14" s="14" t="s">
        <v>22</v>
      </c>
      <c r="C14" s="38">
        <v>1</v>
      </c>
      <c r="D14" s="38">
        <v>0.55593000000000004</v>
      </c>
      <c r="E14" s="38">
        <v>4.3331</v>
      </c>
      <c r="F14" s="78">
        <v>4.6364000000000001</v>
      </c>
      <c r="G14" s="78">
        <v>8</v>
      </c>
      <c r="H14" s="38">
        <v>21.263999999999999</v>
      </c>
      <c r="I14" s="38">
        <v>1</v>
      </c>
      <c r="J14" s="38" t="s">
        <v>12</v>
      </c>
      <c r="K14" s="38">
        <v>4</v>
      </c>
      <c r="L14" s="38" t="s">
        <v>12</v>
      </c>
      <c r="M14" s="15" t="s">
        <v>35</v>
      </c>
    </row>
    <row r="15" spans="2:13">
      <c r="B15" s="14" t="s">
        <v>23</v>
      </c>
      <c r="C15" s="38">
        <v>1</v>
      </c>
      <c r="D15" s="38">
        <v>0.79674999999999996</v>
      </c>
      <c r="E15" s="38">
        <v>3.2477</v>
      </c>
      <c r="F15" s="78">
        <v>3.4750000000000001</v>
      </c>
      <c r="G15" s="75">
        <v>10.254</v>
      </c>
      <c r="H15" s="75">
        <v>48.3</v>
      </c>
      <c r="I15" s="38">
        <v>1</v>
      </c>
      <c r="J15" s="38">
        <v>3</v>
      </c>
      <c r="K15" s="38" t="s">
        <v>12</v>
      </c>
      <c r="L15" s="38" t="s">
        <v>12</v>
      </c>
      <c r="M15" s="15" t="s">
        <v>36</v>
      </c>
    </row>
    <row r="16" spans="2:13">
      <c r="B16" s="14" t="s">
        <v>24</v>
      </c>
      <c r="C16" s="38">
        <v>1</v>
      </c>
      <c r="D16" s="78">
        <v>1</v>
      </c>
      <c r="E16" s="38">
        <v>3.0063</v>
      </c>
      <c r="F16" s="78">
        <v>3.0063</v>
      </c>
      <c r="G16" s="75">
        <v>17.02</v>
      </c>
      <c r="H16" s="75">
        <v>68.19</v>
      </c>
      <c r="I16" s="38">
        <v>1</v>
      </c>
      <c r="J16" s="38">
        <v>3</v>
      </c>
      <c r="K16" s="38" t="s">
        <v>12</v>
      </c>
      <c r="L16" s="38" t="s">
        <v>12</v>
      </c>
      <c r="M16" s="15" t="s">
        <v>37</v>
      </c>
    </row>
    <row r="17" spans="2:15">
      <c r="B17" s="14" t="s">
        <v>25</v>
      </c>
      <c r="C17" s="38">
        <v>1</v>
      </c>
      <c r="D17" s="78">
        <v>1</v>
      </c>
      <c r="E17" s="78">
        <v>2.46</v>
      </c>
      <c r="F17" s="78">
        <v>3.0063</v>
      </c>
      <c r="G17" s="75">
        <v>17.02</v>
      </c>
      <c r="H17" s="38">
        <v>170.24</v>
      </c>
      <c r="I17" s="38">
        <v>1</v>
      </c>
      <c r="J17" s="38" t="s">
        <v>12</v>
      </c>
      <c r="K17" s="38">
        <v>3</v>
      </c>
      <c r="L17" s="38" t="s">
        <v>12</v>
      </c>
      <c r="M17" s="15" t="s">
        <v>37</v>
      </c>
    </row>
    <row r="18" spans="2:15">
      <c r="B18" s="14" t="s">
        <v>26</v>
      </c>
      <c r="C18" s="38">
        <v>1</v>
      </c>
      <c r="D18" s="78">
        <v>1</v>
      </c>
      <c r="E18" s="78">
        <v>2.3199999999999998</v>
      </c>
      <c r="F18" s="78">
        <v>3.36</v>
      </c>
      <c r="G18" s="75">
        <v>12</v>
      </c>
      <c r="H18" s="38">
        <v>31.710999999999999</v>
      </c>
      <c r="I18" s="38" t="s">
        <v>12</v>
      </c>
      <c r="J18" s="38" t="s">
        <v>12</v>
      </c>
      <c r="K18" s="38" t="s">
        <v>12</v>
      </c>
      <c r="L18" s="38" t="s">
        <v>12</v>
      </c>
      <c r="M18" s="15" t="s">
        <v>37</v>
      </c>
    </row>
    <row r="19" spans="2:15" ht="15" thickBot="1">
      <c r="B19" s="29" t="s">
        <v>27</v>
      </c>
      <c r="C19" s="39">
        <v>1</v>
      </c>
      <c r="D19" s="80">
        <v>1</v>
      </c>
      <c r="E19" s="80">
        <v>3.34</v>
      </c>
      <c r="F19" s="80">
        <v>3.8740000000000001</v>
      </c>
      <c r="G19" s="81">
        <v>12</v>
      </c>
      <c r="H19" s="39">
        <v>113.77</v>
      </c>
      <c r="I19" s="39" t="s">
        <v>12</v>
      </c>
      <c r="J19" s="39" t="s">
        <v>12</v>
      </c>
      <c r="K19" s="39" t="s">
        <v>12</v>
      </c>
      <c r="L19" s="39" t="s">
        <v>12</v>
      </c>
      <c r="M19" s="30" t="s">
        <v>37</v>
      </c>
    </row>
    <row r="22" spans="2:15">
      <c r="B22" s="1" t="s">
        <v>750</v>
      </c>
      <c r="C22" s="1" t="s">
        <v>751</v>
      </c>
      <c r="D22" s="1" t="s">
        <v>752</v>
      </c>
      <c r="E22" s="1" t="s">
        <v>753</v>
      </c>
      <c r="F22" s="1" t="s">
        <v>754</v>
      </c>
      <c r="G22" s="1" t="s">
        <v>926</v>
      </c>
      <c r="H22" s="1" t="s">
        <v>755</v>
      </c>
      <c r="I22" s="1" t="s">
        <v>756</v>
      </c>
      <c r="J22" s="1" t="s">
        <v>757</v>
      </c>
      <c r="K22" s="1" t="s">
        <v>758</v>
      </c>
      <c r="L22" s="1" t="s">
        <v>759</v>
      </c>
      <c r="O22" s="212" t="str">
        <f>CONCATENATE(B22,",",C22,",",D22,",",E22,",",F22,",",G22,",",H22,",",I22,",",J22,",",K22,",",L22)</f>
        <v>species,Mw,vst,S,lambda_r,lambda_a,sigma,epsilon,n_H,n_e1,n_e2</v>
      </c>
    </row>
    <row r="23" spans="2:15">
      <c r="B23" s="1" t="s">
        <v>13</v>
      </c>
      <c r="C23" s="1">
        <v>18.015280000000001</v>
      </c>
      <c r="D23" s="1">
        <v>1</v>
      </c>
      <c r="E23" s="1">
        <v>1</v>
      </c>
      <c r="F23" s="1">
        <v>17.02</v>
      </c>
      <c r="G23" s="1">
        <v>6</v>
      </c>
      <c r="H23" s="1">
        <v>3.0063</v>
      </c>
      <c r="I23" s="1">
        <v>266.68</v>
      </c>
      <c r="J23" s="1">
        <v>2</v>
      </c>
      <c r="K23" s="1">
        <v>2</v>
      </c>
      <c r="L23" s="1">
        <v>0</v>
      </c>
      <c r="O23" s="212" t="str">
        <f t="shared" ref="O23:O37" si="0">CONCATENATE(B23,",",C23,",",D23,",",E23,",",F23,",",G23,",",H23,",",I23,",",J23,",",K23,",",L23)</f>
        <v>H2O,18.01528,1,1,17.02,6,3.0063,266.68,2,2,0</v>
      </c>
    </row>
    <row r="24" spans="2:15">
      <c r="B24" s="1" t="s">
        <v>14</v>
      </c>
      <c r="C24" s="1">
        <v>45.02</v>
      </c>
      <c r="D24" s="1">
        <v>1</v>
      </c>
      <c r="E24" s="1">
        <v>0.55593000000000004</v>
      </c>
      <c r="F24" s="1">
        <v>8</v>
      </c>
      <c r="G24" s="1">
        <v>6</v>
      </c>
      <c r="H24" s="1">
        <v>4.3331</v>
      </c>
      <c r="I24" s="1">
        <v>405.78</v>
      </c>
      <c r="J24" s="1">
        <v>1</v>
      </c>
      <c r="K24" s="1">
        <v>2</v>
      </c>
      <c r="L24" s="1">
        <v>2</v>
      </c>
      <c r="O24" s="212" t="str">
        <f t="shared" si="0"/>
        <v>COOH,45.02,1,0.55593,8,6,4.3331,405.78,1,2,2</v>
      </c>
    </row>
    <row r="25" spans="2:15">
      <c r="B25" s="1" t="s">
        <v>15</v>
      </c>
      <c r="C25" s="1">
        <v>16.02</v>
      </c>
      <c r="D25" s="1">
        <v>1</v>
      </c>
      <c r="E25" s="1">
        <v>0.79674999999999996</v>
      </c>
      <c r="F25" s="1">
        <v>10.254</v>
      </c>
      <c r="G25" s="1">
        <v>6</v>
      </c>
      <c r="H25" s="1">
        <v>3.2477</v>
      </c>
      <c r="I25" s="1">
        <v>284.77999999999997</v>
      </c>
      <c r="J25" s="1">
        <v>2</v>
      </c>
      <c r="K25" s="1">
        <v>1</v>
      </c>
      <c r="L25" s="1">
        <v>0</v>
      </c>
      <c r="O25" s="212" t="str">
        <f t="shared" si="0"/>
        <v>NH2,16.02,1,0.79675,10.254,6,3.2477,284.78,2,1,0</v>
      </c>
    </row>
    <row r="26" spans="2:15">
      <c r="B26" s="1" t="s">
        <v>16</v>
      </c>
      <c r="C26" s="1">
        <v>15.04</v>
      </c>
      <c r="D26" s="1">
        <v>1</v>
      </c>
      <c r="E26" s="1">
        <v>0.57255</v>
      </c>
      <c r="F26" s="1">
        <v>15.05</v>
      </c>
      <c r="G26" s="1">
        <v>6</v>
      </c>
      <c r="H26" s="1">
        <v>4.0772000000000004</v>
      </c>
      <c r="I26" s="1">
        <v>256.77</v>
      </c>
      <c r="J26" s="1">
        <v>0</v>
      </c>
      <c r="K26" s="1">
        <v>0</v>
      </c>
      <c r="L26" s="1">
        <v>0</v>
      </c>
      <c r="O26" s="212" t="str">
        <f t="shared" si="0"/>
        <v>CH3,15.04,1,0.57255,15.05,6,4.0772,256.77,0,0,0</v>
      </c>
    </row>
    <row r="27" spans="2:15">
      <c r="B27" s="1" t="s">
        <v>17</v>
      </c>
      <c r="C27" s="1">
        <v>14.03</v>
      </c>
      <c r="D27" s="1">
        <v>1</v>
      </c>
      <c r="E27" s="1">
        <v>0.22932</v>
      </c>
      <c r="F27" s="1">
        <v>19.870999999999999</v>
      </c>
      <c r="G27" s="1">
        <v>6</v>
      </c>
      <c r="H27" s="1">
        <v>4.8800999999999997</v>
      </c>
      <c r="I27" s="1">
        <v>473.39</v>
      </c>
      <c r="J27" s="1">
        <v>0</v>
      </c>
      <c r="K27" s="1">
        <v>0</v>
      </c>
      <c r="L27" s="1">
        <v>0</v>
      </c>
      <c r="O27" s="212" t="str">
        <f t="shared" si="0"/>
        <v>CH2,14.03,1,0.22932,19.871,6,4.8801,473.39,0,0,0</v>
      </c>
    </row>
    <row r="28" spans="2:15">
      <c r="B28" s="1" t="s">
        <v>18</v>
      </c>
      <c r="C28" s="1">
        <v>13.02</v>
      </c>
      <c r="D28" s="1">
        <v>1</v>
      </c>
      <c r="E28" s="1">
        <v>7.2099999999999997E-2</v>
      </c>
      <c r="F28" s="1">
        <v>8</v>
      </c>
      <c r="G28" s="1">
        <v>6</v>
      </c>
      <c r="H28" s="1">
        <v>5.2949999999999999</v>
      </c>
      <c r="I28" s="1">
        <v>95.620999999999995</v>
      </c>
      <c r="J28" s="1">
        <v>0</v>
      </c>
      <c r="K28" s="1">
        <v>0</v>
      </c>
      <c r="L28" s="1">
        <v>0</v>
      </c>
      <c r="O28" s="212" t="str">
        <f t="shared" si="0"/>
        <v>CH,13.02,1,0.0721,8,6,5.295,95.621,0,0,0</v>
      </c>
    </row>
    <row r="29" spans="2:15">
      <c r="B29" s="1" t="s">
        <v>19</v>
      </c>
      <c r="C29" s="1">
        <v>31.033999999999999</v>
      </c>
      <c r="D29" s="1">
        <v>2</v>
      </c>
      <c r="E29" s="1">
        <v>0.58538000000000001</v>
      </c>
      <c r="F29" s="1">
        <v>22.699000000000002</v>
      </c>
      <c r="G29" s="1">
        <v>6</v>
      </c>
      <c r="H29" s="1">
        <v>3.4054000000000002</v>
      </c>
      <c r="I29" s="1">
        <v>407.22</v>
      </c>
      <c r="J29" s="1">
        <v>1</v>
      </c>
      <c r="K29" s="1">
        <v>2</v>
      </c>
      <c r="L29" s="1">
        <v>0</v>
      </c>
      <c r="O29" s="212" t="str">
        <f t="shared" si="0"/>
        <v>CH2OH,31.034,2,0.58538,22.699,6,3.4054,407.22,1,2,0</v>
      </c>
    </row>
    <row r="30" spans="2:15">
      <c r="B30" s="1" t="s">
        <v>20</v>
      </c>
      <c r="C30" s="1">
        <v>31.02</v>
      </c>
      <c r="D30" s="1">
        <v>2</v>
      </c>
      <c r="E30" s="1">
        <v>0.18962999999999999</v>
      </c>
      <c r="F30" s="1">
        <v>18.184999999999999</v>
      </c>
      <c r="G30" s="1">
        <v>6</v>
      </c>
      <c r="H30" s="1">
        <v>4.5381</v>
      </c>
      <c r="I30" s="1">
        <v>599.66</v>
      </c>
      <c r="J30" s="1">
        <v>1</v>
      </c>
      <c r="K30" s="1">
        <v>2</v>
      </c>
      <c r="L30" s="1">
        <v>0</v>
      </c>
      <c r="O30" s="212" t="str">
        <f t="shared" si="0"/>
        <v>CHOH,31.02,2,0.18963,18.185,6,4.5381,599.66,1,2,0</v>
      </c>
    </row>
    <row r="31" spans="2:15">
      <c r="B31" s="1" t="s">
        <v>21</v>
      </c>
      <c r="C31" s="1">
        <v>44.03</v>
      </c>
      <c r="D31" s="1">
        <v>2</v>
      </c>
      <c r="E31" s="1">
        <v>0.73763999999999996</v>
      </c>
      <c r="F31" s="1">
        <v>29.839300000000001</v>
      </c>
      <c r="G31" s="1">
        <v>6</v>
      </c>
      <c r="H31" s="1">
        <v>2.9481999999999999</v>
      </c>
      <c r="I31" s="1">
        <v>156.1242</v>
      </c>
      <c r="J31" s="1">
        <v>1</v>
      </c>
      <c r="K31" s="1">
        <v>2</v>
      </c>
      <c r="L31" s="1">
        <v>0</v>
      </c>
      <c r="O31" s="212" t="str">
        <f t="shared" si="0"/>
        <v>CONH,44.03,2,0.73764,29.8393,6,2.9482,156.1242,1,2,0</v>
      </c>
    </row>
    <row r="32" spans="2:15">
      <c r="B32" s="1" t="s">
        <v>22</v>
      </c>
      <c r="C32" s="1">
        <v>44.009</v>
      </c>
      <c r="D32" s="1">
        <v>1</v>
      </c>
      <c r="E32" s="1">
        <v>0.55593000000000004</v>
      </c>
      <c r="F32" s="1">
        <v>8</v>
      </c>
      <c r="G32" s="1">
        <v>6</v>
      </c>
      <c r="H32" s="1">
        <v>4.3331</v>
      </c>
      <c r="I32" s="1">
        <v>21.263999999999999</v>
      </c>
      <c r="J32" s="1">
        <v>0</v>
      </c>
      <c r="K32" s="1">
        <v>4</v>
      </c>
      <c r="L32" s="1">
        <v>0</v>
      </c>
      <c r="O32" s="212" t="str">
        <f t="shared" si="0"/>
        <v>COO-,44.009,1,0.55593,8,6,4.3331,21.264,0,4,0</v>
      </c>
    </row>
    <row r="33" spans="2:15">
      <c r="B33" s="1" t="s">
        <v>23</v>
      </c>
      <c r="C33" s="1">
        <v>17.030999999999999</v>
      </c>
      <c r="D33" s="1">
        <v>1</v>
      </c>
      <c r="E33" s="1">
        <v>0.79674999999999996</v>
      </c>
      <c r="F33" s="1">
        <v>10.254</v>
      </c>
      <c r="G33" s="1">
        <v>6</v>
      </c>
      <c r="H33" s="1">
        <v>3.2477</v>
      </c>
      <c r="I33" s="1">
        <v>48.3</v>
      </c>
      <c r="J33" s="1">
        <v>3</v>
      </c>
      <c r="K33" s="1">
        <v>0</v>
      </c>
      <c r="L33" s="1">
        <v>0</v>
      </c>
      <c r="O33" s="212" t="str">
        <f t="shared" si="0"/>
        <v>NH3+,17.031,1,0.79675,10.254,6,3.2477,48.3,3,0,0</v>
      </c>
    </row>
    <row r="34" spans="2:15">
      <c r="B34" s="1" t="s">
        <v>24</v>
      </c>
      <c r="C34" s="1">
        <v>19.024999999999999</v>
      </c>
      <c r="D34" s="1">
        <v>1</v>
      </c>
      <c r="E34" s="1">
        <v>1</v>
      </c>
      <c r="F34" s="1">
        <v>17.02</v>
      </c>
      <c r="G34" s="1">
        <v>6</v>
      </c>
      <c r="H34" s="1">
        <v>3.0063</v>
      </c>
      <c r="I34" s="1">
        <v>68.19</v>
      </c>
      <c r="J34" s="1">
        <v>3</v>
      </c>
      <c r="K34" s="1">
        <v>0</v>
      </c>
      <c r="L34" s="1">
        <v>0</v>
      </c>
      <c r="O34" s="212" t="str">
        <f t="shared" si="0"/>
        <v>H3O+,19.025,1,1,17.02,6,3.0063,68.19,3,0,0</v>
      </c>
    </row>
    <row r="35" spans="2:15">
      <c r="B35" s="1" t="s">
        <v>25</v>
      </c>
      <c r="C35" s="1">
        <v>17.007000000000001</v>
      </c>
      <c r="D35" s="1">
        <v>1</v>
      </c>
      <c r="E35" s="1">
        <v>1</v>
      </c>
      <c r="F35" s="1">
        <v>17.02</v>
      </c>
      <c r="G35" s="1">
        <v>6</v>
      </c>
      <c r="H35" s="1">
        <v>2.46</v>
      </c>
      <c r="I35" s="1">
        <v>170.24</v>
      </c>
      <c r="J35" s="1">
        <v>0</v>
      </c>
      <c r="K35" s="1">
        <v>3</v>
      </c>
      <c r="L35" s="1">
        <v>0</v>
      </c>
      <c r="O35" s="212" t="str">
        <f t="shared" si="0"/>
        <v>OH-,17.007,1,1,17.02,6,2.46,170.24,0,3,0</v>
      </c>
    </row>
    <row r="36" spans="2:15">
      <c r="B36" s="1" t="s">
        <v>26</v>
      </c>
      <c r="C36" s="1">
        <v>22.99</v>
      </c>
      <c r="D36" s="1">
        <v>1</v>
      </c>
      <c r="E36" s="1">
        <v>1</v>
      </c>
      <c r="F36" s="1">
        <v>12</v>
      </c>
      <c r="G36" s="1">
        <v>6</v>
      </c>
      <c r="H36" s="1">
        <v>2.3199999999999998</v>
      </c>
      <c r="I36" s="1">
        <v>31.710999999999999</v>
      </c>
      <c r="J36" s="1">
        <v>0</v>
      </c>
      <c r="K36" s="1">
        <v>0</v>
      </c>
      <c r="L36" s="1">
        <v>0</v>
      </c>
      <c r="O36" s="212" t="str">
        <f t="shared" si="0"/>
        <v>Na+,22.99,1,1,12,6,2.32,31.711,0,0,0</v>
      </c>
    </row>
    <row r="37" spans="2:15">
      <c r="B37" s="1" t="s">
        <v>27</v>
      </c>
      <c r="C37" s="1">
        <v>35.450000000000003</v>
      </c>
      <c r="D37" s="1">
        <v>1</v>
      </c>
      <c r="E37" s="1">
        <v>1</v>
      </c>
      <c r="F37" s="1">
        <v>12</v>
      </c>
      <c r="G37" s="1">
        <v>6</v>
      </c>
      <c r="H37" s="1">
        <v>3.34</v>
      </c>
      <c r="I37" s="1">
        <v>113.77</v>
      </c>
      <c r="J37" s="1">
        <v>0</v>
      </c>
      <c r="K37" s="1">
        <v>0</v>
      </c>
      <c r="L37" s="1">
        <v>0</v>
      </c>
      <c r="O37" s="212" t="str">
        <f t="shared" si="0"/>
        <v>Cl-,35.45,1,1,12,6,3.34,113.77,0,0,0</v>
      </c>
    </row>
    <row r="39" spans="2:15">
      <c r="O39" s="212" t="s">
        <v>760</v>
      </c>
    </row>
    <row r="40" spans="2:15">
      <c r="O40" s="212" t="s">
        <v>912</v>
      </c>
    </row>
    <row r="41" spans="2:15">
      <c r="O41" s="212" t="s">
        <v>761</v>
      </c>
    </row>
    <row r="42" spans="2:15">
      <c r="O42" s="212" t="s">
        <v>913</v>
      </c>
    </row>
    <row r="43" spans="2:15">
      <c r="O43" s="212" t="s">
        <v>914</v>
      </c>
    </row>
    <row r="44" spans="2:15">
      <c r="O44" s="212" t="s">
        <v>915</v>
      </c>
    </row>
    <row r="45" spans="2:15">
      <c r="O45" s="212" t="s">
        <v>916</v>
      </c>
    </row>
    <row r="46" spans="2:15">
      <c r="O46" s="212" t="s">
        <v>917</v>
      </c>
    </row>
    <row r="47" spans="2:15">
      <c r="O47" s="212" t="s">
        <v>918</v>
      </c>
    </row>
    <row r="48" spans="2:15">
      <c r="O48" s="212" t="s">
        <v>919</v>
      </c>
    </row>
    <row r="49" spans="15:21">
      <c r="O49" s="212" t="s">
        <v>920</v>
      </c>
      <c r="U49" s="212" t="s">
        <v>927</v>
      </c>
    </row>
    <row r="50" spans="15:21">
      <c r="O50" s="212" t="s">
        <v>921</v>
      </c>
      <c r="U50" s="212" t="s">
        <v>928</v>
      </c>
    </row>
    <row r="51" spans="15:21">
      <c r="O51" s="212" t="s">
        <v>922</v>
      </c>
    </row>
    <row r="52" spans="15:21">
      <c r="O52" s="212" t="s">
        <v>923</v>
      </c>
    </row>
    <row r="53" spans="15:21">
      <c r="O53" s="212" t="s">
        <v>924</v>
      </c>
    </row>
    <row r="54" spans="15:21">
      <c r="O54" s="212" t="s">
        <v>925</v>
      </c>
    </row>
  </sheetData>
  <mergeCells count="1">
    <mergeCell ref="B2:M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D3A91-2073-403D-8491-B35CC74AC15F}">
  <sheetPr codeName="Sheet3">
    <pageSetUpPr autoPageBreaks="0"/>
  </sheetPr>
  <dimension ref="B1:U90"/>
  <sheetViews>
    <sheetView zoomScale="70" zoomScaleNormal="85" workbookViewId="0">
      <selection activeCell="U4" sqref="U4:U90"/>
    </sheetView>
  </sheetViews>
  <sheetFormatPr defaultRowHeight="14.5"/>
  <cols>
    <col min="1" max="1" width="8.7265625" style="1"/>
    <col min="2" max="2" width="13.54296875" style="1" customWidth="1"/>
    <col min="3" max="3" width="14.81640625" style="1" customWidth="1"/>
    <col min="4" max="4" width="11.81640625" style="1" customWidth="1"/>
    <col min="5" max="5" width="14.81640625" style="1" customWidth="1"/>
    <col min="6" max="6" width="52.90625" style="1" bestFit="1" customWidth="1"/>
    <col min="7" max="7" width="14.81640625" style="1" customWidth="1"/>
    <col min="8" max="8" width="8.7265625" style="1"/>
    <col min="9" max="9" width="14.81640625" style="1" customWidth="1"/>
    <col min="10" max="16384" width="8.7265625" style="1"/>
  </cols>
  <sheetData>
    <row r="1" spans="2:21" ht="15" thickBot="1"/>
    <row r="2" spans="2:21">
      <c r="B2" s="221" t="s">
        <v>38</v>
      </c>
      <c r="C2" s="222"/>
      <c r="D2" s="222"/>
      <c r="E2" s="222"/>
      <c r="F2" s="223"/>
    </row>
    <row r="3" spans="2:21" ht="15" thickBot="1">
      <c r="B3" s="224"/>
      <c r="C3" s="225"/>
      <c r="D3" s="225"/>
      <c r="E3" s="225"/>
      <c r="F3" s="226"/>
    </row>
    <row r="4" spans="2:21" ht="16.5">
      <c r="B4" s="202" t="s">
        <v>9</v>
      </c>
      <c r="C4" s="203" t="s">
        <v>39</v>
      </c>
      <c r="D4" s="203" t="s">
        <v>71</v>
      </c>
      <c r="E4" s="203" t="s">
        <v>60</v>
      </c>
      <c r="F4" s="204" t="s">
        <v>11</v>
      </c>
      <c r="K4" s="1" t="s">
        <v>762</v>
      </c>
      <c r="L4" s="1" t="s">
        <v>763</v>
      </c>
      <c r="M4" s="1" t="s">
        <v>756</v>
      </c>
      <c r="N4" s="1" t="s">
        <v>754</v>
      </c>
      <c r="P4" s="212" t="str">
        <f>CONCATENATE(K4,",",L4,",",M4,",",N4)</f>
        <v>species1,species2,epsilon,lambda_r</v>
      </c>
      <c r="U4" s="212" t="s">
        <v>764</v>
      </c>
    </row>
    <row r="5" spans="2:21">
      <c r="B5" s="14" t="s">
        <v>13</v>
      </c>
      <c r="C5" s="38" t="s">
        <v>14</v>
      </c>
      <c r="D5" s="38">
        <v>289.76</v>
      </c>
      <c r="E5" s="38" t="s">
        <v>40</v>
      </c>
      <c r="F5" s="15" t="s">
        <v>42</v>
      </c>
      <c r="K5" s="1" t="s">
        <v>13</v>
      </c>
      <c r="L5" s="1" t="s">
        <v>14</v>
      </c>
      <c r="M5" s="1">
        <v>289.76</v>
      </c>
      <c r="P5" s="212" t="str">
        <f t="shared" ref="P5:P68" si="0">CONCATENATE(K5,",",L5,",",M5,",",N5)</f>
        <v>H2O,COOH,289.76,</v>
      </c>
      <c r="U5" s="212" t="s">
        <v>765</v>
      </c>
    </row>
    <row r="6" spans="2:21">
      <c r="B6" s="14" t="s">
        <v>13</v>
      </c>
      <c r="C6" s="38" t="s">
        <v>15</v>
      </c>
      <c r="D6" s="38">
        <v>358.55</v>
      </c>
      <c r="E6" s="38" t="s">
        <v>40</v>
      </c>
      <c r="F6" s="15" t="s">
        <v>30</v>
      </c>
      <c r="K6" s="1" t="s">
        <v>13</v>
      </c>
      <c r="L6" s="1" t="s">
        <v>15</v>
      </c>
      <c r="M6" s="1">
        <v>358.55</v>
      </c>
      <c r="P6" s="212" t="str">
        <f t="shared" si="0"/>
        <v>H2O,NH2,358.55,</v>
      </c>
      <c r="U6" s="212" t="s">
        <v>766</v>
      </c>
    </row>
    <row r="7" spans="2:21">
      <c r="B7" s="14" t="s">
        <v>13</v>
      </c>
      <c r="C7" s="38" t="s">
        <v>16</v>
      </c>
      <c r="D7" s="38">
        <v>358.18</v>
      </c>
      <c r="E7" s="38">
        <v>100</v>
      </c>
      <c r="F7" s="15" t="s">
        <v>42</v>
      </c>
      <c r="K7" s="1" t="s">
        <v>13</v>
      </c>
      <c r="L7" s="1" t="s">
        <v>16</v>
      </c>
      <c r="M7" s="1">
        <v>358.18</v>
      </c>
      <c r="N7" s="1">
        <v>100</v>
      </c>
      <c r="P7" s="212" t="str">
        <f t="shared" si="0"/>
        <v>H2O,CH3,358.18,100</v>
      </c>
      <c r="U7" s="212" t="s">
        <v>767</v>
      </c>
    </row>
    <row r="8" spans="2:21">
      <c r="B8" s="14" t="s">
        <v>13</v>
      </c>
      <c r="C8" s="38" t="s">
        <v>17</v>
      </c>
      <c r="D8" s="38">
        <v>423.63</v>
      </c>
      <c r="E8" s="38">
        <v>100</v>
      </c>
      <c r="F8" s="15" t="s">
        <v>42</v>
      </c>
      <c r="K8" s="1" t="s">
        <v>13</v>
      </c>
      <c r="L8" s="1" t="s">
        <v>17</v>
      </c>
      <c r="M8" s="1">
        <v>423.63</v>
      </c>
      <c r="N8" s="1">
        <v>100</v>
      </c>
      <c r="P8" s="212" t="str">
        <f t="shared" si="0"/>
        <v>H2O,CH2,423.63,100</v>
      </c>
      <c r="U8" s="212" t="s">
        <v>768</v>
      </c>
    </row>
    <row r="9" spans="2:21">
      <c r="B9" s="14" t="s">
        <v>13</v>
      </c>
      <c r="C9" s="38" t="s">
        <v>18</v>
      </c>
      <c r="D9" s="38">
        <v>275.75</v>
      </c>
      <c r="E9" s="38" t="s">
        <v>40</v>
      </c>
      <c r="F9" s="15" t="s">
        <v>32</v>
      </c>
      <c r="K9" s="1" t="s">
        <v>13</v>
      </c>
      <c r="L9" s="1" t="s">
        <v>18</v>
      </c>
      <c r="M9" s="1">
        <v>275.75</v>
      </c>
      <c r="P9" s="212" t="str">
        <f t="shared" si="0"/>
        <v>H2O,CH,275.75,</v>
      </c>
      <c r="U9" s="212" t="s">
        <v>769</v>
      </c>
    </row>
    <row r="10" spans="2:21">
      <c r="B10" s="14" t="s">
        <v>13</v>
      </c>
      <c r="C10" s="38" t="s">
        <v>19</v>
      </c>
      <c r="D10" s="38">
        <v>353.37</v>
      </c>
      <c r="E10" s="38" t="s">
        <v>40</v>
      </c>
      <c r="F10" s="15" t="s">
        <v>42</v>
      </c>
      <c r="K10" s="1" t="s">
        <v>13</v>
      </c>
      <c r="L10" s="1" t="s">
        <v>19</v>
      </c>
      <c r="M10" s="1">
        <v>353.37</v>
      </c>
      <c r="P10" s="212" t="str">
        <f t="shared" si="0"/>
        <v>H2O,CH2OH,353.37,</v>
      </c>
      <c r="U10" s="212" t="s">
        <v>770</v>
      </c>
    </row>
    <row r="11" spans="2:21">
      <c r="B11" s="14" t="s">
        <v>13</v>
      </c>
      <c r="C11" s="38" t="s">
        <v>20</v>
      </c>
      <c r="D11" s="38">
        <v>479.16</v>
      </c>
      <c r="E11" s="38" t="s">
        <v>40</v>
      </c>
      <c r="F11" s="15" t="s">
        <v>33</v>
      </c>
      <c r="K11" s="1" t="s">
        <v>13</v>
      </c>
      <c r="L11" s="1" t="s">
        <v>20</v>
      </c>
      <c r="M11" s="1">
        <v>479.16</v>
      </c>
      <c r="P11" s="212" t="str">
        <f t="shared" si="0"/>
        <v>H2O,CHOH,479.16,</v>
      </c>
      <c r="U11" s="212" t="s">
        <v>771</v>
      </c>
    </row>
    <row r="12" spans="2:21">
      <c r="B12" s="14" t="s">
        <v>13</v>
      </c>
      <c r="C12" s="38" t="s">
        <v>22</v>
      </c>
      <c r="D12" s="38">
        <v>171.61</v>
      </c>
      <c r="E12" s="38" t="s">
        <v>40</v>
      </c>
      <c r="F12" s="15" t="s">
        <v>43</v>
      </c>
      <c r="K12" s="1" t="s">
        <v>13</v>
      </c>
      <c r="L12" s="1" t="s">
        <v>22</v>
      </c>
      <c r="M12" s="1">
        <v>171.61</v>
      </c>
      <c r="P12" s="212" t="str">
        <f t="shared" si="0"/>
        <v>H2O,COO-,171.61,</v>
      </c>
      <c r="U12" s="212" t="s">
        <v>772</v>
      </c>
    </row>
    <row r="13" spans="2:21">
      <c r="B13" s="14" t="s">
        <v>13</v>
      </c>
      <c r="C13" s="38" t="s">
        <v>23</v>
      </c>
      <c r="D13" s="38">
        <v>450.21</v>
      </c>
      <c r="E13" s="38" t="s">
        <v>40</v>
      </c>
      <c r="F13" s="15" t="s">
        <v>36</v>
      </c>
      <c r="K13" s="1" t="s">
        <v>13</v>
      </c>
      <c r="L13" s="1" t="s">
        <v>23</v>
      </c>
      <c r="M13" s="1">
        <v>450.21</v>
      </c>
      <c r="P13" s="212" t="str">
        <f t="shared" si="0"/>
        <v>H2O,NH3+,450.21,</v>
      </c>
      <c r="U13" s="212" t="s">
        <v>773</v>
      </c>
    </row>
    <row r="14" spans="2:21">
      <c r="B14" s="14" t="s">
        <v>13</v>
      </c>
      <c r="C14" s="38" t="s">
        <v>24</v>
      </c>
      <c r="D14" s="38">
        <v>391.04</v>
      </c>
      <c r="E14" s="38" t="s">
        <v>40</v>
      </c>
      <c r="F14" s="15" t="s">
        <v>37</v>
      </c>
      <c r="K14" s="1" t="s">
        <v>13</v>
      </c>
      <c r="L14" s="1" t="s">
        <v>24</v>
      </c>
      <c r="M14" s="1">
        <v>391.04</v>
      </c>
      <c r="P14" s="212" t="str">
        <f t="shared" si="0"/>
        <v>H2O,H3O+,391.04,</v>
      </c>
      <c r="U14" s="212" t="s">
        <v>774</v>
      </c>
    </row>
    <row r="15" spans="2:21">
      <c r="B15" s="14" t="s">
        <v>13</v>
      </c>
      <c r="C15" s="38" t="s">
        <v>25</v>
      </c>
      <c r="D15" s="38">
        <v>134.41</v>
      </c>
      <c r="E15" s="38" t="s">
        <v>40</v>
      </c>
      <c r="F15" s="15" t="s">
        <v>37</v>
      </c>
      <c r="K15" s="1" t="s">
        <v>13</v>
      </c>
      <c r="L15" s="1" t="s">
        <v>25</v>
      </c>
      <c r="M15" s="1">
        <v>134.41</v>
      </c>
      <c r="P15" s="212" t="str">
        <f t="shared" si="0"/>
        <v>H2O,OH-,134.41,</v>
      </c>
      <c r="U15" s="212" t="s">
        <v>775</v>
      </c>
    </row>
    <row r="16" spans="2:21">
      <c r="B16" s="14" t="s">
        <v>13</v>
      </c>
      <c r="C16" s="38" t="s">
        <v>21</v>
      </c>
      <c r="D16" s="79">
        <v>379.59007329000002</v>
      </c>
      <c r="E16" s="38" t="s">
        <v>40</v>
      </c>
      <c r="F16" s="15" t="s">
        <v>34</v>
      </c>
      <c r="K16" s="1" t="s">
        <v>13</v>
      </c>
      <c r="L16" s="1" t="s">
        <v>21</v>
      </c>
      <c r="M16" s="1">
        <v>379.59007329000002</v>
      </c>
      <c r="P16" s="212" t="str">
        <f t="shared" si="0"/>
        <v>H2O,CONH,379.59007329,</v>
      </c>
      <c r="U16" s="212" t="s">
        <v>776</v>
      </c>
    </row>
    <row r="17" spans="2:21">
      <c r="B17" s="14" t="s">
        <v>13</v>
      </c>
      <c r="C17" s="38" t="s">
        <v>26</v>
      </c>
      <c r="D17" s="38">
        <v>539.67999999999995</v>
      </c>
      <c r="E17" s="38" t="s">
        <v>40</v>
      </c>
      <c r="F17" s="15" t="s">
        <v>37</v>
      </c>
      <c r="K17" s="1" t="s">
        <v>13</v>
      </c>
      <c r="L17" s="1" t="s">
        <v>26</v>
      </c>
      <c r="M17" s="1">
        <v>539.67999999999995</v>
      </c>
      <c r="P17" s="212" t="str">
        <f t="shared" si="0"/>
        <v>H2O,Na+,539.68,</v>
      </c>
      <c r="U17" s="212" t="s">
        <v>777</v>
      </c>
    </row>
    <row r="18" spans="2:21">
      <c r="B18" s="14" t="s">
        <v>13</v>
      </c>
      <c r="C18" s="38" t="s">
        <v>27</v>
      </c>
      <c r="D18" s="38">
        <v>95.406000000000006</v>
      </c>
      <c r="E18" s="38" t="s">
        <v>40</v>
      </c>
      <c r="F18" s="15" t="s">
        <v>37</v>
      </c>
      <c r="K18" s="1" t="s">
        <v>13</v>
      </c>
      <c r="L18" s="1" t="s">
        <v>27</v>
      </c>
      <c r="M18" s="1">
        <v>95.406000000000006</v>
      </c>
      <c r="P18" s="212" t="str">
        <f t="shared" si="0"/>
        <v>H2O,Cl-,95.406,</v>
      </c>
      <c r="U18" s="212" t="s">
        <v>778</v>
      </c>
    </row>
    <row r="19" spans="2:21">
      <c r="B19" s="14" t="s">
        <v>14</v>
      </c>
      <c r="C19" s="38" t="s">
        <v>15</v>
      </c>
      <c r="D19" s="79">
        <v>285</v>
      </c>
      <c r="E19" s="38" t="s">
        <v>40</v>
      </c>
      <c r="F19" s="15" t="s">
        <v>34</v>
      </c>
      <c r="K19" s="1" t="s">
        <v>14</v>
      </c>
      <c r="L19" s="1" t="s">
        <v>15</v>
      </c>
      <c r="M19" s="1">
        <v>285</v>
      </c>
      <c r="P19" s="212" t="str">
        <f t="shared" si="0"/>
        <v>COOH,NH2,285,</v>
      </c>
      <c r="U19" s="212" t="s">
        <v>779</v>
      </c>
    </row>
    <row r="20" spans="2:21">
      <c r="B20" s="14" t="s">
        <v>14</v>
      </c>
      <c r="C20" s="38" t="s">
        <v>16</v>
      </c>
      <c r="D20" s="38">
        <v>255.99</v>
      </c>
      <c r="E20" s="38" t="s">
        <v>40</v>
      </c>
      <c r="F20" s="15" t="s">
        <v>29</v>
      </c>
      <c r="K20" s="1" t="s">
        <v>14</v>
      </c>
      <c r="L20" s="1" t="s">
        <v>16</v>
      </c>
      <c r="M20" s="1">
        <v>255.99</v>
      </c>
      <c r="P20" s="212" t="str">
        <f t="shared" si="0"/>
        <v>COOH,CH3,255.99,</v>
      </c>
      <c r="U20" s="212" t="s">
        <v>780</v>
      </c>
    </row>
    <row r="21" spans="2:21">
      <c r="B21" s="14" t="s">
        <v>14</v>
      </c>
      <c r="C21" s="38" t="s">
        <v>17</v>
      </c>
      <c r="D21" s="38">
        <v>413.74</v>
      </c>
      <c r="E21" s="38" t="s">
        <v>40</v>
      </c>
      <c r="F21" s="15" t="s">
        <v>29</v>
      </c>
      <c r="K21" s="1" t="s">
        <v>14</v>
      </c>
      <c r="L21" s="1" t="s">
        <v>17</v>
      </c>
      <c r="M21" s="1">
        <v>413.74</v>
      </c>
      <c r="P21" s="212" t="str">
        <f t="shared" si="0"/>
        <v>COOH,CH2,413.74,</v>
      </c>
      <c r="U21" s="212" t="s">
        <v>781</v>
      </c>
    </row>
    <row r="22" spans="2:21">
      <c r="B22" s="14" t="s">
        <v>14</v>
      </c>
      <c r="C22" s="38" t="s">
        <v>18</v>
      </c>
      <c r="D22" s="38">
        <v>504.99</v>
      </c>
      <c r="E22" s="38" t="s">
        <v>40</v>
      </c>
      <c r="F22" s="15" t="s">
        <v>29</v>
      </c>
      <c r="K22" s="1" t="s">
        <v>14</v>
      </c>
      <c r="L22" s="1" t="s">
        <v>18</v>
      </c>
      <c r="M22" s="1">
        <v>504.99</v>
      </c>
      <c r="P22" s="212" t="str">
        <f t="shared" si="0"/>
        <v>COOH,CH,504.99,</v>
      </c>
      <c r="U22" s="212" t="s">
        <v>782</v>
      </c>
    </row>
    <row r="23" spans="2:21">
      <c r="B23" s="14" t="s">
        <v>14</v>
      </c>
      <c r="C23" s="38" t="s">
        <v>19</v>
      </c>
      <c r="D23" s="38">
        <v>488.18</v>
      </c>
      <c r="E23" s="38" t="s">
        <v>40</v>
      </c>
      <c r="F23" s="15" t="s">
        <v>44</v>
      </c>
      <c r="K23" s="1" t="s">
        <v>14</v>
      </c>
      <c r="L23" s="1" t="s">
        <v>19</v>
      </c>
      <c r="M23" s="1">
        <v>488.18</v>
      </c>
      <c r="P23" s="212" t="str">
        <f t="shared" si="0"/>
        <v>COOH,CH2OH,488.18,</v>
      </c>
      <c r="U23" s="212" t="s">
        <v>783</v>
      </c>
    </row>
    <row r="24" spans="2:21">
      <c r="B24" s="14" t="s">
        <v>14</v>
      </c>
      <c r="C24" s="38" t="s">
        <v>20</v>
      </c>
      <c r="D24" s="150">
        <v>1154.3399999999999</v>
      </c>
      <c r="E24" s="38">
        <v>50</v>
      </c>
      <c r="F24" s="15" t="s">
        <v>34</v>
      </c>
      <c r="K24" s="1" t="s">
        <v>14</v>
      </c>
      <c r="L24" s="1" t="s">
        <v>20</v>
      </c>
      <c r="M24" s="1">
        <v>1154.3399999999999</v>
      </c>
      <c r="N24" s="1">
        <v>50</v>
      </c>
      <c r="P24" s="212" t="str">
        <f t="shared" si="0"/>
        <v>COOH,CHOH,1154.34,50</v>
      </c>
      <c r="U24" s="212" t="s">
        <v>784</v>
      </c>
    </row>
    <row r="25" spans="2:21">
      <c r="B25" s="14" t="s">
        <v>14</v>
      </c>
      <c r="C25" s="38" t="s">
        <v>22</v>
      </c>
      <c r="D25" s="38">
        <v>405.78</v>
      </c>
      <c r="E25" s="38">
        <v>8</v>
      </c>
      <c r="F25" s="15" t="s">
        <v>43</v>
      </c>
      <c r="K25" s="1" t="s">
        <v>14</v>
      </c>
      <c r="L25" s="1" t="s">
        <v>22</v>
      </c>
      <c r="M25" s="1">
        <v>405.78</v>
      </c>
      <c r="N25" s="1">
        <v>8</v>
      </c>
      <c r="P25" s="212" t="str">
        <f t="shared" si="0"/>
        <v>COOH,COO-,405.78,8</v>
      </c>
      <c r="U25" s="212" t="s">
        <v>785</v>
      </c>
    </row>
    <row r="26" spans="2:21">
      <c r="B26" s="14" t="s">
        <v>14</v>
      </c>
      <c r="C26" s="38" t="s">
        <v>23</v>
      </c>
      <c r="D26" s="38">
        <v>388.58</v>
      </c>
      <c r="E26" s="38" t="s">
        <v>40</v>
      </c>
      <c r="F26" s="15" t="s">
        <v>36</v>
      </c>
      <c r="K26" s="1" t="s">
        <v>14</v>
      </c>
      <c r="L26" s="1" t="s">
        <v>23</v>
      </c>
      <c r="M26" s="1">
        <v>388.58</v>
      </c>
      <c r="P26" s="212" t="str">
        <f t="shared" si="0"/>
        <v>COOH,NH3+,388.58,</v>
      </c>
      <c r="U26" s="212" t="s">
        <v>786</v>
      </c>
    </row>
    <row r="27" spans="2:21">
      <c r="B27" s="14" t="s">
        <v>14</v>
      </c>
      <c r="C27" s="38" t="s">
        <v>24</v>
      </c>
      <c r="D27" s="38" t="s">
        <v>40</v>
      </c>
      <c r="E27" s="38" t="s">
        <v>40</v>
      </c>
      <c r="F27" s="15" t="s">
        <v>36</v>
      </c>
      <c r="K27" s="1" t="s">
        <v>14</v>
      </c>
      <c r="L27" s="1" t="s">
        <v>24</v>
      </c>
      <c r="P27" s="212" t="str">
        <f t="shared" si="0"/>
        <v>COOH,H3O+,,</v>
      </c>
      <c r="U27" s="212" t="s">
        <v>787</v>
      </c>
    </row>
    <row r="28" spans="2:21">
      <c r="B28" s="14" t="s">
        <v>14</v>
      </c>
      <c r="C28" s="38" t="s">
        <v>25</v>
      </c>
      <c r="D28" s="38" t="s">
        <v>40</v>
      </c>
      <c r="E28" s="38" t="s">
        <v>40</v>
      </c>
      <c r="F28" s="15" t="s">
        <v>36</v>
      </c>
      <c r="K28" s="1" t="s">
        <v>14</v>
      </c>
      <c r="L28" s="1" t="s">
        <v>25</v>
      </c>
      <c r="P28" s="212" t="str">
        <f t="shared" si="0"/>
        <v>COOH,OH-,,</v>
      </c>
      <c r="U28" s="212" t="s">
        <v>788</v>
      </c>
    </row>
    <row r="29" spans="2:21">
      <c r="B29" s="14" t="s">
        <v>14</v>
      </c>
      <c r="C29" s="38" t="s">
        <v>21</v>
      </c>
      <c r="D29" s="79">
        <v>670.03957426299996</v>
      </c>
      <c r="E29" s="38" t="s">
        <v>40</v>
      </c>
      <c r="F29" s="15" t="s">
        <v>34</v>
      </c>
      <c r="K29" s="1" t="s">
        <v>14</v>
      </c>
      <c r="L29" s="1" t="s">
        <v>21</v>
      </c>
      <c r="M29" s="1">
        <v>670.03957426299996</v>
      </c>
      <c r="P29" s="212" t="str">
        <f t="shared" si="0"/>
        <v>COOH,CONH,670.039574263,</v>
      </c>
      <c r="U29" s="212" t="s">
        <v>789</v>
      </c>
    </row>
    <row r="30" spans="2:21">
      <c r="B30" s="14" t="s">
        <v>14</v>
      </c>
      <c r="C30" s="38" t="s">
        <v>26</v>
      </c>
      <c r="D30" s="38" t="s">
        <v>40</v>
      </c>
      <c r="E30" s="38" t="s">
        <v>40</v>
      </c>
      <c r="F30" s="15" t="s">
        <v>41</v>
      </c>
      <c r="K30" s="1" t="s">
        <v>14</v>
      </c>
      <c r="L30" s="1" t="s">
        <v>26</v>
      </c>
      <c r="P30" s="212" t="str">
        <f t="shared" si="0"/>
        <v>COOH,Na+,,</v>
      </c>
      <c r="U30" s="212" t="s">
        <v>790</v>
      </c>
    </row>
    <row r="31" spans="2:21">
      <c r="B31" s="14" t="s">
        <v>14</v>
      </c>
      <c r="C31" s="38" t="s">
        <v>27</v>
      </c>
      <c r="D31" s="38" t="s">
        <v>40</v>
      </c>
      <c r="E31" s="38" t="s">
        <v>40</v>
      </c>
      <c r="F31" s="15" t="s">
        <v>41</v>
      </c>
      <c r="K31" s="1" t="s">
        <v>14</v>
      </c>
      <c r="L31" s="1" t="s">
        <v>27</v>
      </c>
      <c r="P31" s="212" t="str">
        <f t="shared" si="0"/>
        <v>COOH,Cl-,,</v>
      </c>
      <c r="U31" s="212" t="s">
        <v>791</v>
      </c>
    </row>
    <row r="32" spans="2:21">
      <c r="B32" s="14" t="s">
        <v>15</v>
      </c>
      <c r="C32" s="38" t="s">
        <v>16</v>
      </c>
      <c r="D32" s="38">
        <v>244.15</v>
      </c>
      <c r="E32" s="38" t="s">
        <v>40</v>
      </c>
      <c r="F32" s="15" t="s">
        <v>30</v>
      </c>
      <c r="K32" s="1" t="s">
        <v>15</v>
      </c>
      <c r="L32" s="1" t="s">
        <v>16</v>
      </c>
      <c r="M32" s="1">
        <v>244.15</v>
      </c>
      <c r="P32" s="212" t="str">
        <f t="shared" si="0"/>
        <v>NH2,CH3,244.15,</v>
      </c>
      <c r="U32" s="212" t="s">
        <v>792</v>
      </c>
    </row>
    <row r="33" spans="2:21">
      <c r="B33" s="14" t="s">
        <v>15</v>
      </c>
      <c r="C33" s="38" t="s">
        <v>17</v>
      </c>
      <c r="D33" s="38">
        <v>348.39</v>
      </c>
      <c r="E33" s="38" t="s">
        <v>40</v>
      </c>
      <c r="F33" s="15" t="s">
        <v>30</v>
      </c>
      <c r="K33" s="1" t="s">
        <v>15</v>
      </c>
      <c r="L33" s="1" t="s">
        <v>17</v>
      </c>
      <c r="M33" s="1">
        <v>348.39</v>
      </c>
      <c r="P33" s="212" t="str">
        <f t="shared" si="0"/>
        <v>NH2,CH2,348.39,</v>
      </c>
      <c r="U33" s="212" t="s">
        <v>793</v>
      </c>
    </row>
    <row r="34" spans="2:21">
      <c r="B34" s="14" t="s">
        <v>15</v>
      </c>
      <c r="C34" s="38" t="s">
        <v>18</v>
      </c>
      <c r="D34" s="79">
        <v>278.25900000000001</v>
      </c>
      <c r="E34" s="38" t="s">
        <v>40</v>
      </c>
      <c r="F34" s="15" t="s">
        <v>41</v>
      </c>
      <c r="K34" s="1" t="s">
        <v>15</v>
      </c>
      <c r="L34" s="1" t="s">
        <v>18</v>
      </c>
      <c r="M34" s="1">
        <v>278.25900000000001</v>
      </c>
      <c r="P34" s="212" t="str">
        <f t="shared" si="0"/>
        <v>NH2,CH,278.259,</v>
      </c>
      <c r="U34" s="212" t="s">
        <v>794</v>
      </c>
    </row>
    <row r="35" spans="2:21">
      <c r="B35" s="14" t="s">
        <v>15</v>
      </c>
      <c r="C35" s="38" t="s">
        <v>19</v>
      </c>
      <c r="D35" s="38">
        <v>528.21</v>
      </c>
      <c r="E35" s="38">
        <v>52.305</v>
      </c>
      <c r="F35" s="15" t="s">
        <v>45</v>
      </c>
      <c r="K35" s="1" t="s">
        <v>15</v>
      </c>
      <c r="L35" s="1" t="s">
        <v>19</v>
      </c>
      <c r="M35" s="1">
        <v>528.21</v>
      </c>
      <c r="N35" s="1">
        <v>52.305</v>
      </c>
      <c r="P35" s="212" t="str">
        <f t="shared" si="0"/>
        <v>NH2,CH2OH,528.21,52.305</v>
      </c>
      <c r="U35" s="212" t="s">
        <v>795</v>
      </c>
    </row>
    <row r="36" spans="2:21">
      <c r="B36" s="14" t="s">
        <v>15</v>
      </c>
      <c r="C36" s="38" t="s">
        <v>20</v>
      </c>
      <c r="D36" s="79">
        <v>415.53574670299997</v>
      </c>
      <c r="E36" s="75">
        <v>10.6429310725</v>
      </c>
      <c r="F36" s="15" t="s">
        <v>34</v>
      </c>
      <c r="K36" s="1" t="s">
        <v>15</v>
      </c>
      <c r="L36" s="1" t="s">
        <v>20</v>
      </c>
      <c r="M36" s="1">
        <v>415.53574670299997</v>
      </c>
      <c r="N36" s="1">
        <v>10.6429310725</v>
      </c>
      <c r="P36" s="212" t="str">
        <f t="shared" si="0"/>
        <v>NH2,CHOH,415.535746703,10.6429310725</v>
      </c>
      <c r="U36" s="212" t="s">
        <v>796</v>
      </c>
    </row>
    <row r="37" spans="2:21">
      <c r="B37" s="14" t="s">
        <v>15</v>
      </c>
      <c r="C37" s="38" t="s">
        <v>22</v>
      </c>
      <c r="D37" s="38" t="s">
        <v>40</v>
      </c>
      <c r="E37" s="38" t="s">
        <v>40</v>
      </c>
      <c r="F37" s="15" t="s">
        <v>41</v>
      </c>
      <c r="K37" s="1" t="s">
        <v>15</v>
      </c>
      <c r="L37" s="1" t="s">
        <v>22</v>
      </c>
      <c r="P37" s="212" t="str">
        <f t="shared" si="0"/>
        <v>NH2,COO-,,</v>
      </c>
      <c r="U37" s="212" t="s">
        <v>797</v>
      </c>
    </row>
    <row r="38" spans="2:21">
      <c r="B38" s="14" t="s">
        <v>15</v>
      </c>
      <c r="C38" s="38" t="s">
        <v>23</v>
      </c>
      <c r="D38" s="38">
        <v>284.77999999999997</v>
      </c>
      <c r="E38" s="38" t="s">
        <v>40</v>
      </c>
      <c r="F38" s="15" t="s">
        <v>36</v>
      </c>
      <c r="K38" s="1" t="s">
        <v>15</v>
      </c>
      <c r="L38" s="1" t="s">
        <v>23</v>
      </c>
      <c r="M38" s="1">
        <v>284.77999999999997</v>
      </c>
      <c r="P38" s="212" t="str">
        <f t="shared" si="0"/>
        <v>NH2,NH3+,284.78,</v>
      </c>
      <c r="U38" s="212" t="s">
        <v>798</v>
      </c>
    </row>
    <row r="39" spans="2:21">
      <c r="B39" s="14" t="s">
        <v>15</v>
      </c>
      <c r="C39" s="38" t="s">
        <v>24</v>
      </c>
      <c r="D39" s="38" t="s">
        <v>40</v>
      </c>
      <c r="E39" s="38" t="s">
        <v>40</v>
      </c>
      <c r="F39" s="15" t="s">
        <v>41</v>
      </c>
      <c r="K39" s="1" t="s">
        <v>15</v>
      </c>
      <c r="L39" s="1" t="s">
        <v>24</v>
      </c>
      <c r="P39" s="212" t="str">
        <f t="shared" si="0"/>
        <v>NH2,H3O+,,</v>
      </c>
      <c r="U39" s="212" t="s">
        <v>799</v>
      </c>
    </row>
    <row r="40" spans="2:21">
      <c r="B40" s="14" t="s">
        <v>15</v>
      </c>
      <c r="C40" s="38" t="s">
        <v>25</v>
      </c>
      <c r="D40" s="38" t="s">
        <v>40</v>
      </c>
      <c r="E40" s="38" t="s">
        <v>40</v>
      </c>
      <c r="F40" s="15" t="s">
        <v>41</v>
      </c>
      <c r="K40" s="1" t="s">
        <v>15</v>
      </c>
      <c r="L40" s="1" t="s">
        <v>25</v>
      </c>
      <c r="P40" s="212" t="str">
        <f t="shared" si="0"/>
        <v>NH2,OH-,,</v>
      </c>
      <c r="U40" s="212" t="s">
        <v>800</v>
      </c>
    </row>
    <row r="41" spans="2:21">
      <c r="B41" s="14" t="s">
        <v>15</v>
      </c>
      <c r="C41" s="38" t="s">
        <v>21</v>
      </c>
      <c r="D41" s="38">
        <v>150.77000000000001</v>
      </c>
      <c r="E41" s="38" t="s">
        <v>40</v>
      </c>
      <c r="F41" s="15" t="s">
        <v>34</v>
      </c>
      <c r="K41" s="1" t="s">
        <v>15</v>
      </c>
      <c r="L41" s="1" t="s">
        <v>21</v>
      </c>
      <c r="M41" s="1">
        <v>150.77000000000001</v>
      </c>
      <c r="P41" s="212" t="str">
        <f t="shared" si="0"/>
        <v>NH2,CONH,150.77,</v>
      </c>
      <c r="U41" s="212" t="s">
        <v>801</v>
      </c>
    </row>
    <row r="42" spans="2:21">
      <c r="B42" s="14" t="s">
        <v>15</v>
      </c>
      <c r="C42" s="38" t="s">
        <v>26</v>
      </c>
      <c r="D42" s="38" t="s">
        <v>40</v>
      </c>
      <c r="E42" s="38" t="s">
        <v>40</v>
      </c>
      <c r="F42" s="15" t="s">
        <v>41</v>
      </c>
      <c r="K42" s="1" t="s">
        <v>15</v>
      </c>
      <c r="L42" s="1" t="s">
        <v>26</v>
      </c>
      <c r="P42" s="212" t="str">
        <f t="shared" si="0"/>
        <v>NH2,Na+,,</v>
      </c>
      <c r="U42" s="212" t="s">
        <v>802</v>
      </c>
    </row>
    <row r="43" spans="2:21">
      <c r="B43" s="14" t="s">
        <v>15</v>
      </c>
      <c r="C43" s="38" t="s">
        <v>27</v>
      </c>
      <c r="D43" s="38" t="s">
        <v>40</v>
      </c>
      <c r="E43" s="38" t="s">
        <v>40</v>
      </c>
      <c r="F43" s="15" t="s">
        <v>41</v>
      </c>
      <c r="K43" s="1" t="s">
        <v>15</v>
      </c>
      <c r="L43" s="1" t="s">
        <v>27</v>
      </c>
      <c r="P43" s="212" t="str">
        <f t="shared" si="0"/>
        <v>NH2,Cl-,,</v>
      </c>
      <c r="U43" s="212" t="s">
        <v>803</v>
      </c>
    </row>
    <row r="44" spans="2:21">
      <c r="B44" s="14" t="s">
        <v>16</v>
      </c>
      <c r="C44" s="38" t="s">
        <v>17</v>
      </c>
      <c r="D44" s="38">
        <v>350.77</v>
      </c>
      <c r="E44" s="38" t="s">
        <v>40</v>
      </c>
      <c r="F44" s="15" t="s">
        <v>31</v>
      </c>
      <c r="K44" s="1" t="s">
        <v>16</v>
      </c>
      <c r="L44" s="1" t="s">
        <v>17</v>
      </c>
      <c r="M44" s="1">
        <v>350.77</v>
      </c>
      <c r="P44" s="212" t="str">
        <f t="shared" si="0"/>
        <v>CH3,CH2,350.77,</v>
      </c>
      <c r="U44" s="212" t="s">
        <v>804</v>
      </c>
    </row>
    <row r="45" spans="2:21">
      <c r="B45" s="14" t="s">
        <v>16</v>
      </c>
      <c r="C45" s="38" t="s">
        <v>18</v>
      </c>
      <c r="D45" s="38">
        <v>387.48</v>
      </c>
      <c r="E45" s="38" t="s">
        <v>40</v>
      </c>
      <c r="F45" s="15" t="s">
        <v>29</v>
      </c>
      <c r="K45" s="1" t="s">
        <v>16</v>
      </c>
      <c r="L45" s="1" t="s">
        <v>18</v>
      </c>
      <c r="M45" s="1">
        <v>387.48</v>
      </c>
      <c r="P45" s="212" t="str">
        <f t="shared" si="0"/>
        <v>CH3,CH,387.48,</v>
      </c>
      <c r="U45" s="212" t="s">
        <v>805</v>
      </c>
    </row>
    <row r="46" spans="2:21">
      <c r="B46" s="14" t="s">
        <v>16</v>
      </c>
      <c r="C46" s="38" t="s">
        <v>19</v>
      </c>
      <c r="D46" s="79">
        <v>333.2</v>
      </c>
      <c r="E46" s="38" t="s">
        <v>40</v>
      </c>
      <c r="F46" s="15" t="s">
        <v>42</v>
      </c>
      <c r="K46" s="1" t="s">
        <v>16</v>
      </c>
      <c r="L46" s="1" t="s">
        <v>19</v>
      </c>
      <c r="M46" s="1">
        <v>333.2</v>
      </c>
      <c r="P46" s="212" t="str">
        <f t="shared" si="0"/>
        <v>CH3,CH2OH,333.2,</v>
      </c>
      <c r="U46" s="212" t="s">
        <v>806</v>
      </c>
    </row>
    <row r="47" spans="2:21">
      <c r="B47" s="14" t="s">
        <v>16</v>
      </c>
      <c r="C47" s="38" t="s">
        <v>20</v>
      </c>
      <c r="D47" s="38">
        <v>479.38</v>
      </c>
      <c r="E47" s="38" t="s">
        <v>40</v>
      </c>
      <c r="F47" s="15" t="s">
        <v>33</v>
      </c>
      <c r="K47" s="1" t="s">
        <v>16</v>
      </c>
      <c r="L47" s="1" t="s">
        <v>20</v>
      </c>
      <c r="M47" s="1">
        <v>479.38</v>
      </c>
      <c r="P47" s="212" t="str">
        <f t="shared" si="0"/>
        <v>CH3,CHOH,479.38,</v>
      </c>
      <c r="U47" s="212" t="s">
        <v>807</v>
      </c>
    </row>
    <row r="48" spans="2:21">
      <c r="B48" s="14" t="s">
        <v>16</v>
      </c>
      <c r="C48" s="38" t="s">
        <v>22</v>
      </c>
      <c r="D48" s="38">
        <v>255.99</v>
      </c>
      <c r="E48" s="38" t="s">
        <v>40</v>
      </c>
      <c r="F48" s="15" t="s">
        <v>43</v>
      </c>
      <c r="K48" s="1" t="s">
        <v>16</v>
      </c>
      <c r="L48" s="1" t="s">
        <v>22</v>
      </c>
      <c r="M48" s="1">
        <v>255.99</v>
      </c>
      <c r="P48" s="212" t="str">
        <f t="shared" si="0"/>
        <v>CH3,COO-,255.99,</v>
      </c>
      <c r="U48" s="212" t="s">
        <v>808</v>
      </c>
    </row>
    <row r="49" spans="2:21">
      <c r="B49" s="14" t="s">
        <v>16</v>
      </c>
      <c r="C49" s="38" t="s">
        <v>23</v>
      </c>
      <c r="D49" s="38">
        <v>244.15</v>
      </c>
      <c r="E49" s="38" t="s">
        <v>40</v>
      </c>
      <c r="F49" s="15" t="s">
        <v>36</v>
      </c>
      <c r="K49" s="1" t="s">
        <v>16</v>
      </c>
      <c r="L49" s="1" t="s">
        <v>23</v>
      </c>
      <c r="M49" s="1">
        <v>244.15</v>
      </c>
      <c r="P49" s="212" t="str">
        <f t="shared" si="0"/>
        <v>CH3,NH3+,244.15,</v>
      </c>
      <c r="U49" s="212" t="s">
        <v>809</v>
      </c>
    </row>
    <row r="50" spans="2:21">
      <c r="B50" s="14" t="s">
        <v>16</v>
      </c>
      <c r="C50" s="38" t="s">
        <v>24</v>
      </c>
      <c r="D50" s="38" t="s">
        <v>40</v>
      </c>
      <c r="E50" s="38" t="s">
        <v>40</v>
      </c>
      <c r="F50" s="15" t="s">
        <v>41</v>
      </c>
      <c r="K50" s="1" t="s">
        <v>16</v>
      </c>
      <c r="L50" s="1" t="s">
        <v>24</v>
      </c>
      <c r="P50" s="212" t="str">
        <f t="shared" si="0"/>
        <v>CH3,H3O+,,</v>
      </c>
      <c r="U50" s="212" t="s">
        <v>810</v>
      </c>
    </row>
    <row r="51" spans="2:21">
      <c r="B51" s="14" t="s">
        <v>16</v>
      </c>
      <c r="C51" s="38" t="s">
        <v>26</v>
      </c>
      <c r="D51" s="38" t="s">
        <v>40</v>
      </c>
      <c r="E51" s="38" t="s">
        <v>40</v>
      </c>
      <c r="F51" s="15" t="s">
        <v>41</v>
      </c>
      <c r="K51" s="1" t="s">
        <v>16</v>
      </c>
      <c r="L51" s="1" t="s">
        <v>26</v>
      </c>
      <c r="P51" s="212" t="str">
        <f t="shared" si="0"/>
        <v>CH3,Na+,,</v>
      </c>
      <c r="U51" s="212" t="s">
        <v>811</v>
      </c>
    </row>
    <row r="52" spans="2:21">
      <c r="B52" s="14" t="s">
        <v>16</v>
      </c>
      <c r="C52" s="38" t="s">
        <v>27</v>
      </c>
      <c r="D52" s="38" t="s">
        <v>40</v>
      </c>
      <c r="E52" s="38" t="s">
        <v>40</v>
      </c>
      <c r="F52" s="15" t="s">
        <v>41</v>
      </c>
      <c r="K52" s="1" t="s">
        <v>16</v>
      </c>
      <c r="L52" s="1" t="s">
        <v>27</v>
      </c>
      <c r="P52" s="212" t="str">
        <f t="shared" si="0"/>
        <v>CH3,Cl-,,</v>
      </c>
      <c r="U52" s="212" t="s">
        <v>812</v>
      </c>
    </row>
    <row r="53" spans="2:21">
      <c r="B53" s="14" t="s">
        <v>16</v>
      </c>
      <c r="C53" s="38" t="s">
        <v>25</v>
      </c>
      <c r="D53" s="38" t="s">
        <v>40</v>
      </c>
      <c r="E53" s="38" t="s">
        <v>40</v>
      </c>
      <c r="F53" s="15" t="s">
        <v>41</v>
      </c>
      <c r="K53" s="1" t="s">
        <v>16</v>
      </c>
      <c r="L53" s="1" t="s">
        <v>25</v>
      </c>
      <c r="P53" s="212" t="str">
        <f t="shared" si="0"/>
        <v>CH3,OH-,,</v>
      </c>
      <c r="U53" s="212" t="s">
        <v>813</v>
      </c>
    </row>
    <row r="54" spans="2:21">
      <c r="B54" s="14" t="s">
        <v>16</v>
      </c>
      <c r="C54" s="38" t="s">
        <v>21</v>
      </c>
      <c r="D54" s="79">
        <v>430.6028</v>
      </c>
      <c r="E54" s="38" t="s">
        <v>40</v>
      </c>
      <c r="F54" s="15" t="s">
        <v>34</v>
      </c>
      <c r="K54" s="1" t="s">
        <v>16</v>
      </c>
      <c r="L54" s="1" t="s">
        <v>21</v>
      </c>
      <c r="M54" s="1">
        <v>430.6028</v>
      </c>
      <c r="P54" s="212" t="str">
        <f t="shared" si="0"/>
        <v>CH3,CONH,430.6028,</v>
      </c>
      <c r="U54" s="212" t="s">
        <v>814</v>
      </c>
    </row>
    <row r="55" spans="2:21">
      <c r="B55" s="14" t="s">
        <v>17</v>
      </c>
      <c r="C55" s="38" t="s">
        <v>18</v>
      </c>
      <c r="D55" s="38">
        <v>506.21</v>
      </c>
      <c r="E55" s="38" t="s">
        <v>40</v>
      </c>
      <c r="F55" s="15" t="s">
        <v>29</v>
      </c>
      <c r="K55" s="1" t="s">
        <v>17</v>
      </c>
      <c r="L55" s="1" t="s">
        <v>18</v>
      </c>
      <c r="M55" s="1">
        <v>506.21</v>
      </c>
      <c r="P55" s="212" t="str">
        <f t="shared" si="0"/>
        <v>CH2,CH,506.21,</v>
      </c>
      <c r="U55" s="212" t="s">
        <v>815</v>
      </c>
    </row>
    <row r="56" spans="2:21">
      <c r="B56" s="14" t="s">
        <v>17</v>
      </c>
      <c r="C56" s="38" t="s">
        <v>19</v>
      </c>
      <c r="D56" s="38">
        <v>423.17</v>
      </c>
      <c r="E56" s="38" t="s">
        <v>40</v>
      </c>
      <c r="F56" s="15" t="s">
        <v>42</v>
      </c>
      <c r="K56" s="1" t="s">
        <v>17</v>
      </c>
      <c r="L56" s="1" t="s">
        <v>19</v>
      </c>
      <c r="M56" s="1">
        <v>423.17</v>
      </c>
      <c r="P56" s="212" t="str">
        <f t="shared" si="0"/>
        <v>CH2,CH2OH,423.17,</v>
      </c>
      <c r="U56" s="212" t="s">
        <v>816</v>
      </c>
    </row>
    <row r="57" spans="2:21">
      <c r="B57" s="14" t="s">
        <v>17</v>
      </c>
      <c r="C57" s="38" t="s">
        <v>20</v>
      </c>
      <c r="D57" s="38">
        <v>517.64</v>
      </c>
      <c r="E57" s="38" t="s">
        <v>40</v>
      </c>
      <c r="F57" s="15" t="s">
        <v>33</v>
      </c>
      <c r="K57" s="1" t="s">
        <v>17</v>
      </c>
      <c r="L57" s="1" t="s">
        <v>20</v>
      </c>
      <c r="M57" s="1">
        <v>517.64</v>
      </c>
      <c r="P57" s="212" t="str">
        <f t="shared" si="0"/>
        <v>CH2,CHOH,517.64,</v>
      </c>
      <c r="U57" s="212" t="s">
        <v>817</v>
      </c>
    </row>
    <row r="58" spans="2:21">
      <c r="B58" s="14" t="s">
        <v>17</v>
      </c>
      <c r="C58" s="38" t="s">
        <v>22</v>
      </c>
      <c r="D58" s="38">
        <v>780.24</v>
      </c>
      <c r="E58" s="38" t="s">
        <v>40</v>
      </c>
      <c r="F58" s="15" t="s">
        <v>43</v>
      </c>
      <c r="G58" s="212" t="s">
        <v>749</v>
      </c>
      <c r="K58" s="1" t="s">
        <v>17</v>
      </c>
      <c r="L58" s="1" t="s">
        <v>22</v>
      </c>
      <c r="M58" s="1">
        <v>780.24</v>
      </c>
      <c r="P58" s="212" t="str">
        <f t="shared" si="0"/>
        <v>CH2,COO-,780.24,</v>
      </c>
      <c r="U58" s="212" t="s">
        <v>818</v>
      </c>
    </row>
    <row r="59" spans="2:21">
      <c r="B59" s="14" t="s">
        <v>17</v>
      </c>
      <c r="C59" s="38" t="s">
        <v>23</v>
      </c>
      <c r="D59" s="38">
        <v>348.39</v>
      </c>
      <c r="E59" s="38" t="s">
        <v>40</v>
      </c>
      <c r="F59" s="15" t="s">
        <v>36</v>
      </c>
      <c r="K59" s="1" t="s">
        <v>17</v>
      </c>
      <c r="L59" s="1" t="s">
        <v>23</v>
      </c>
      <c r="M59" s="1">
        <v>348.39</v>
      </c>
      <c r="P59" s="212" t="str">
        <f t="shared" si="0"/>
        <v>CH2,NH3+,348.39,</v>
      </c>
      <c r="U59" s="212" t="s">
        <v>819</v>
      </c>
    </row>
    <row r="60" spans="2:21">
      <c r="B60" s="14" t="s">
        <v>17</v>
      </c>
      <c r="C60" s="38" t="s">
        <v>24</v>
      </c>
      <c r="D60" s="38" t="s">
        <v>40</v>
      </c>
      <c r="E60" s="38" t="s">
        <v>40</v>
      </c>
      <c r="F60" s="15" t="s">
        <v>41</v>
      </c>
      <c r="K60" s="1" t="s">
        <v>17</v>
      </c>
      <c r="L60" s="1" t="s">
        <v>24</v>
      </c>
      <c r="P60" s="212" t="str">
        <f t="shared" si="0"/>
        <v>CH2,H3O+,,</v>
      </c>
      <c r="U60" s="212" t="s">
        <v>820</v>
      </c>
    </row>
    <row r="61" spans="2:21">
      <c r="B61" s="14" t="s">
        <v>17</v>
      </c>
      <c r="C61" s="38" t="s">
        <v>25</v>
      </c>
      <c r="D61" s="38" t="s">
        <v>40</v>
      </c>
      <c r="E61" s="38" t="s">
        <v>40</v>
      </c>
      <c r="F61" s="15" t="s">
        <v>41</v>
      </c>
      <c r="K61" s="1" t="s">
        <v>17</v>
      </c>
      <c r="L61" s="1" t="s">
        <v>25</v>
      </c>
      <c r="P61" s="212" t="str">
        <f t="shared" si="0"/>
        <v>CH2,OH-,,</v>
      </c>
      <c r="U61" s="212" t="s">
        <v>821</v>
      </c>
    </row>
    <row r="62" spans="2:21">
      <c r="B62" s="14" t="s">
        <v>17</v>
      </c>
      <c r="C62" s="38" t="s">
        <v>21</v>
      </c>
      <c r="D62" s="38">
        <v>315</v>
      </c>
      <c r="E62" s="38" t="s">
        <v>40</v>
      </c>
      <c r="F62" s="15" t="s">
        <v>34</v>
      </c>
      <c r="K62" s="1" t="s">
        <v>17</v>
      </c>
      <c r="L62" s="1" t="s">
        <v>21</v>
      </c>
      <c r="M62" s="1">
        <v>315</v>
      </c>
      <c r="P62" s="212" t="str">
        <f t="shared" si="0"/>
        <v>CH2,CONH,315,</v>
      </c>
      <c r="U62" s="212" t="s">
        <v>822</v>
      </c>
    </row>
    <row r="63" spans="2:21">
      <c r="B63" s="14" t="s">
        <v>17</v>
      </c>
      <c r="C63" s="38" t="s">
        <v>26</v>
      </c>
      <c r="D63" s="38" t="s">
        <v>40</v>
      </c>
      <c r="E63" s="38" t="s">
        <v>40</v>
      </c>
      <c r="F63" s="15" t="s">
        <v>41</v>
      </c>
      <c r="K63" s="1" t="s">
        <v>17</v>
      </c>
      <c r="L63" s="1" t="s">
        <v>26</v>
      </c>
      <c r="P63" s="212" t="str">
        <f t="shared" si="0"/>
        <v>CH2,Na+,,</v>
      </c>
      <c r="U63" s="212" t="s">
        <v>823</v>
      </c>
    </row>
    <row r="64" spans="2:21">
      <c r="B64" s="14" t="s">
        <v>17</v>
      </c>
      <c r="C64" s="38" t="s">
        <v>27</v>
      </c>
      <c r="D64" s="38" t="s">
        <v>40</v>
      </c>
      <c r="E64" s="38" t="s">
        <v>40</v>
      </c>
      <c r="F64" s="15" t="s">
        <v>41</v>
      </c>
      <c r="K64" s="1" t="s">
        <v>17</v>
      </c>
      <c r="L64" s="1" t="s">
        <v>27</v>
      </c>
      <c r="P64" s="212" t="str">
        <f t="shared" si="0"/>
        <v>CH2,Cl-,,</v>
      </c>
      <c r="U64" s="212" t="s">
        <v>824</v>
      </c>
    </row>
    <row r="65" spans="2:21">
      <c r="B65" s="14" t="s">
        <v>18</v>
      </c>
      <c r="C65" s="38" t="s">
        <v>19</v>
      </c>
      <c r="D65" s="38">
        <v>329.22</v>
      </c>
      <c r="E65" s="38" t="s">
        <v>40</v>
      </c>
      <c r="F65" s="15" t="s">
        <v>32</v>
      </c>
      <c r="K65" s="1" t="s">
        <v>18</v>
      </c>
      <c r="L65" s="1" t="s">
        <v>19</v>
      </c>
      <c r="M65" s="1">
        <v>329.22</v>
      </c>
      <c r="P65" s="212" t="str">
        <f t="shared" si="0"/>
        <v>CH,CH2OH,329.22,</v>
      </c>
      <c r="U65" s="212" t="s">
        <v>825</v>
      </c>
    </row>
    <row r="66" spans="2:21">
      <c r="B66" s="14" t="s">
        <v>18</v>
      </c>
      <c r="C66" s="38" t="s">
        <v>20</v>
      </c>
      <c r="D66" s="78">
        <v>0</v>
      </c>
      <c r="E66" s="38" t="s">
        <v>40</v>
      </c>
      <c r="F66" s="15" t="s">
        <v>33</v>
      </c>
      <c r="K66" s="1" t="s">
        <v>18</v>
      </c>
      <c r="L66" s="1" t="s">
        <v>20</v>
      </c>
      <c r="M66" s="1">
        <v>0</v>
      </c>
      <c r="P66" s="212" t="str">
        <f t="shared" si="0"/>
        <v>CH,CHOH,0,</v>
      </c>
      <c r="U66" s="212" t="s">
        <v>826</v>
      </c>
    </row>
    <row r="67" spans="2:21">
      <c r="B67" s="14" t="s">
        <v>18</v>
      </c>
      <c r="C67" s="38" t="s">
        <v>22</v>
      </c>
      <c r="D67" s="38">
        <v>504.99</v>
      </c>
      <c r="E67" s="38" t="s">
        <v>40</v>
      </c>
      <c r="F67" s="15" t="s">
        <v>36</v>
      </c>
      <c r="K67" s="1" t="s">
        <v>18</v>
      </c>
      <c r="L67" s="1" t="s">
        <v>22</v>
      </c>
      <c r="M67" s="1">
        <v>504.99</v>
      </c>
      <c r="P67" s="212" t="str">
        <f t="shared" si="0"/>
        <v>CH,COO-,504.99,</v>
      </c>
      <c r="U67" s="212" t="s">
        <v>827</v>
      </c>
    </row>
    <row r="68" spans="2:21">
      <c r="B68" s="14" t="s">
        <v>18</v>
      </c>
      <c r="C68" s="38" t="s">
        <v>23</v>
      </c>
      <c r="D68" s="38">
        <v>151.01</v>
      </c>
      <c r="E68" s="38" t="s">
        <v>40</v>
      </c>
      <c r="F68" s="15" t="s">
        <v>36</v>
      </c>
      <c r="K68" s="1" t="s">
        <v>18</v>
      </c>
      <c r="L68" s="1" t="s">
        <v>23</v>
      </c>
      <c r="M68" s="1">
        <v>151.01</v>
      </c>
      <c r="P68" s="212" t="str">
        <f t="shared" si="0"/>
        <v>CH,NH3+,151.01,</v>
      </c>
      <c r="U68" s="212" t="s">
        <v>828</v>
      </c>
    </row>
    <row r="69" spans="2:21">
      <c r="B69" s="14" t="s">
        <v>18</v>
      </c>
      <c r="C69" s="38" t="s">
        <v>24</v>
      </c>
      <c r="D69" s="38" t="s">
        <v>40</v>
      </c>
      <c r="E69" s="38" t="s">
        <v>40</v>
      </c>
      <c r="F69" s="15" t="s">
        <v>41</v>
      </c>
      <c r="K69" s="1" t="s">
        <v>18</v>
      </c>
      <c r="L69" s="1" t="s">
        <v>24</v>
      </c>
      <c r="P69" s="212" t="str">
        <f t="shared" ref="P69:P90" si="1">CONCATENATE(K69,",",L69,",",M69,",",N69)</f>
        <v>CH,H3O+,,</v>
      </c>
      <c r="U69" s="212" t="s">
        <v>829</v>
      </c>
    </row>
    <row r="70" spans="2:21">
      <c r="B70" s="14" t="s">
        <v>18</v>
      </c>
      <c r="C70" s="38" t="s">
        <v>25</v>
      </c>
      <c r="D70" s="38" t="s">
        <v>40</v>
      </c>
      <c r="E70" s="38" t="s">
        <v>40</v>
      </c>
      <c r="F70" s="15" t="s">
        <v>41</v>
      </c>
      <c r="K70" s="1" t="s">
        <v>18</v>
      </c>
      <c r="L70" s="1" t="s">
        <v>25</v>
      </c>
      <c r="P70" s="212" t="str">
        <f t="shared" si="1"/>
        <v>CH,OH-,,</v>
      </c>
      <c r="U70" s="212" t="s">
        <v>830</v>
      </c>
    </row>
    <row r="71" spans="2:21">
      <c r="B71" s="14" t="s">
        <v>18</v>
      </c>
      <c r="C71" s="38" t="s">
        <v>21</v>
      </c>
      <c r="D71" s="38" t="s">
        <v>40</v>
      </c>
      <c r="E71" s="38" t="s">
        <v>40</v>
      </c>
      <c r="F71" s="15" t="s">
        <v>41</v>
      </c>
      <c r="K71" s="1" t="s">
        <v>18</v>
      </c>
      <c r="L71" s="1" t="s">
        <v>21</v>
      </c>
      <c r="P71" s="212" t="str">
        <f t="shared" si="1"/>
        <v>CH,CONH,,</v>
      </c>
      <c r="U71" s="212" t="s">
        <v>831</v>
      </c>
    </row>
    <row r="72" spans="2:21">
      <c r="B72" s="14" t="s">
        <v>18</v>
      </c>
      <c r="C72" s="38" t="s">
        <v>26</v>
      </c>
      <c r="D72" s="38" t="s">
        <v>40</v>
      </c>
      <c r="E72" s="38" t="s">
        <v>40</v>
      </c>
      <c r="F72" s="15" t="s">
        <v>41</v>
      </c>
      <c r="K72" s="1" t="s">
        <v>18</v>
      </c>
      <c r="L72" s="1" t="s">
        <v>26</v>
      </c>
      <c r="P72" s="212" t="str">
        <f t="shared" si="1"/>
        <v>CH,Na+,,</v>
      </c>
      <c r="U72" s="212" t="s">
        <v>832</v>
      </c>
    </row>
    <row r="73" spans="2:21">
      <c r="B73" s="14" t="s">
        <v>18</v>
      </c>
      <c r="C73" s="38" t="s">
        <v>27</v>
      </c>
      <c r="D73" s="38" t="s">
        <v>40</v>
      </c>
      <c r="E73" s="38" t="s">
        <v>40</v>
      </c>
      <c r="F73" s="15" t="s">
        <v>41</v>
      </c>
      <c r="K73" s="1" t="s">
        <v>18</v>
      </c>
      <c r="L73" s="1" t="s">
        <v>27</v>
      </c>
      <c r="P73" s="212" t="str">
        <f t="shared" si="1"/>
        <v>CH,Cl-,,</v>
      </c>
      <c r="U73" s="212" t="s">
        <v>833</v>
      </c>
    </row>
    <row r="74" spans="2:21">
      <c r="B74" s="14" t="s">
        <v>19</v>
      </c>
      <c r="C74" s="38" t="s">
        <v>20</v>
      </c>
      <c r="D74" s="38">
        <v>389.23</v>
      </c>
      <c r="E74" s="38" t="s">
        <v>40</v>
      </c>
      <c r="F74" s="15" t="s">
        <v>33</v>
      </c>
      <c r="K74" s="1" t="s">
        <v>19</v>
      </c>
      <c r="L74" s="1" t="s">
        <v>20</v>
      </c>
      <c r="M74" s="1">
        <v>389.23</v>
      </c>
      <c r="P74" s="212" t="str">
        <f t="shared" si="1"/>
        <v>CH2OH,CHOH,389.23,</v>
      </c>
      <c r="U74" s="212" t="s">
        <v>834</v>
      </c>
    </row>
    <row r="75" spans="2:21">
      <c r="B75" s="14" t="s">
        <v>19</v>
      </c>
      <c r="C75" s="38" t="s">
        <v>21</v>
      </c>
      <c r="D75" s="38" t="s">
        <v>40</v>
      </c>
      <c r="E75" s="38" t="s">
        <v>40</v>
      </c>
      <c r="F75" s="15" t="s">
        <v>41</v>
      </c>
      <c r="K75" s="1" t="s">
        <v>19</v>
      </c>
      <c r="L75" s="1" t="s">
        <v>21</v>
      </c>
      <c r="P75" s="212" t="str">
        <f t="shared" si="1"/>
        <v>CH2OH,CONH,,</v>
      </c>
      <c r="U75" s="212" t="s">
        <v>835</v>
      </c>
    </row>
    <row r="76" spans="2:21">
      <c r="B76" s="14" t="s">
        <v>22</v>
      </c>
      <c r="C76" s="38" t="s">
        <v>23</v>
      </c>
      <c r="D76" s="75">
        <v>26.33</v>
      </c>
      <c r="E76" s="38" t="s">
        <v>40</v>
      </c>
      <c r="F76" s="15" t="s">
        <v>36</v>
      </c>
      <c r="K76" s="1" t="s">
        <v>22</v>
      </c>
      <c r="L76" s="1" t="s">
        <v>23</v>
      </c>
      <c r="M76" s="1">
        <v>26.33</v>
      </c>
      <c r="P76" s="212" t="str">
        <f t="shared" si="1"/>
        <v>COO-,NH3+,26.33,</v>
      </c>
      <c r="U76" s="212" t="s">
        <v>836</v>
      </c>
    </row>
    <row r="77" spans="2:21">
      <c r="B77" s="14" t="s">
        <v>22</v>
      </c>
      <c r="C77" s="38" t="s">
        <v>24</v>
      </c>
      <c r="D77" s="75">
        <v>27.74</v>
      </c>
      <c r="E77" s="38" t="s">
        <v>40</v>
      </c>
      <c r="F77" s="15" t="s">
        <v>36</v>
      </c>
      <c r="K77" s="1" t="s">
        <v>22</v>
      </c>
      <c r="L77" s="1" t="s">
        <v>24</v>
      </c>
      <c r="M77" s="1">
        <v>27.74</v>
      </c>
      <c r="P77" s="212" t="str">
        <f t="shared" si="1"/>
        <v>COO-,H3O+,27.74,</v>
      </c>
      <c r="U77" s="212" t="s">
        <v>837</v>
      </c>
    </row>
    <row r="78" spans="2:21">
      <c r="B78" s="14" t="s">
        <v>22</v>
      </c>
      <c r="C78" s="38" t="s">
        <v>25</v>
      </c>
      <c r="D78" s="75">
        <v>44.52</v>
      </c>
      <c r="E78" s="38" t="s">
        <v>40</v>
      </c>
      <c r="F78" s="15" t="s">
        <v>36</v>
      </c>
      <c r="K78" s="1" t="s">
        <v>22</v>
      </c>
      <c r="L78" s="1" t="s">
        <v>25</v>
      </c>
      <c r="M78" s="1">
        <v>44.52</v>
      </c>
      <c r="P78" s="212" t="str">
        <f t="shared" si="1"/>
        <v>COO-,OH-,44.52,</v>
      </c>
      <c r="U78" s="212" t="s">
        <v>838</v>
      </c>
    </row>
    <row r="79" spans="2:21">
      <c r="B79" s="14" t="s">
        <v>22</v>
      </c>
      <c r="C79" s="38" t="s">
        <v>26</v>
      </c>
      <c r="D79" s="38">
        <v>9.9124999999999996</v>
      </c>
      <c r="E79" s="38" t="s">
        <v>40</v>
      </c>
      <c r="F79" s="15" t="s">
        <v>43</v>
      </c>
      <c r="K79" s="1" t="s">
        <v>22</v>
      </c>
      <c r="L79" s="1" t="s">
        <v>26</v>
      </c>
      <c r="M79" s="1">
        <v>9.9124999999999996</v>
      </c>
      <c r="P79" s="212" t="str">
        <f t="shared" si="1"/>
        <v>COO-,Na+,9.9125,</v>
      </c>
      <c r="U79" s="212" t="s">
        <v>839</v>
      </c>
    </row>
    <row r="80" spans="2:21">
      <c r="B80" s="14" t="s">
        <v>22</v>
      </c>
      <c r="C80" s="38" t="s">
        <v>27</v>
      </c>
      <c r="D80" s="38">
        <v>21.265000000000001</v>
      </c>
      <c r="E80" s="38" t="s">
        <v>40</v>
      </c>
      <c r="F80" s="15" t="s">
        <v>43</v>
      </c>
      <c r="K80" s="1" t="s">
        <v>22</v>
      </c>
      <c r="L80" s="1" t="s">
        <v>27</v>
      </c>
      <c r="M80" s="1">
        <v>21.265000000000001</v>
      </c>
      <c r="P80" s="212" t="str">
        <f t="shared" si="1"/>
        <v>COO-,Cl-,21.265,</v>
      </c>
      <c r="U80" s="212" t="s">
        <v>840</v>
      </c>
    </row>
    <row r="81" spans="2:21">
      <c r="B81" s="14" t="s">
        <v>23</v>
      </c>
      <c r="C81" s="38" t="s">
        <v>24</v>
      </c>
      <c r="D81" s="38">
        <v>56.957999999999998</v>
      </c>
      <c r="E81" s="38" t="s">
        <v>40</v>
      </c>
      <c r="F81" s="15" t="s">
        <v>36</v>
      </c>
      <c r="K81" s="1" t="s">
        <v>23</v>
      </c>
      <c r="L81" s="1" t="s">
        <v>24</v>
      </c>
      <c r="M81" s="1">
        <v>56.957999999999998</v>
      </c>
      <c r="P81" s="212" t="str">
        <f t="shared" si="1"/>
        <v>NH3+,H3O+,56.958,</v>
      </c>
      <c r="U81" s="212" t="s">
        <v>841</v>
      </c>
    </row>
    <row r="82" spans="2:21">
      <c r="B82" s="14" t="s">
        <v>23</v>
      </c>
      <c r="C82" s="38" t="s">
        <v>25</v>
      </c>
      <c r="D82" s="38">
        <v>62.238</v>
      </c>
      <c r="E82" s="38" t="s">
        <v>40</v>
      </c>
      <c r="F82" s="15" t="s">
        <v>36</v>
      </c>
      <c r="K82" s="1" t="s">
        <v>23</v>
      </c>
      <c r="L82" s="1" t="s">
        <v>25</v>
      </c>
      <c r="M82" s="1">
        <v>62.238</v>
      </c>
      <c r="P82" s="212" t="str">
        <f t="shared" si="1"/>
        <v>NH3+,OH-,62.238,</v>
      </c>
      <c r="U82" s="212" t="s">
        <v>842</v>
      </c>
    </row>
    <row r="83" spans="2:21">
      <c r="B83" s="14" t="s">
        <v>23</v>
      </c>
      <c r="C83" s="38" t="s">
        <v>26</v>
      </c>
      <c r="D83" s="38" t="s">
        <v>40</v>
      </c>
      <c r="E83" s="38" t="s">
        <v>40</v>
      </c>
      <c r="F83" s="15" t="s">
        <v>41</v>
      </c>
      <c r="K83" s="1" t="s">
        <v>23</v>
      </c>
      <c r="L83" s="1" t="s">
        <v>26</v>
      </c>
      <c r="P83" s="212" t="str">
        <f t="shared" si="1"/>
        <v>NH3+,Na+,,</v>
      </c>
      <c r="U83" s="212" t="s">
        <v>843</v>
      </c>
    </row>
    <row r="84" spans="2:21">
      <c r="B84" s="14" t="s">
        <v>23</v>
      </c>
      <c r="C84" s="38" t="s">
        <v>27</v>
      </c>
      <c r="D84" s="75">
        <v>65.256600000000006</v>
      </c>
      <c r="E84" s="38" t="s">
        <v>40</v>
      </c>
      <c r="F84" s="15" t="s">
        <v>36</v>
      </c>
      <c r="K84" s="1" t="s">
        <v>23</v>
      </c>
      <c r="L84" s="1" t="s">
        <v>27</v>
      </c>
      <c r="M84" s="1">
        <v>65.256600000000006</v>
      </c>
      <c r="P84" s="212" t="str">
        <f t="shared" si="1"/>
        <v>NH3+,Cl-,65.2566,</v>
      </c>
      <c r="U84" s="212" t="s">
        <v>844</v>
      </c>
    </row>
    <row r="85" spans="2:21">
      <c r="B85" s="14" t="s">
        <v>24</v>
      </c>
      <c r="C85" s="38" t="s">
        <v>25</v>
      </c>
      <c r="D85" s="38">
        <v>66.438999999999993</v>
      </c>
      <c r="E85" s="38" t="s">
        <v>40</v>
      </c>
      <c r="F85" s="15" t="s">
        <v>37</v>
      </c>
      <c r="K85" s="1" t="s">
        <v>24</v>
      </c>
      <c r="L85" s="1" t="s">
        <v>25</v>
      </c>
      <c r="M85" s="1">
        <v>66.438999999999993</v>
      </c>
      <c r="P85" s="212" t="str">
        <f t="shared" si="1"/>
        <v>H3O+,OH-,66.439,</v>
      </c>
      <c r="U85" s="212" t="s">
        <v>845</v>
      </c>
    </row>
    <row r="86" spans="2:21">
      <c r="B86" s="14" t="s">
        <v>24</v>
      </c>
      <c r="C86" s="38" t="s">
        <v>26</v>
      </c>
      <c r="D86" s="75">
        <v>37.479999999999997</v>
      </c>
      <c r="E86" s="38" t="s">
        <v>40</v>
      </c>
      <c r="F86" s="15" t="s">
        <v>36</v>
      </c>
      <c r="K86" s="1" t="s">
        <v>24</v>
      </c>
      <c r="L86" s="1" t="s">
        <v>26</v>
      </c>
      <c r="M86" s="1">
        <v>37.479999999999997</v>
      </c>
      <c r="P86" s="212" t="str">
        <f t="shared" si="1"/>
        <v>H3O+,Na+,37.48,</v>
      </c>
      <c r="U86" s="212" t="s">
        <v>846</v>
      </c>
    </row>
    <row r="87" spans="2:21">
      <c r="B87" s="14" t="s">
        <v>24</v>
      </c>
      <c r="C87" s="38" t="s">
        <v>27</v>
      </c>
      <c r="D87" s="38">
        <v>70.552000000000007</v>
      </c>
      <c r="E87" s="38" t="s">
        <v>40</v>
      </c>
      <c r="F87" s="15" t="s">
        <v>37</v>
      </c>
      <c r="K87" s="1" t="s">
        <v>24</v>
      </c>
      <c r="L87" s="1" t="s">
        <v>27</v>
      </c>
      <c r="M87" s="1">
        <v>70.552000000000007</v>
      </c>
      <c r="P87" s="212" t="str">
        <f t="shared" si="1"/>
        <v>H3O+,Cl-,70.552,</v>
      </c>
      <c r="U87" s="212" t="s">
        <v>847</v>
      </c>
    </row>
    <row r="88" spans="2:21">
      <c r="B88" s="14" t="s">
        <v>25</v>
      </c>
      <c r="C88" s="38" t="s">
        <v>26</v>
      </c>
      <c r="D88" s="38">
        <v>27.898</v>
      </c>
      <c r="E88" s="38" t="s">
        <v>40</v>
      </c>
      <c r="F88" s="15" t="s">
        <v>37</v>
      </c>
      <c r="K88" s="1" t="s">
        <v>25</v>
      </c>
      <c r="L88" s="1" t="s">
        <v>26</v>
      </c>
      <c r="M88" s="1">
        <v>27.898</v>
      </c>
      <c r="P88" s="212" t="str">
        <f t="shared" si="1"/>
        <v>OH-,Na+,27.898,</v>
      </c>
      <c r="U88" s="212" t="s">
        <v>848</v>
      </c>
    </row>
    <row r="89" spans="2:21">
      <c r="B89" s="14" t="s">
        <v>25</v>
      </c>
      <c r="C89" s="38" t="s">
        <v>27</v>
      </c>
      <c r="D89" s="38">
        <v>123.21</v>
      </c>
      <c r="E89" s="38" t="s">
        <v>40</v>
      </c>
      <c r="F89" s="15" t="s">
        <v>36</v>
      </c>
      <c r="K89" s="1" t="s">
        <v>25</v>
      </c>
      <c r="L89" s="1" t="s">
        <v>27</v>
      </c>
      <c r="M89" s="1">
        <v>123.21</v>
      </c>
      <c r="P89" s="212" t="str">
        <f t="shared" si="1"/>
        <v>OH-,Cl-,123.21,</v>
      </c>
      <c r="U89" s="212" t="s">
        <v>849</v>
      </c>
    </row>
    <row r="90" spans="2:21" ht="15" thickBot="1">
      <c r="B90" s="29" t="s">
        <v>26</v>
      </c>
      <c r="C90" s="39" t="s">
        <v>27</v>
      </c>
      <c r="D90" s="39">
        <v>27.937999999999999</v>
      </c>
      <c r="E90" s="39" t="s">
        <v>40</v>
      </c>
      <c r="F90" s="30" t="s">
        <v>37</v>
      </c>
      <c r="K90" s="1" t="s">
        <v>26</v>
      </c>
      <c r="L90" s="1" t="s">
        <v>27</v>
      </c>
      <c r="M90" s="1">
        <v>27.937999999999999</v>
      </c>
      <c r="P90" s="212" t="str">
        <f t="shared" si="1"/>
        <v>Na+,Cl-,27.938,</v>
      </c>
      <c r="U90" s="212" t="s">
        <v>850</v>
      </c>
    </row>
  </sheetData>
  <mergeCells count="1">
    <mergeCell ref="B2:F3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3B80F-B1FD-4866-A99D-50A08119A079}">
  <sheetPr codeName="Sheet4">
    <pageSetUpPr autoPageBreaks="0"/>
  </sheetPr>
  <dimension ref="B1:X60"/>
  <sheetViews>
    <sheetView topLeftCell="K16" zoomScale="41" zoomScaleNormal="85" workbookViewId="0">
      <selection activeCell="X5" sqref="X5:X60"/>
    </sheetView>
  </sheetViews>
  <sheetFormatPr defaultRowHeight="14.5"/>
  <cols>
    <col min="1" max="1" width="8.7265625" style="1"/>
    <col min="2" max="2" width="12.7265625" style="1" customWidth="1"/>
    <col min="3" max="3" width="10.36328125" style="1" customWidth="1"/>
    <col min="4" max="4" width="12.453125" style="1" customWidth="1"/>
    <col min="5" max="5" width="11.36328125" style="1" customWidth="1"/>
    <col min="6" max="6" width="14.54296875" style="1" bestFit="1" customWidth="1"/>
    <col min="7" max="7" width="10.36328125" style="1" customWidth="1"/>
    <col min="8" max="8" width="52.90625" style="1" bestFit="1" customWidth="1"/>
    <col min="9" max="15" width="8.7265625" style="1"/>
    <col min="16" max="16" width="11.26953125" style="1" bestFit="1" customWidth="1"/>
    <col min="17" max="16384" width="8.7265625" style="1"/>
  </cols>
  <sheetData>
    <row r="1" spans="2:24" ht="15" thickBot="1"/>
    <row r="2" spans="2:24">
      <c r="B2" s="221" t="s">
        <v>50</v>
      </c>
      <c r="C2" s="222"/>
      <c r="D2" s="222"/>
      <c r="E2" s="222"/>
      <c r="F2" s="222"/>
      <c r="G2" s="222"/>
      <c r="H2" s="223"/>
    </row>
    <row r="3" spans="2:24" ht="15" thickBot="1">
      <c r="B3" s="224"/>
      <c r="C3" s="225"/>
      <c r="D3" s="225"/>
      <c r="E3" s="225"/>
      <c r="F3" s="225"/>
      <c r="G3" s="225"/>
      <c r="H3" s="226"/>
    </row>
    <row r="4" spans="2:24">
      <c r="B4" s="202" t="s">
        <v>10</v>
      </c>
      <c r="C4" s="203" t="s">
        <v>51</v>
      </c>
      <c r="D4" s="203" t="s">
        <v>52</v>
      </c>
      <c r="E4" s="203" t="s">
        <v>53</v>
      </c>
      <c r="F4" s="203" t="s">
        <v>54</v>
      </c>
      <c r="G4" s="203" t="s">
        <v>55</v>
      </c>
      <c r="H4" s="204" t="s">
        <v>56</v>
      </c>
      <c r="K4" s="1" t="s">
        <v>762</v>
      </c>
      <c r="L4" s="1" t="s">
        <v>851</v>
      </c>
      <c r="M4" s="1" t="s">
        <v>763</v>
      </c>
      <c r="N4" s="1" t="s">
        <v>852</v>
      </c>
      <c r="O4" s="1" t="s">
        <v>853</v>
      </c>
      <c r="P4" s="1" t="s">
        <v>854</v>
      </c>
      <c r="R4" s="212" t="str">
        <f>CONCATENATE(K4,",",L4,",",M4,",",N4,",",O4,",",P4)</f>
        <v>species1,site1,species2,site2,epsilon_assoc,bondvol</v>
      </c>
      <c r="X4" s="212" t="s">
        <v>855</v>
      </c>
    </row>
    <row r="5" spans="2:24">
      <c r="B5" s="14" t="s">
        <v>13</v>
      </c>
      <c r="C5" s="38" t="s">
        <v>57</v>
      </c>
      <c r="D5" s="38" t="s">
        <v>13</v>
      </c>
      <c r="E5" s="38" t="s">
        <v>58</v>
      </c>
      <c r="F5" s="38">
        <v>1985.4</v>
      </c>
      <c r="G5" s="38">
        <v>101.69</v>
      </c>
      <c r="H5" s="15" t="s">
        <v>28</v>
      </c>
      <c r="K5" s="1" t="s">
        <v>13</v>
      </c>
      <c r="L5" s="1" t="s">
        <v>57</v>
      </c>
      <c r="M5" s="1" t="s">
        <v>13</v>
      </c>
      <c r="N5" s="1" t="s">
        <v>58</v>
      </c>
      <c r="O5" s="1">
        <v>1985.4</v>
      </c>
      <c r="P5" s="1">
        <f>G5*10^-30</f>
        <v>1.0169E-28</v>
      </c>
      <c r="R5" s="212" t="str">
        <f t="shared" ref="R5:R60" si="0">CONCATENATE(K5,",",L5,",",M5,",",N5,",",O5,",",P5)</f>
        <v>H2O,H,H2O,e1,1985.4,1.0169E-28</v>
      </c>
      <c r="X5" s="212" t="s">
        <v>856</v>
      </c>
    </row>
    <row r="6" spans="2:24">
      <c r="B6" s="14" t="s">
        <v>13</v>
      </c>
      <c r="C6" s="38" t="s">
        <v>58</v>
      </c>
      <c r="D6" s="38" t="s">
        <v>14</v>
      </c>
      <c r="E6" s="38" t="s">
        <v>57</v>
      </c>
      <c r="F6" s="38">
        <v>2567.6999999999998</v>
      </c>
      <c r="G6" s="38">
        <v>270.08999999999997</v>
      </c>
      <c r="H6" s="205" t="s">
        <v>42</v>
      </c>
      <c r="K6" s="1" t="s">
        <v>13</v>
      </c>
      <c r="L6" s="1" t="s">
        <v>58</v>
      </c>
      <c r="M6" s="1" t="s">
        <v>14</v>
      </c>
      <c r="N6" s="1" t="s">
        <v>57</v>
      </c>
      <c r="O6" s="1">
        <v>2567.6999999999998</v>
      </c>
      <c r="P6" s="1">
        <f t="shared" ref="P6:P60" si="1">G6*10^-30</f>
        <v>2.7008999999999995E-28</v>
      </c>
      <c r="R6" s="212" t="str">
        <f t="shared" si="0"/>
        <v>H2O,e1,COOH,H,2567.7,2.7009E-28</v>
      </c>
      <c r="X6" s="212" t="s">
        <v>857</v>
      </c>
    </row>
    <row r="7" spans="2:24">
      <c r="B7" s="14" t="s">
        <v>13</v>
      </c>
      <c r="C7" s="38" t="s">
        <v>57</v>
      </c>
      <c r="D7" s="38" t="s">
        <v>14</v>
      </c>
      <c r="E7" s="38" t="s">
        <v>58</v>
      </c>
      <c r="F7" s="38">
        <v>1451.8</v>
      </c>
      <c r="G7" s="38">
        <v>280.89</v>
      </c>
      <c r="H7" s="205" t="s">
        <v>42</v>
      </c>
      <c r="K7" s="1" t="s">
        <v>13</v>
      </c>
      <c r="L7" s="1" t="s">
        <v>57</v>
      </c>
      <c r="M7" s="1" t="s">
        <v>14</v>
      </c>
      <c r="N7" s="1" t="s">
        <v>58</v>
      </c>
      <c r="O7" s="1">
        <v>1451.8</v>
      </c>
      <c r="P7" s="1">
        <f t="shared" si="1"/>
        <v>2.8088999999999997E-28</v>
      </c>
      <c r="R7" s="212" t="str">
        <f t="shared" si="0"/>
        <v>H2O,H,COOH,e1,1451.8,2.8089E-28</v>
      </c>
      <c r="X7" s="212" t="s">
        <v>858</v>
      </c>
    </row>
    <row r="8" spans="2:24">
      <c r="B8" s="14" t="s">
        <v>13</v>
      </c>
      <c r="C8" s="38" t="s">
        <v>57</v>
      </c>
      <c r="D8" s="38" t="s">
        <v>14</v>
      </c>
      <c r="E8" s="38" t="s">
        <v>59</v>
      </c>
      <c r="F8" s="38">
        <v>1252.5999999999999</v>
      </c>
      <c r="G8" s="38">
        <v>150.97999999999999</v>
      </c>
      <c r="H8" s="205" t="s">
        <v>42</v>
      </c>
      <c r="K8" s="1" t="s">
        <v>13</v>
      </c>
      <c r="L8" s="1" t="s">
        <v>57</v>
      </c>
      <c r="M8" s="1" t="s">
        <v>14</v>
      </c>
      <c r="N8" s="1" t="s">
        <v>59</v>
      </c>
      <c r="O8" s="1">
        <v>1252.5999999999999</v>
      </c>
      <c r="P8" s="1">
        <f t="shared" si="1"/>
        <v>1.5097999999999998E-28</v>
      </c>
      <c r="R8" s="212" t="str">
        <f t="shared" si="0"/>
        <v>H2O,H,COOH,e2,1252.6,1.5098E-28</v>
      </c>
      <c r="X8" s="212" t="s">
        <v>859</v>
      </c>
    </row>
    <row r="9" spans="2:24">
      <c r="B9" s="14" t="s">
        <v>13</v>
      </c>
      <c r="C9" s="38" t="s">
        <v>57</v>
      </c>
      <c r="D9" s="38" t="s">
        <v>15</v>
      </c>
      <c r="E9" s="38" t="s">
        <v>58</v>
      </c>
      <c r="F9" s="206">
        <v>1460</v>
      </c>
      <c r="G9" s="38">
        <v>179.6</v>
      </c>
      <c r="H9" s="15" t="s">
        <v>30</v>
      </c>
      <c r="K9" s="1" t="s">
        <v>13</v>
      </c>
      <c r="L9" s="1" t="s">
        <v>57</v>
      </c>
      <c r="M9" s="1" t="s">
        <v>15</v>
      </c>
      <c r="N9" s="1" t="s">
        <v>58</v>
      </c>
      <c r="O9" s="1">
        <v>1460</v>
      </c>
      <c r="P9" s="1">
        <f t="shared" si="1"/>
        <v>1.7959999999999998E-28</v>
      </c>
      <c r="R9" s="212" t="str">
        <f t="shared" si="0"/>
        <v>H2O,H,NH2,e1,1460,1.796E-28</v>
      </c>
      <c r="X9" s="212" t="s">
        <v>860</v>
      </c>
    </row>
    <row r="10" spans="2:24">
      <c r="B10" s="14" t="s">
        <v>13</v>
      </c>
      <c r="C10" s="38" t="s">
        <v>58</v>
      </c>
      <c r="D10" s="38" t="s">
        <v>15</v>
      </c>
      <c r="E10" s="38" t="s">
        <v>57</v>
      </c>
      <c r="F10" s="38">
        <v>1988.3</v>
      </c>
      <c r="G10" s="38">
        <v>55.823999999999998</v>
      </c>
      <c r="H10" s="15" t="s">
        <v>30</v>
      </c>
      <c r="K10" s="1" t="s">
        <v>13</v>
      </c>
      <c r="L10" s="1" t="s">
        <v>58</v>
      </c>
      <c r="M10" s="1" t="s">
        <v>15</v>
      </c>
      <c r="N10" s="1" t="s">
        <v>57</v>
      </c>
      <c r="O10" s="1">
        <v>1988.3</v>
      </c>
      <c r="P10" s="1">
        <f t="shared" si="1"/>
        <v>5.5823999999999989E-29</v>
      </c>
      <c r="R10" s="212" t="str">
        <f t="shared" si="0"/>
        <v>H2O,e1,NH2,H,1988.3,5.5824E-29</v>
      </c>
      <c r="X10" s="212" t="s">
        <v>861</v>
      </c>
    </row>
    <row r="11" spans="2:24">
      <c r="B11" s="14" t="s">
        <v>13</v>
      </c>
      <c r="C11" s="38" t="s">
        <v>57</v>
      </c>
      <c r="D11" s="38" t="s">
        <v>19</v>
      </c>
      <c r="E11" s="38" t="s">
        <v>58</v>
      </c>
      <c r="F11" s="38">
        <v>2153.1999999999998</v>
      </c>
      <c r="G11" s="38">
        <v>147.4</v>
      </c>
      <c r="H11" s="205" t="s">
        <v>42</v>
      </c>
      <c r="K11" s="1" t="s">
        <v>13</v>
      </c>
      <c r="L11" s="1" t="s">
        <v>57</v>
      </c>
      <c r="M11" s="1" t="s">
        <v>19</v>
      </c>
      <c r="N11" s="1" t="s">
        <v>58</v>
      </c>
      <c r="O11" s="1">
        <v>2153.1999999999998</v>
      </c>
      <c r="P11" s="1">
        <f t="shared" si="1"/>
        <v>1.4739999999999998E-28</v>
      </c>
      <c r="R11" s="212" t="str">
        <f t="shared" si="0"/>
        <v>H2O,H,CH2OH,e1,2153.2,1.474E-28</v>
      </c>
      <c r="X11" s="212" t="s">
        <v>862</v>
      </c>
    </row>
    <row r="12" spans="2:24">
      <c r="B12" s="14" t="s">
        <v>13</v>
      </c>
      <c r="C12" s="38" t="s">
        <v>58</v>
      </c>
      <c r="D12" s="38" t="s">
        <v>19</v>
      </c>
      <c r="E12" s="38" t="s">
        <v>57</v>
      </c>
      <c r="F12" s="38">
        <v>621.67999999999995</v>
      </c>
      <c r="G12" s="38">
        <v>424.99999999999989</v>
      </c>
      <c r="H12" s="205" t="s">
        <v>42</v>
      </c>
      <c r="K12" s="1" t="s">
        <v>13</v>
      </c>
      <c r="L12" s="1" t="s">
        <v>58</v>
      </c>
      <c r="M12" s="1" t="s">
        <v>19</v>
      </c>
      <c r="N12" s="1" t="s">
        <v>57</v>
      </c>
      <c r="O12" s="1">
        <v>621.67999999999995</v>
      </c>
      <c r="P12" s="1">
        <f t="shared" si="1"/>
        <v>4.2499999999999987E-28</v>
      </c>
      <c r="R12" s="212" t="str">
        <f t="shared" si="0"/>
        <v>H2O,e1,CH2OH,H,621.68,4.25E-28</v>
      </c>
      <c r="X12" s="212" t="s">
        <v>863</v>
      </c>
    </row>
    <row r="13" spans="2:24">
      <c r="B13" s="14" t="s">
        <v>13</v>
      </c>
      <c r="C13" s="38" t="s">
        <v>57</v>
      </c>
      <c r="D13" s="38" t="s">
        <v>20</v>
      </c>
      <c r="E13" s="38" t="s">
        <v>58</v>
      </c>
      <c r="F13" s="38">
        <v>2140.9</v>
      </c>
      <c r="G13" s="38">
        <v>19.478000000000002</v>
      </c>
      <c r="H13" s="205" t="s">
        <v>33</v>
      </c>
      <c r="K13" s="1" t="s">
        <v>13</v>
      </c>
      <c r="L13" s="1" t="s">
        <v>57</v>
      </c>
      <c r="M13" s="1" t="s">
        <v>20</v>
      </c>
      <c r="N13" s="1" t="s">
        <v>58</v>
      </c>
      <c r="O13" s="1">
        <v>2140.9</v>
      </c>
      <c r="P13" s="1">
        <f t="shared" si="1"/>
        <v>1.9478000000000001E-29</v>
      </c>
      <c r="R13" s="212" t="str">
        <f t="shared" si="0"/>
        <v>H2O,H,CHOH,e1,2140.9,1.9478E-29</v>
      </c>
      <c r="X13" s="212" t="s">
        <v>864</v>
      </c>
    </row>
    <row r="14" spans="2:24">
      <c r="B14" s="14" t="s">
        <v>13</v>
      </c>
      <c r="C14" s="38" t="s">
        <v>58</v>
      </c>
      <c r="D14" s="38" t="s">
        <v>20</v>
      </c>
      <c r="E14" s="38" t="s">
        <v>57</v>
      </c>
      <c r="F14" s="38">
        <v>2289.1</v>
      </c>
      <c r="G14" s="38">
        <v>63.813000000000002</v>
      </c>
      <c r="H14" s="205" t="s">
        <v>33</v>
      </c>
      <c r="K14" s="1" t="s">
        <v>13</v>
      </c>
      <c r="L14" s="1" t="s">
        <v>58</v>
      </c>
      <c r="M14" s="1" t="s">
        <v>20</v>
      </c>
      <c r="N14" s="1" t="s">
        <v>57</v>
      </c>
      <c r="O14" s="1">
        <v>2289.1</v>
      </c>
      <c r="P14" s="1">
        <f t="shared" si="1"/>
        <v>6.3812999999999993E-29</v>
      </c>
      <c r="R14" s="212" t="str">
        <f t="shared" si="0"/>
        <v>H2O,e1,CHOH,H,2289.1,6.3813E-29</v>
      </c>
      <c r="X14" s="212" t="s">
        <v>865</v>
      </c>
    </row>
    <row r="15" spans="2:24">
      <c r="B15" s="14" t="s">
        <v>13</v>
      </c>
      <c r="C15" s="38" t="s">
        <v>57</v>
      </c>
      <c r="D15" s="38" t="s">
        <v>22</v>
      </c>
      <c r="E15" s="38" t="s">
        <v>58</v>
      </c>
      <c r="F15" s="38">
        <v>802.21</v>
      </c>
      <c r="G15" s="38">
        <v>52.555000000000007</v>
      </c>
      <c r="H15" s="205" t="s">
        <v>43</v>
      </c>
      <c r="K15" s="1" t="s">
        <v>13</v>
      </c>
      <c r="L15" s="1" t="s">
        <v>57</v>
      </c>
      <c r="M15" s="1" t="s">
        <v>22</v>
      </c>
      <c r="N15" s="1" t="s">
        <v>58</v>
      </c>
      <c r="O15" s="1">
        <v>802.21</v>
      </c>
      <c r="P15" s="1">
        <f t="shared" si="1"/>
        <v>5.2555000000000005E-29</v>
      </c>
      <c r="R15" s="212" t="str">
        <f t="shared" si="0"/>
        <v>H2O,H,COO-,e1,802.21,5.2555E-29</v>
      </c>
      <c r="X15" s="212" t="s">
        <v>866</v>
      </c>
    </row>
    <row r="16" spans="2:24">
      <c r="B16" s="14" t="s">
        <v>13</v>
      </c>
      <c r="C16" s="38" t="s">
        <v>58</v>
      </c>
      <c r="D16" s="38" t="s">
        <v>23</v>
      </c>
      <c r="E16" s="38" t="s">
        <v>57</v>
      </c>
      <c r="F16" s="38">
        <v>2016.6</v>
      </c>
      <c r="G16" s="38">
        <v>49.397000000000013</v>
      </c>
      <c r="H16" s="205" t="s">
        <v>36</v>
      </c>
      <c r="K16" s="1" t="s">
        <v>13</v>
      </c>
      <c r="L16" s="1" t="s">
        <v>58</v>
      </c>
      <c r="M16" s="1" t="s">
        <v>23</v>
      </c>
      <c r="N16" s="1" t="s">
        <v>57</v>
      </c>
      <c r="O16" s="1">
        <v>2016.6</v>
      </c>
      <c r="P16" s="1">
        <f t="shared" si="1"/>
        <v>4.9397000000000008E-29</v>
      </c>
      <c r="R16" s="212" t="str">
        <f t="shared" si="0"/>
        <v>H2O,e1,NH3+,H,2016.6,4.9397E-29</v>
      </c>
      <c r="X16" s="212" t="s">
        <v>867</v>
      </c>
    </row>
    <row r="17" spans="2:24">
      <c r="B17" s="14" t="s">
        <v>13</v>
      </c>
      <c r="C17" s="38" t="s">
        <v>58</v>
      </c>
      <c r="D17" s="38" t="s">
        <v>24</v>
      </c>
      <c r="E17" s="38" t="s">
        <v>57</v>
      </c>
      <c r="F17" s="38">
        <v>1985.4</v>
      </c>
      <c r="G17" s="38">
        <v>101.69</v>
      </c>
      <c r="H17" s="205" t="s">
        <v>37</v>
      </c>
      <c r="K17" s="1" t="s">
        <v>13</v>
      </c>
      <c r="L17" s="1" t="s">
        <v>58</v>
      </c>
      <c r="M17" s="1" t="s">
        <v>24</v>
      </c>
      <c r="N17" s="1" t="s">
        <v>57</v>
      </c>
      <c r="O17" s="1">
        <v>1985.4</v>
      </c>
      <c r="P17" s="1">
        <f t="shared" si="1"/>
        <v>1.0169E-28</v>
      </c>
      <c r="R17" s="212" t="str">
        <f t="shared" si="0"/>
        <v>H2O,e1,H3O+,H,1985.4,1.0169E-28</v>
      </c>
      <c r="X17" s="212" t="s">
        <v>868</v>
      </c>
    </row>
    <row r="18" spans="2:24">
      <c r="B18" s="14" t="s">
        <v>13</v>
      </c>
      <c r="C18" s="38" t="s">
        <v>57</v>
      </c>
      <c r="D18" s="38" t="s">
        <v>25</v>
      </c>
      <c r="E18" s="38" t="s">
        <v>58</v>
      </c>
      <c r="F18" s="38">
        <v>1492</v>
      </c>
      <c r="G18" s="38">
        <v>76.411000000000001</v>
      </c>
      <c r="H18" s="205" t="s">
        <v>37</v>
      </c>
      <c r="K18" s="1" t="s">
        <v>13</v>
      </c>
      <c r="L18" s="1" t="s">
        <v>57</v>
      </c>
      <c r="M18" s="1" t="s">
        <v>25</v>
      </c>
      <c r="N18" s="1" t="s">
        <v>58</v>
      </c>
      <c r="O18" s="1">
        <v>1492</v>
      </c>
      <c r="P18" s="1">
        <f t="shared" si="1"/>
        <v>7.6410999999999991E-29</v>
      </c>
      <c r="R18" s="212" t="str">
        <f t="shared" si="0"/>
        <v>H2O,H,OH-,e1,1492,7.6411E-29</v>
      </c>
      <c r="X18" s="212" t="s">
        <v>869</v>
      </c>
    </row>
    <row r="19" spans="2:24">
      <c r="B19" s="14" t="s">
        <v>13</v>
      </c>
      <c r="C19" s="38" t="s">
        <v>57</v>
      </c>
      <c r="D19" s="38" t="s">
        <v>21</v>
      </c>
      <c r="E19" s="38" t="s">
        <v>58</v>
      </c>
      <c r="F19" s="38">
        <v>1986.15540678</v>
      </c>
      <c r="G19" s="38">
        <v>236.58743507599999</v>
      </c>
      <c r="H19" s="15" t="s">
        <v>34</v>
      </c>
      <c r="K19" s="1" t="s">
        <v>13</v>
      </c>
      <c r="L19" s="1" t="s">
        <v>57</v>
      </c>
      <c r="M19" s="1" t="s">
        <v>21</v>
      </c>
      <c r="N19" s="1" t="s">
        <v>58</v>
      </c>
      <c r="O19" s="1">
        <v>1986.15540678</v>
      </c>
      <c r="P19" s="1">
        <f t="shared" si="1"/>
        <v>2.3658743507599998E-28</v>
      </c>
      <c r="R19" s="212" t="str">
        <f t="shared" si="0"/>
        <v>H2O,H,CONH,e1,1986.15540678,2.36587435076E-28</v>
      </c>
      <c r="X19" s="212" t="s">
        <v>870</v>
      </c>
    </row>
    <row r="20" spans="2:24">
      <c r="B20" s="14" t="s">
        <v>13</v>
      </c>
      <c r="C20" s="38" t="s">
        <v>58</v>
      </c>
      <c r="D20" s="38" t="s">
        <v>21</v>
      </c>
      <c r="E20" s="38" t="s">
        <v>57</v>
      </c>
      <c r="F20" s="38">
        <v>3061.48979745</v>
      </c>
      <c r="G20" s="38">
        <v>130.807183315</v>
      </c>
      <c r="H20" s="15" t="s">
        <v>34</v>
      </c>
      <c r="K20" s="1" t="s">
        <v>13</v>
      </c>
      <c r="L20" s="1" t="s">
        <v>58</v>
      </c>
      <c r="M20" s="1" t="s">
        <v>21</v>
      </c>
      <c r="N20" s="1" t="s">
        <v>57</v>
      </c>
      <c r="O20" s="1">
        <v>3061.48979745</v>
      </c>
      <c r="P20" s="1">
        <f t="shared" si="1"/>
        <v>1.3080718331499999E-28</v>
      </c>
      <c r="R20" s="212" t="str">
        <f t="shared" si="0"/>
        <v>H2O,e1,CONH,H,3061.48979745,1.30807183315E-28</v>
      </c>
      <c r="X20" s="212" t="s">
        <v>871</v>
      </c>
    </row>
    <row r="21" spans="2:24">
      <c r="B21" s="14" t="s">
        <v>14</v>
      </c>
      <c r="C21" s="38" t="s">
        <v>57</v>
      </c>
      <c r="D21" s="38" t="s">
        <v>14</v>
      </c>
      <c r="E21" s="38" t="s">
        <v>57</v>
      </c>
      <c r="F21" s="38">
        <v>6427.9</v>
      </c>
      <c r="G21" s="38">
        <v>0.80619999999999992</v>
      </c>
      <c r="H21" s="15" t="s">
        <v>29</v>
      </c>
      <c r="K21" s="1" t="s">
        <v>14</v>
      </c>
      <c r="L21" s="1" t="s">
        <v>57</v>
      </c>
      <c r="M21" s="1" t="s">
        <v>14</v>
      </c>
      <c r="N21" s="1" t="s">
        <v>57</v>
      </c>
      <c r="O21" s="1">
        <v>6427.9</v>
      </c>
      <c r="P21" s="1">
        <f t="shared" si="1"/>
        <v>8.0619999999999993E-31</v>
      </c>
      <c r="R21" s="212" t="str">
        <f t="shared" si="0"/>
        <v>COOH,H,COOH,H,6427.9,8.062E-31</v>
      </c>
      <c r="X21" s="212" t="s">
        <v>872</v>
      </c>
    </row>
    <row r="22" spans="2:24">
      <c r="B22" s="14" t="s">
        <v>14</v>
      </c>
      <c r="C22" s="38" t="s">
        <v>57</v>
      </c>
      <c r="D22" s="38" t="s">
        <v>15</v>
      </c>
      <c r="E22" s="38" t="s">
        <v>58</v>
      </c>
      <c r="F22" s="38">
        <v>4000</v>
      </c>
      <c r="G22" s="38">
        <v>100</v>
      </c>
      <c r="H22" s="15" t="s">
        <v>34</v>
      </c>
      <c r="K22" s="1" t="s">
        <v>14</v>
      </c>
      <c r="L22" s="1" t="s">
        <v>57</v>
      </c>
      <c r="M22" s="1" t="s">
        <v>15</v>
      </c>
      <c r="N22" s="1" t="s">
        <v>58</v>
      </c>
      <c r="O22" s="1">
        <v>4000</v>
      </c>
      <c r="P22" s="1">
        <f t="shared" si="1"/>
        <v>9.9999999999999986E-29</v>
      </c>
      <c r="R22" s="212" t="str">
        <f t="shared" si="0"/>
        <v>COOH,H,NH2,e1,4000,1E-28</v>
      </c>
      <c r="X22" s="212" t="s">
        <v>873</v>
      </c>
    </row>
    <row r="23" spans="2:24">
      <c r="B23" s="14" t="s">
        <v>14</v>
      </c>
      <c r="C23" s="38" t="s">
        <v>58</v>
      </c>
      <c r="D23" s="38" t="s">
        <v>15</v>
      </c>
      <c r="E23" s="38" t="s">
        <v>57</v>
      </c>
      <c r="F23" s="38">
        <v>1446.624</v>
      </c>
      <c r="G23" s="38">
        <v>100</v>
      </c>
      <c r="H23" s="15" t="s">
        <v>34</v>
      </c>
      <c r="K23" s="1" t="s">
        <v>14</v>
      </c>
      <c r="L23" s="1" t="s">
        <v>58</v>
      </c>
      <c r="M23" s="1" t="s">
        <v>15</v>
      </c>
      <c r="N23" s="1" t="s">
        <v>57</v>
      </c>
      <c r="O23" s="1">
        <v>1446.624</v>
      </c>
      <c r="P23" s="1">
        <f t="shared" si="1"/>
        <v>9.9999999999999986E-29</v>
      </c>
      <c r="R23" s="212" t="str">
        <f t="shared" si="0"/>
        <v>COOH,e1,NH2,H,1446.624,1E-28</v>
      </c>
      <c r="X23" s="212" t="s">
        <v>874</v>
      </c>
    </row>
    <row r="24" spans="2:24">
      <c r="B24" s="14" t="s">
        <v>14</v>
      </c>
      <c r="C24" s="38" t="s">
        <v>59</v>
      </c>
      <c r="D24" s="38" t="s">
        <v>15</v>
      </c>
      <c r="E24" s="38" t="s">
        <v>57</v>
      </c>
      <c r="F24" s="38">
        <v>1220.143</v>
      </c>
      <c r="G24" s="38">
        <v>100</v>
      </c>
      <c r="H24" s="15" t="s">
        <v>34</v>
      </c>
      <c r="K24" s="1" t="s">
        <v>14</v>
      </c>
      <c r="L24" s="1" t="s">
        <v>59</v>
      </c>
      <c r="M24" s="1" t="s">
        <v>15</v>
      </c>
      <c r="N24" s="1" t="s">
        <v>57</v>
      </c>
      <c r="O24" s="1">
        <v>1220.143</v>
      </c>
      <c r="P24" s="1">
        <f t="shared" si="1"/>
        <v>9.9999999999999986E-29</v>
      </c>
      <c r="R24" s="212" t="str">
        <f t="shared" si="0"/>
        <v>COOH,e2,NH2,H,1220.143,1E-28</v>
      </c>
      <c r="X24" s="212" t="s">
        <v>875</v>
      </c>
    </row>
    <row r="25" spans="2:24">
      <c r="B25" s="14" t="s">
        <v>14</v>
      </c>
      <c r="C25" s="38" t="s">
        <v>57</v>
      </c>
      <c r="D25" s="38" t="s">
        <v>19</v>
      </c>
      <c r="E25" s="38" t="s">
        <v>58</v>
      </c>
      <c r="F25" s="38">
        <v>3238.4</v>
      </c>
      <c r="G25" s="38">
        <v>36.049999999999997</v>
      </c>
      <c r="H25" s="205" t="s">
        <v>44</v>
      </c>
      <c r="K25" s="1" t="s">
        <v>14</v>
      </c>
      <c r="L25" s="1" t="s">
        <v>57</v>
      </c>
      <c r="M25" s="1" t="s">
        <v>19</v>
      </c>
      <c r="N25" s="1" t="s">
        <v>58</v>
      </c>
      <c r="O25" s="1">
        <v>3238.4</v>
      </c>
      <c r="P25" s="1">
        <f t="shared" si="1"/>
        <v>3.6049999999999996E-29</v>
      </c>
      <c r="R25" s="212" t="str">
        <f t="shared" si="0"/>
        <v>COOH,H,CH2OH,e1,3238.4,3.605E-29</v>
      </c>
      <c r="X25" s="212" t="s">
        <v>876</v>
      </c>
    </row>
    <row r="26" spans="2:24">
      <c r="B26" s="14" t="s">
        <v>14</v>
      </c>
      <c r="C26" s="38" t="s">
        <v>58</v>
      </c>
      <c r="D26" s="38" t="s">
        <v>19</v>
      </c>
      <c r="E26" s="38" t="s">
        <v>57</v>
      </c>
      <c r="F26" s="38">
        <v>1062.0999999999999</v>
      </c>
      <c r="G26" s="38">
        <v>210.67</v>
      </c>
      <c r="H26" s="205" t="s">
        <v>44</v>
      </c>
      <c r="K26" s="1" t="s">
        <v>14</v>
      </c>
      <c r="L26" s="1" t="s">
        <v>58</v>
      </c>
      <c r="M26" s="1" t="s">
        <v>19</v>
      </c>
      <c r="N26" s="1" t="s">
        <v>57</v>
      </c>
      <c r="O26" s="1">
        <v>1062.0999999999999</v>
      </c>
      <c r="P26" s="1">
        <f t="shared" si="1"/>
        <v>2.1066999999999998E-28</v>
      </c>
      <c r="R26" s="212" t="str">
        <f t="shared" si="0"/>
        <v>COOH,e1,CH2OH,H,1062.1,2.1067E-28</v>
      </c>
      <c r="X26" s="212" t="s">
        <v>877</v>
      </c>
    </row>
    <row r="27" spans="2:24">
      <c r="B27" s="14" t="s">
        <v>14</v>
      </c>
      <c r="C27" s="38" t="s">
        <v>59</v>
      </c>
      <c r="D27" s="38" t="s">
        <v>19</v>
      </c>
      <c r="E27" s="38" t="s">
        <v>57</v>
      </c>
      <c r="F27" s="38">
        <v>997.89</v>
      </c>
      <c r="G27" s="38">
        <v>227.07</v>
      </c>
      <c r="H27" s="205" t="s">
        <v>44</v>
      </c>
      <c r="K27" s="1" t="s">
        <v>14</v>
      </c>
      <c r="L27" s="1" t="s">
        <v>59</v>
      </c>
      <c r="M27" s="1" t="s">
        <v>19</v>
      </c>
      <c r="N27" s="1" t="s">
        <v>57</v>
      </c>
      <c r="O27" s="1">
        <v>997.89</v>
      </c>
      <c r="P27" s="1">
        <f t="shared" si="1"/>
        <v>2.2706999999999997E-28</v>
      </c>
      <c r="R27" s="212" t="str">
        <f t="shared" si="0"/>
        <v>COOH,e2,CH2OH,H,997.89,2.2707E-28</v>
      </c>
      <c r="X27" s="212" t="s">
        <v>878</v>
      </c>
    </row>
    <row r="28" spans="2:24">
      <c r="B28" s="14" t="s">
        <v>14</v>
      </c>
      <c r="C28" s="38" t="s">
        <v>57</v>
      </c>
      <c r="D28" s="38" t="s">
        <v>20</v>
      </c>
      <c r="E28" s="38" t="s">
        <v>58</v>
      </c>
      <c r="F28" s="38">
        <v>4000</v>
      </c>
      <c r="G28" s="38">
        <v>10.834379999999999</v>
      </c>
      <c r="H28" s="15" t="s">
        <v>34</v>
      </c>
      <c r="K28" s="1" t="s">
        <v>14</v>
      </c>
      <c r="L28" s="1" t="s">
        <v>57</v>
      </c>
      <c r="M28" s="1" t="s">
        <v>20</v>
      </c>
      <c r="N28" s="1" t="s">
        <v>58</v>
      </c>
      <c r="O28" s="1">
        <v>4000</v>
      </c>
      <c r="P28" s="1">
        <f t="shared" si="1"/>
        <v>1.0834379999999999E-29</v>
      </c>
      <c r="R28" s="212" t="str">
        <f t="shared" si="0"/>
        <v>COOH,H,CHOH,e1,4000,1.083438E-29</v>
      </c>
      <c r="X28" s="212" t="s">
        <v>879</v>
      </c>
    </row>
    <row r="29" spans="2:24">
      <c r="B29" s="14" t="s">
        <v>14</v>
      </c>
      <c r="C29" s="38" t="s">
        <v>58</v>
      </c>
      <c r="D29" s="38" t="s">
        <v>20</v>
      </c>
      <c r="E29" s="38" t="s">
        <v>57</v>
      </c>
      <c r="F29" s="38">
        <v>305.01688000000001</v>
      </c>
      <c r="G29" s="38">
        <v>1</v>
      </c>
      <c r="H29" s="15" t="s">
        <v>34</v>
      </c>
      <c r="K29" s="1" t="s">
        <v>14</v>
      </c>
      <c r="L29" s="1" t="s">
        <v>58</v>
      </c>
      <c r="M29" s="1" t="s">
        <v>20</v>
      </c>
      <c r="N29" s="1" t="s">
        <v>57</v>
      </c>
      <c r="O29" s="1">
        <v>305.01688000000001</v>
      </c>
      <c r="P29" s="1">
        <f t="shared" si="1"/>
        <v>9.9999999999999991E-31</v>
      </c>
      <c r="R29" s="212" t="str">
        <f t="shared" si="0"/>
        <v>COOH,e1,CHOH,H,305.01688,1E-30</v>
      </c>
      <c r="X29" s="212" t="s">
        <v>880</v>
      </c>
    </row>
    <row r="30" spans="2:24">
      <c r="B30" s="14" t="s">
        <v>14</v>
      </c>
      <c r="C30" s="38" t="s">
        <v>59</v>
      </c>
      <c r="D30" s="38" t="s">
        <v>20</v>
      </c>
      <c r="E30" s="38" t="s">
        <v>57</v>
      </c>
      <c r="F30" s="38">
        <v>319.86784</v>
      </c>
      <c r="G30" s="38">
        <v>0.1</v>
      </c>
      <c r="H30" s="15" t="s">
        <v>34</v>
      </c>
      <c r="K30" s="1" t="s">
        <v>14</v>
      </c>
      <c r="L30" s="1" t="s">
        <v>59</v>
      </c>
      <c r="M30" s="1" t="s">
        <v>20</v>
      </c>
      <c r="N30" s="1" t="s">
        <v>57</v>
      </c>
      <c r="O30" s="1">
        <v>319.86784</v>
      </c>
      <c r="P30" s="1">
        <f t="shared" si="1"/>
        <v>9.9999999999999986E-32</v>
      </c>
      <c r="R30" s="212" t="str">
        <f t="shared" si="0"/>
        <v>COOH,e2,CHOH,H,319.86784,1E-31</v>
      </c>
      <c r="X30" s="212" t="s">
        <v>881</v>
      </c>
    </row>
    <row r="31" spans="2:24">
      <c r="B31" s="14" t="s">
        <v>14</v>
      </c>
      <c r="C31" s="38" t="s">
        <v>58</v>
      </c>
      <c r="D31" s="38" t="s">
        <v>23</v>
      </c>
      <c r="E31" s="38" t="s">
        <v>57</v>
      </c>
      <c r="F31" s="38">
        <v>334.08</v>
      </c>
      <c r="G31" s="38">
        <v>13.5</v>
      </c>
      <c r="H31" s="205" t="s">
        <v>36</v>
      </c>
      <c r="K31" s="1" t="s">
        <v>14</v>
      </c>
      <c r="L31" s="1" t="s">
        <v>58</v>
      </c>
      <c r="M31" s="1" t="s">
        <v>23</v>
      </c>
      <c r="N31" s="1" t="s">
        <v>57</v>
      </c>
      <c r="O31" s="1">
        <v>334.08</v>
      </c>
      <c r="P31" s="1">
        <f t="shared" si="1"/>
        <v>1.3499999999999998E-29</v>
      </c>
      <c r="R31" s="212" t="str">
        <f t="shared" si="0"/>
        <v>COOH,e1,NH3+,H,334.08,1.35E-29</v>
      </c>
      <c r="X31" s="212" t="s">
        <v>882</v>
      </c>
    </row>
    <row r="32" spans="2:24">
      <c r="B32" s="14" t="s">
        <v>14</v>
      </c>
      <c r="C32" s="38" t="s">
        <v>59</v>
      </c>
      <c r="D32" s="38" t="s">
        <v>23</v>
      </c>
      <c r="E32" s="38" t="s">
        <v>57</v>
      </c>
      <c r="F32" s="38">
        <v>366.54</v>
      </c>
      <c r="G32" s="38">
        <v>9990</v>
      </c>
      <c r="H32" s="205" t="s">
        <v>36</v>
      </c>
      <c r="K32" s="1" t="s">
        <v>14</v>
      </c>
      <c r="L32" s="1" t="s">
        <v>59</v>
      </c>
      <c r="M32" s="1" t="s">
        <v>23</v>
      </c>
      <c r="N32" s="1" t="s">
        <v>57</v>
      </c>
      <c r="O32" s="1">
        <v>366.54</v>
      </c>
      <c r="P32" s="1">
        <f t="shared" si="1"/>
        <v>9.9899999999999987E-27</v>
      </c>
      <c r="R32" s="212" t="str">
        <f t="shared" si="0"/>
        <v>COOH,e2,NH3+,H,366.54,9.99E-27</v>
      </c>
      <c r="X32" s="212" t="s">
        <v>883</v>
      </c>
    </row>
    <row r="33" spans="2:24">
      <c r="B33" s="14" t="s">
        <v>14</v>
      </c>
      <c r="C33" s="38" t="s">
        <v>58</v>
      </c>
      <c r="D33" s="38" t="s">
        <v>24</v>
      </c>
      <c r="E33" s="38" t="s">
        <v>57</v>
      </c>
      <c r="F33" s="38">
        <v>1451.8</v>
      </c>
      <c r="G33" s="38">
        <v>280.89</v>
      </c>
      <c r="H33" s="205" t="s">
        <v>36</v>
      </c>
      <c r="K33" s="1" t="s">
        <v>14</v>
      </c>
      <c r="L33" s="1" t="s">
        <v>58</v>
      </c>
      <c r="M33" s="1" t="s">
        <v>24</v>
      </c>
      <c r="N33" s="1" t="s">
        <v>57</v>
      </c>
      <c r="O33" s="1">
        <v>1451.8</v>
      </c>
      <c r="P33" s="1">
        <f t="shared" si="1"/>
        <v>2.8088999999999997E-28</v>
      </c>
      <c r="R33" s="212" t="str">
        <f t="shared" si="0"/>
        <v>COOH,e1,H3O+,H,1451.8,2.8089E-28</v>
      </c>
      <c r="X33" s="212" t="s">
        <v>884</v>
      </c>
    </row>
    <row r="34" spans="2:24">
      <c r="B34" s="14" t="s">
        <v>14</v>
      </c>
      <c r="C34" s="38" t="s">
        <v>59</v>
      </c>
      <c r="D34" s="38" t="s">
        <v>24</v>
      </c>
      <c r="E34" s="38" t="s">
        <v>57</v>
      </c>
      <c r="F34" s="38">
        <v>1252.5999999999999</v>
      </c>
      <c r="G34" s="38">
        <v>150.97999999999999</v>
      </c>
      <c r="H34" s="205" t="s">
        <v>36</v>
      </c>
      <c r="K34" s="1" t="s">
        <v>14</v>
      </c>
      <c r="L34" s="1" t="s">
        <v>59</v>
      </c>
      <c r="M34" s="1" t="s">
        <v>24</v>
      </c>
      <c r="N34" s="1" t="s">
        <v>57</v>
      </c>
      <c r="O34" s="1">
        <v>1252.5999999999999</v>
      </c>
      <c r="P34" s="1">
        <f t="shared" si="1"/>
        <v>1.5097999999999998E-28</v>
      </c>
      <c r="R34" s="212" t="str">
        <f t="shared" si="0"/>
        <v>COOH,e2,H3O+,H,1252.6,1.5098E-28</v>
      </c>
      <c r="X34" s="212" t="s">
        <v>885</v>
      </c>
    </row>
    <row r="35" spans="2:24">
      <c r="B35" s="14" t="s">
        <v>14</v>
      </c>
      <c r="C35" s="38" t="s">
        <v>57</v>
      </c>
      <c r="D35" s="38" t="s">
        <v>25</v>
      </c>
      <c r="E35" s="38" t="s">
        <v>58</v>
      </c>
      <c r="F35" s="38">
        <v>2036</v>
      </c>
      <c r="G35" s="38">
        <v>214.16</v>
      </c>
      <c r="H35" s="205" t="s">
        <v>36</v>
      </c>
      <c r="K35" s="1" t="s">
        <v>14</v>
      </c>
      <c r="L35" s="1" t="s">
        <v>57</v>
      </c>
      <c r="M35" s="1" t="s">
        <v>25</v>
      </c>
      <c r="N35" s="1" t="s">
        <v>58</v>
      </c>
      <c r="O35" s="1">
        <v>2036</v>
      </c>
      <c r="P35" s="1">
        <f t="shared" si="1"/>
        <v>2.1415999999999999E-28</v>
      </c>
      <c r="R35" s="212" t="str">
        <f t="shared" si="0"/>
        <v>COOH,H,OH-,e1,2036,2.1416E-28</v>
      </c>
      <c r="X35" s="212" t="s">
        <v>886</v>
      </c>
    </row>
    <row r="36" spans="2:24">
      <c r="B36" s="14" t="s">
        <v>14</v>
      </c>
      <c r="C36" s="38" t="s">
        <v>57</v>
      </c>
      <c r="D36" s="38" t="s">
        <v>21</v>
      </c>
      <c r="E36" s="38" t="s">
        <v>58</v>
      </c>
      <c r="F36" s="38">
        <v>2487.2215805699998</v>
      </c>
      <c r="G36" s="38">
        <v>242.724804648</v>
      </c>
      <c r="H36" s="15" t="s">
        <v>34</v>
      </c>
      <c r="K36" s="1" t="s">
        <v>14</v>
      </c>
      <c r="L36" s="1" t="s">
        <v>57</v>
      </c>
      <c r="M36" s="1" t="s">
        <v>21</v>
      </c>
      <c r="N36" s="1" t="s">
        <v>58</v>
      </c>
      <c r="O36" s="1">
        <v>2487.2215805699998</v>
      </c>
      <c r="P36" s="1">
        <f t="shared" si="1"/>
        <v>2.4272480464799998E-28</v>
      </c>
      <c r="R36" s="212" t="str">
        <f t="shared" si="0"/>
        <v>COOH,H,CONH,e1,2487.22158057,2.42724804648E-28</v>
      </c>
      <c r="X36" s="212" t="s">
        <v>887</v>
      </c>
    </row>
    <row r="37" spans="2:24">
      <c r="B37" s="14" t="s">
        <v>14</v>
      </c>
      <c r="C37" s="38" t="s">
        <v>58</v>
      </c>
      <c r="D37" s="38" t="s">
        <v>21</v>
      </c>
      <c r="E37" s="38" t="s">
        <v>57</v>
      </c>
      <c r="F37" s="38">
        <v>1723.46443955</v>
      </c>
      <c r="G37" s="38">
        <v>461.80240992799997</v>
      </c>
      <c r="H37" s="15" t="s">
        <v>34</v>
      </c>
      <c r="K37" s="1" t="s">
        <v>14</v>
      </c>
      <c r="L37" s="1" t="s">
        <v>58</v>
      </c>
      <c r="M37" s="1" t="s">
        <v>21</v>
      </c>
      <c r="N37" s="1" t="s">
        <v>57</v>
      </c>
      <c r="O37" s="1">
        <v>1723.46443955</v>
      </c>
      <c r="P37" s="1">
        <f t="shared" si="1"/>
        <v>4.6180240992799997E-28</v>
      </c>
      <c r="R37" s="212" t="str">
        <f t="shared" si="0"/>
        <v>COOH,e1,CONH,H,1723.46443955,4.61802409928E-28</v>
      </c>
      <c r="X37" s="212" t="s">
        <v>888</v>
      </c>
    </row>
    <row r="38" spans="2:24">
      <c r="B38" s="14" t="s">
        <v>14</v>
      </c>
      <c r="C38" s="38" t="s">
        <v>59</v>
      </c>
      <c r="D38" s="38" t="s">
        <v>21</v>
      </c>
      <c r="E38" s="38" t="s">
        <v>57</v>
      </c>
      <c r="F38" s="38">
        <v>1723.46443955</v>
      </c>
      <c r="G38" s="38">
        <v>461.80240992799997</v>
      </c>
      <c r="H38" s="15" t="s">
        <v>34</v>
      </c>
      <c r="K38" s="1" t="s">
        <v>14</v>
      </c>
      <c r="L38" s="1" t="s">
        <v>59</v>
      </c>
      <c r="M38" s="1" t="s">
        <v>21</v>
      </c>
      <c r="N38" s="1" t="s">
        <v>57</v>
      </c>
      <c r="O38" s="1">
        <v>1723.46443955</v>
      </c>
      <c r="P38" s="1">
        <f t="shared" si="1"/>
        <v>4.6180240992799997E-28</v>
      </c>
      <c r="R38" s="212" t="str">
        <f t="shared" si="0"/>
        <v>COOH,e2,CONH,H,1723.46443955,4.61802409928E-28</v>
      </c>
      <c r="X38" s="212" t="s">
        <v>889</v>
      </c>
    </row>
    <row r="39" spans="2:24">
      <c r="B39" s="14" t="s">
        <v>15</v>
      </c>
      <c r="C39" s="38" t="s">
        <v>58</v>
      </c>
      <c r="D39" s="38" t="s">
        <v>15</v>
      </c>
      <c r="E39" s="38" t="s">
        <v>57</v>
      </c>
      <c r="F39" s="38">
        <v>1070.8</v>
      </c>
      <c r="G39" s="38">
        <v>95.224999999999994</v>
      </c>
      <c r="H39" s="15" t="s">
        <v>30</v>
      </c>
      <c r="K39" s="1" t="s">
        <v>15</v>
      </c>
      <c r="L39" s="1" t="s">
        <v>58</v>
      </c>
      <c r="M39" s="1" t="s">
        <v>15</v>
      </c>
      <c r="N39" s="1" t="s">
        <v>57</v>
      </c>
      <c r="O39" s="1">
        <v>1070.8</v>
      </c>
      <c r="P39" s="1">
        <f t="shared" si="1"/>
        <v>9.5224999999999985E-29</v>
      </c>
      <c r="R39" s="212" t="str">
        <f t="shared" si="0"/>
        <v>NH2,e1,NH2,H,1070.8,9.5225E-29</v>
      </c>
      <c r="X39" s="212" t="s">
        <v>890</v>
      </c>
    </row>
    <row r="40" spans="2:24">
      <c r="B40" s="14" t="s">
        <v>15</v>
      </c>
      <c r="C40" s="38" t="s">
        <v>57</v>
      </c>
      <c r="D40" s="38" t="s">
        <v>19</v>
      </c>
      <c r="E40" s="38" t="s">
        <v>58</v>
      </c>
      <c r="F40" s="38">
        <v>629.88</v>
      </c>
      <c r="G40" s="38">
        <v>346.08</v>
      </c>
      <c r="H40" s="205" t="s">
        <v>45</v>
      </c>
      <c r="K40" s="1" t="s">
        <v>15</v>
      </c>
      <c r="L40" s="1" t="s">
        <v>57</v>
      </c>
      <c r="M40" s="1" t="s">
        <v>19</v>
      </c>
      <c r="N40" s="1" t="s">
        <v>58</v>
      </c>
      <c r="O40" s="1">
        <v>629.88</v>
      </c>
      <c r="P40" s="1">
        <f t="shared" si="1"/>
        <v>3.4607999999999995E-28</v>
      </c>
      <c r="R40" s="212" t="str">
        <f t="shared" si="0"/>
        <v>NH2,H,CH2OH,e1,629.88,3.4608E-28</v>
      </c>
      <c r="X40" s="212" t="s">
        <v>891</v>
      </c>
    </row>
    <row r="41" spans="2:24">
      <c r="B41" s="14" t="s">
        <v>15</v>
      </c>
      <c r="C41" s="38" t="s">
        <v>58</v>
      </c>
      <c r="D41" s="38" t="s">
        <v>19</v>
      </c>
      <c r="E41" s="38" t="s">
        <v>57</v>
      </c>
      <c r="F41" s="38">
        <v>2403.8000000000002</v>
      </c>
      <c r="G41" s="38">
        <v>26.192</v>
      </c>
      <c r="H41" s="205" t="s">
        <v>45</v>
      </c>
      <c r="K41" s="1" t="s">
        <v>15</v>
      </c>
      <c r="L41" s="1" t="s">
        <v>58</v>
      </c>
      <c r="M41" s="1" t="s">
        <v>19</v>
      </c>
      <c r="N41" s="1" t="s">
        <v>57</v>
      </c>
      <c r="O41" s="1">
        <v>2403.8000000000002</v>
      </c>
      <c r="P41" s="1">
        <f t="shared" si="1"/>
        <v>2.6191999999999996E-29</v>
      </c>
      <c r="R41" s="212" t="str">
        <f t="shared" si="0"/>
        <v>NH2,e1,CH2OH,H,2403.8,2.6192E-29</v>
      </c>
      <c r="X41" s="212" t="s">
        <v>892</v>
      </c>
    </row>
    <row r="42" spans="2:24">
      <c r="B42" s="14" t="s">
        <v>15</v>
      </c>
      <c r="C42" s="38" t="s">
        <v>57</v>
      </c>
      <c r="D42" s="38" t="s">
        <v>20</v>
      </c>
      <c r="E42" s="38" t="s">
        <v>58</v>
      </c>
      <c r="F42" s="38">
        <v>1524.8571462499999</v>
      </c>
      <c r="G42" s="38">
        <v>103.2195</v>
      </c>
      <c r="H42" s="15" t="s">
        <v>34</v>
      </c>
      <c r="K42" s="1" t="s">
        <v>15</v>
      </c>
      <c r="L42" s="1" t="s">
        <v>57</v>
      </c>
      <c r="M42" s="1" t="s">
        <v>20</v>
      </c>
      <c r="N42" s="1" t="s">
        <v>58</v>
      </c>
      <c r="O42" s="1">
        <v>1524.8571462499999</v>
      </c>
      <c r="P42" s="1">
        <f t="shared" si="1"/>
        <v>1.0321949999999999E-28</v>
      </c>
      <c r="R42" s="212" t="str">
        <f t="shared" si="0"/>
        <v>NH2,H,CHOH,e1,1524.85714625,1.032195E-28</v>
      </c>
      <c r="X42" s="212" t="s">
        <v>893</v>
      </c>
    </row>
    <row r="43" spans="2:24">
      <c r="B43" s="14" t="s">
        <v>15</v>
      </c>
      <c r="C43" s="38" t="s">
        <v>58</v>
      </c>
      <c r="D43" s="38" t="s">
        <v>20</v>
      </c>
      <c r="E43" s="38" t="s">
        <v>57</v>
      </c>
      <c r="F43" s="38">
        <v>1470.33396066</v>
      </c>
      <c r="G43" s="38">
        <v>303.47037499999999</v>
      </c>
      <c r="H43" s="15" t="s">
        <v>34</v>
      </c>
      <c r="K43" s="1" t="s">
        <v>15</v>
      </c>
      <c r="L43" s="1" t="s">
        <v>58</v>
      </c>
      <c r="M43" s="1" t="s">
        <v>20</v>
      </c>
      <c r="N43" s="1" t="s">
        <v>57</v>
      </c>
      <c r="O43" s="1">
        <v>1470.33396066</v>
      </c>
      <c r="P43" s="1">
        <f t="shared" si="1"/>
        <v>3.0347037499999997E-28</v>
      </c>
      <c r="R43" s="212" t="str">
        <f t="shared" si="0"/>
        <v>NH2,e1,CHOH,H,1470.33396066,3.03470375E-28</v>
      </c>
      <c r="X43" s="212" t="s">
        <v>894</v>
      </c>
    </row>
    <row r="44" spans="2:24">
      <c r="B44" s="14" t="s">
        <v>15</v>
      </c>
      <c r="C44" s="38" t="s">
        <v>57</v>
      </c>
      <c r="D44" s="38" t="s">
        <v>22</v>
      </c>
      <c r="E44" s="38" t="s">
        <v>58</v>
      </c>
      <c r="F44" s="38">
        <v>1220.143</v>
      </c>
      <c r="G44" s="38">
        <v>100</v>
      </c>
      <c r="H44" s="15" t="s">
        <v>34</v>
      </c>
      <c r="K44" s="1" t="s">
        <v>15</v>
      </c>
      <c r="L44" s="1" t="s">
        <v>57</v>
      </c>
      <c r="M44" s="1" t="s">
        <v>22</v>
      </c>
      <c r="N44" s="1" t="s">
        <v>58</v>
      </c>
      <c r="O44" s="1">
        <v>1220.143</v>
      </c>
      <c r="P44" s="1">
        <f t="shared" si="1"/>
        <v>9.9999999999999986E-29</v>
      </c>
      <c r="R44" s="212" t="str">
        <f t="shared" si="0"/>
        <v>NH2,H,COO-,e1,1220.143,1E-28</v>
      </c>
      <c r="X44" s="212" t="s">
        <v>895</v>
      </c>
    </row>
    <row r="45" spans="2:24">
      <c r="B45" s="14" t="s">
        <v>15</v>
      </c>
      <c r="C45" s="38" t="s">
        <v>58</v>
      </c>
      <c r="D45" s="38" t="s">
        <v>23</v>
      </c>
      <c r="E45" s="38" t="s">
        <v>57</v>
      </c>
      <c r="F45" s="38">
        <v>1070.8</v>
      </c>
      <c r="G45" s="38">
        <v>95.224999999999994</v>
      </c>
      <c r="H45" s="15" t="s">
        <v>34</v>
      </c>
      <c r="K45" s="1" t="s">
        <v>15</v>
      </c>
      <c r="L45" s="1" t="s">
        <v>58</v>
      </c>
      <c r="M45" s="1" t="s">
        <v>23</v>
      </c>
      <c r="N45" s="1" t="s">
        <v>57</v>
      </c>
      <c r="O45" s="1">
        <v>1070.8</v>
      </c>
      <c r="P45" s="1">
        <f t="shared" si="1"/>
        <v>9.5224999999999985E-29</v>
      </c>
      <c r="R45" s="212" t="str">
        <f t="shared" si="0"/>
        <v>NH2,e1,NH3+,H,1070.8,9.5225E-29</v>
      </c>
      <c r="X45" s="212" t="s">
        <v>896</v>
      </c>
    </row>
    <row r="46" spans="2:24">
      <c r="B46" s="14" t="s">
        <v>15</v>
      </c>
      <c r="C46" s="38" t="s">
        <v>58</v>
      </c>
      <c r="D46" s="38" t="s">
        <v>24</v>
      </c>
      <c r="E46" s="38" t="s">
        <v>57</v>
      </c>
      <c r="F46" s="38">
        <v>1460</v>
      </c>
      <c r="G46" s="38">
        <v>179.6</v>
      </c>
      <c r="H46" s="15" t="s">
        <v>34</v>
      </c>
      <c r="K46" s="1" t="s">
        <v>15</v>
      </c>
      <c r="L46" s="1" t="s">
        <v>58</v>
      </c>
      <c r="M46" s="1" t="s">
        <v>24</v>
      </c>
      <c r="N46" s="1" t="s">
        <v>57</v>
      </c>
      <c r="O46" s="1">
        <v>1460</v>
      </c>
      <c r="P46" s="1">
        <f t="shared" si="1"/>
        <v>1.7959999999999998E-28</v>
      </c>
      <c r="R46" s="212" t="str">
        <f t="shared" si="0"/>
        <v>NH2,e1,H3O+,H,1460,1.796E-28</v>
      </c>
      <c r="X46" s="212" t="s">
        <v>897</v>
      </c>
    </row>
    <row r="47" spans="2:24">
      <c r="B47" s="14" t="s">
        <v>15</v>
      </c>
      <c r="C47" s="38" t="s">
        <v>57</v>
      </c>
      <c r="D47" s="38" t="s">
        <v>25</v>
      </c>
      <c r="E47" s="38" t="s">
        <v>58</v>
      </c>
      <c r="F47" s="38">
        <v>1511.4</v>
      </c>
      <c r="G47" s="38">
        <v>42.436</v>
      </c>
      <c r="H47" s="15" t="s">
        <v>34</v>
      </c>
      <c r="K47" s="1" t="s">
        <v>15</v>
      </c>
      <c r="L47" s="1" t="s">
        <v>57</v>
      </c>
      <c r="M47" s="1" t="s">
        <v>25</v>
      </c>
      <c r="N47" s="1" t="s">
        <v>58</v>
      </c>
      <c r="O47" s="1">
        <v>1511.4</v>
      </c>
      <c r="P47" s="1">
        <f t="shared" si="1"/>
        <v>4.2435999999999993E-29</v>
      </c>
      <c r="R47" s="212" t="str">
        <f t="shared" si="0"/>
        <v>NH2,H,OH-,e1,1511.4,4.2436E-29</v>
      </c>
      <c r="X47" s="212" t="s">
        <v>898</v>
      </c>
    </row>
    <row r="48" spans="2:24">
      <c r="B48" s="14" t="s">
        <v>15</v>
      </c>
      <c r="C48" s="38" t="s">
        <v>58</v>
      </c>
      <c r="D48" s="38" t="s">
        <v>21</v>
      </c>
      <c r="E48" s="38" t="s">
        <v>57</v>
      </c>
      <c r="F48" s="38">
        <v>2807.1</v>
      </c>
      <c r="G48" s="38">
        <v>122.83</v>
      </c>
      <c r="H48" s="15" t="s">
        <v>34</v>
      </c>
      <c r="K48" s="1" t="s">
        <v>15</v>
      </c>
      <c r="L48" s="1" t="s">
        <v>58</v>
      </c>
      <c r="M48" s="1" t="s">
        <v>21</v>
      </c>
      <c r="N48" s="1" t="s">
        <v>57</v>
      </c>
      <c r="O48" s="1">
        <v>2807.1</v>
      </c>
      <c r="P48" s="1">
        <f t="shared" si="1"/>
        <v>1.2282999999999998E-28</v>
      </c>
      <c r="R48" s="212" t="str">
        <f t="shared" si="0"/>
        <v>NH2,e1,CONH,H,2807.1,1.2283E-28</v>
      </c>
      <c r="X48" s="212" t="s">
        <v>899</v>
      </c>
    </row>
    <row r="49" spans="2:24">
      <c r="B49" s="14" t="s">
        <v>15</v>
      </c>
      <c r="C49" s="38" t="s">
        <v>57</v>
      </c>
      <c r="D49" s="38" t="s">
        <v>21</v>
      </c>
      <c r="E49" s="38" t="s">
        <v>58</v>
      </c>
      <c r="F49" s="38">
        <v>1687.6</v>
      </c>
      <c r="G49" s="38">
        <v>122.83</v>
      </c>
      <c r="H49" s="15" t="s">
        <v>34</v>
      </c>
      <c r="K49" s="1" t="s">
        <v>15</v>
      </c>
      <c r="L49" s="1" t="s">
        <v>57</v>
      </c>
      <c r="M49" s="1" t="s">
        <v>21</v>
      </c>
      <c r="N49" s="1" t="s">
        <v>58</v>
      </c>
      <c r="O49" s="1">
        <v>1687.6</v>
      </c>
      <c r="P49" s="1">
        <f t="shared" si="1"/>
        <v>1.2282999999999998E-28</v>
      </c>
      <c r="R49" s="212" t="str">
        <f t="shared" si="0"/>
        <v>NH2,H,CONH,e1,1687.6,1.2283E-28</v>
      </c>
      <c r="X49" s="212" t="s">
        <v>900</v>
      </c>
    </row>
    <row r="50" spans="2:24">
      <c r="B50" s="14" t="s">
        <v>19</v>
      </c>
      <c r="C50" s="38" t="s">
        <v>57</v>
      </c>
      <c r="D50" s="38" t="s">
        <v>19</v>
      </c>
      <c r="E50" s="38" t="s">
        <v>58</v>
      </c>
      <c r="F50" s="38">
        <v>2097.9</v>
      </c>
      <c r="G50" s="38">
        <v>62.308999999999997</v>
      </c>
      <c r="H50" s="205" t="s">
        <v>42</v>
      </c>
      <c r="K50" s="1" t="s">
        <v>19</v>
      </c>
      <c r="L50" s="1" t="s">
        <v>57</v>
      </c>
      <c r="M50" s="1" t="s">
        <v>19</v>
      </c>
      <c r="N50" s="1" t="s">
        <v>58</v>
      </c>
      <c r="O50" s="1">
        <v>2097.9</v>
      </c>
      <c r="P50" s="1">
        <f t="shared" si="1"/>
        <v>6.2308999999999996E-29</v>
      </c>
      <c r="R50" s="212" t="str">
        <f t="shared" si="0"/>
        <v>CH2OH,H,CH2OH,e1,2097.9,6.2309E-29</v>
      </c>
      <c r="X50" s="212" t="s">
        <v>901</v>
      </c>
    </row>
    <row r="51" spans="2:24">
      <c r="B51" s="14" t="s">
        <v>19</v>
      </c>
      <c r="C51" s="38" t="s">
        <v>57</v>
      </c>
      <c r="D51" s="38" t="s">
        <v>20</v>
      </c>
      <c r="E51" s="38" t="s">
        <v>58</v>
      </c>
      <c r="F51" s="38">
        <v>2500</v>
      </c>
      <c r="G51" s="38">
        <v>10.444000000000001</v>
      </c>
      <c r="H51" s="15" t="s">
        <v>33</v>
      </c>
      <c r="K51" s="1" t="s">
        <v>19</v>
      </c>
      <c r="L51" s="1" t="s">
        <v>57</v>
      </c>
      <c r="M51" s="1" t="s">
        <v>20</v>
      </c>
      <c r="N51" s="1" t="s">
        <v>58</v>
      </c>
      <c r="O51" s="1">
        <v>2500</v>
      </c>
      <c r="P51" s="1">
        <f t="shared" si="1"/>
        <v>1.0443999999999999E-29</v>
      </c>
      <c r="R51" s="212" t="str">
        <f t="shared" si="0"/>
        <v>CH2OH,H,CHOH,e1,2500,1.0444E-29</v>
      </c>
      <c r="X51" s="212" t="s">
        <v>902</v>
      </c>
    </row>
    <row r="52" spans="2:24">
      <c r="B52" s="14" t="s">
        <v>19</v>
      </c>
      <c r="C52" s="38" t="s">
        <v>58</v>
      </c>
      <c r="D52" s="38" t="s">
        <v>20</v>
      </c>
      <c r="E52" s="38" t="s">
        <v>57</v>
      </c>
      <c r="F52" s="38">
        <v>1464.1</v>
      </c>
      <c r="G52" s="38">
        <v>591.54999999999995</v>
      </c>
      <c r="H52" s="15" t="s">
        <v>33</v>
      </c>
      <c r="K52" s="1" t="s">
        <v>19</v>
      </c>
      <c r="L52" s="1" t="s">
        <v>58</v>
      </c>
      <c r="M52" s="1" t="s">
        <v>20</v>
      </c>
      <c r="N52" s="1" t="s">
        <v>57</v>
      </c>
      <c r="O52" s="1">
        <v>1464.1</v>
      </c>
      <c r="P52" s="1">
        <f t="shared" si="1"/>
        <v>5.915499999999999E-28</v>
      </c>
      <c r="R52" s="212" t="str">
        <f t="shared" si="0"/>
        <v>CH2OH,e1,CHOH,H,1464.1,5.9155E-28</v>
      </c>
      <c r="X52" s="212" t="s">
        <v>903</v>
      </c>
    </row>
    <row r="53" spans="2:24">
      <c r="B53" s="14" t="s">
        <v>19</v>
      </c>
      <c r="C53" s="38" t="s">
        <v>57</v>
      </c>
      <c r="D53" s="38" t="s">
        <v>21</v>
      </c>
      <c r="E53" s="38" t="s">
        <v>58</v>
      </c>
      <c r="F53" s="38">
        <v>2583.5780399999999</v>
      </c>
      <c r="G53" s="38">
        <v>101.83737000000001</v>
      </c>
      <c r="H53" s="15" t="s">
        <v>34</v>
      </c>
      <c r="K53" s="1" t="s">
        <v>19</v>
      </c>
      <c r="L53" s="1" t="s">
        <v>57</v>
      </c>
      <c r="M53" s="1" t="s">
        <v>21</v>
      </c>
      <c r="N53" s="1" t="s">
        <v>58</v>
      </c>
      <c r="O53" s="1">
        <v>2583.5780399999999</v>
      </c>
      <c r="P53" s="1">
        <f t="shared" si="1"/>
        <v>1.0183737E-28</v>
      </c>
      <c r="R53" s="212" t="str">
        <f t="shared" si="0"/>
        <v>CH2OH,H,CONH,e1,2583.57804,1.0183737E-28</v>
      </c>
      <c r="X53" s="212" t="s">
        <v>904</v>
      </c>
    </row>
    <row r="54" spans="2:24">
      <c r="B54" s="14" t="s">
        <v>19</v>
      </c>
      <c r="C54" s="38" t="s">
        <v>58</v>
      </c>
      <c r="D54" s="38" t="s">
        <v>21</v>
      </c>
      <c r="E54" s="38" t="s">
        <v>57</v>
      </c>
      <c r="F54" s="38">
        <v>2583.5780399999999</v>
      </c>
      <c r="G54" s="38">
        <v>101.83737000000001</v>
      </c>
      <c r="H54" s="15" t="s">
        <v>34</v>
      </c>
      <c r="K54" s="1" t="s">
        <v>19</v>
      </c>
      <c r="L54" s="1" t="s">
        <v>58</v>
      </c>
      <c r="M54" s="1" t="s">
        <v>21</v>
      </c>
      <c r="N54" s="1" t="s">
        <v>57</v>
      </c>
      <c r="O54" s="1">
        <v>2583.5780399999999</v>
      </c>
      <c r="P54" s="1">
        <f t="shared" si="1"/>
        <v>1.0183737E-28</v>
      </c>
      <c r="R54" s="212" t="str">
        <f t="shared" si="0"/>
        <v>CH2OH,e1,CONH,H,2583.57804,1.0183737E-28</v>
      </c>
      <c r="X54" s="212" t="s">
        <v>905</v>
      </c>
    </row>
    <row r="55" spans="2:24">
      <c r="B55" s="14" t="s">
        <v>20</v>
      </c>
      <c r="C55" s="38" t="s">
        <v>57</v>
      </c>
      <c r="D55" s="38" t="s">
        <v>20</v>
      </c>
      <c r="E55" s="38" t="s">
        <v>58</v>
      </c>
      <c r="F55" s="38">
        <v>2480.6</v>
      </c>
      <c r="G55" s="38">
        <v>8.4740000000000002</v>
      </c>
      <c r="H55" s="15" t="s">
        <v>33</v>
      </c>
      <c r="K55" s="1" t="s">
        <v>20</v>
      </c>
      <c r="L55" s="1" t="s">
        <v>57</v>
      </c>
      <c r="M55" s="1" t="s">
        <v>20</v>
      </c>
      <c r="N55" s="1" t="s">
        <v>58</v>
      </c>
      <c r="O55" s="1">
        <v>2480.6</v>
      </c>
      <c r="P55" s="1">
        <f t="shared" si="1"/>
        <v>8.474E-30</v>
      </c>
      <c r="R55" s="212" t="str">
        <f t="shared" si="0"/>
        <v>CHOH,H,CHOH,e1,2480.6,8.474E-30</v>
      </c>
      <c r="X55" s="212" t="s">
        <v>906</v>
      </c>
    </row>
    <row r="56" spans="2:24">
      <c r="B56" s="14" t="s">
        <v>22</v>
      </c>
      <c r="C56" s="38" t="s">
        <v>58</v>
      </c>
      <c r="D56" s="38" t="s">
        <v>23</v>
      </c>
      <c r="E56" s="38" t="s">
        <v>57</v>
      </c>
      <c r="F56" s="38">
        <v>1767</v>
      </c>
      <c r="G56" s="38">
        <v>13.5</v>
      </c>
      <c r="H56" s="205" t="s">
        <v>72</v>
      </c>
      <c r="K56" s="1" t="s">
        <v>22</v>
      </c>
      <c r="L56" s="1" t="s">
        <v>58</v>
      </c>
      <c r="M56" s="1" t="s">
        <v>23</v>
      </c>
      <c r="N56" s="1" t="s">
        <v>57</v>
      </c>
      <c r="O56" s="1">
        <v>1767</v>
      </c>
      <c r="P56" s="1">
        <f t="shared" si="1"/>
        <v>1.3499999999999998E-29</v>
      </c>
      <c r="R56" s="212" t="str">
        <f t="shared" si="0"/>
        <v>COO-,e1,NH3+,H,1767,1.35E-29</v>
      </c>
      <c r="X56" s="212" t="s">
        <v>907</v>
      </c>
    </row>
    <row r="57" spans="2:24">
      <c r="B57" s="14" t="s">
        <v>22</v>
      </c>
      <c r="C57" s="38" t="s">
        <v>58</v>
      </c>
      <c r="D57" s="38" t="s">
        <v>24</v>
      </c>
      <c r="E57" s="38" t="s">
        <v>57</v>
      </c>
      <c r="F57" s="38">
        <v>802.21</v>
      </c>
      <c r="G57" s="38">
        <v>52.555000000000007</v>
      </c>
      <c r="H57" s="205" t="s">
        <v>36</v>
      </c>
      <c r="K57" s="1" t="s">
        <v>22</v>
      </c>
      <c r="L57" s="1" t="s">
        <v>58</v>
      </c>
      <c r="M57" s="1" t="s">
        <v>24</v>
      </c>
      <c r="N57" s="1" t="s">
        <v>57</v>
      </c>
      <c r="O57" s="1">
        <v>802.21</v>
      </c>
      <c r="P57" s="1">
        <f t="shared" si="1"/>
        <v>5.2555000000000005E-29</v>
      </c>
      <c r="R57" s="212" t="str">
        <f t="shared" si="0"/>
        <v>COO-,e1,H3O+,H,802.21,5.2555E-29</v>
      </c>
      <c r="X57" s="212" t="s">
        <v>908</v>
      </c>
    </row>
    <row r="58" spans="2:24">
      <c r="B58" s="14" t="s">
        <v>23</v>
      </c>
      <c r="C58" s="38" t="s">
        <v>57</v>
      </c>
      <c r="D58" s="38" t="s">
        <v>25</v>
      </c>
      <c r="E58" s="38" t="s">
        <v>58</v>
      </c>
      <c r="F58" s="38">
        <v>1988.3</v>
      </c>
      <c r="G58" s="38">
        <v>55.823999999999998</v>
      </c>
      <c r="H58" s="205" t="s">
        <v>36</v>
      </c>
      <c r="K58" s="1" t="s">
        <v>23</v>
      </c>
      <c r="L58" s="1" t="s">
        <v>57</v>
      </c>
      <c r="M58" s="1" t="s">
        <v>25</v>
      </c>
      <c r="N58" s="1" t="s">
        <v>58</v>
      </c>
      <c r="O58" s="1">
        <v>1988.3</v>
      </c>
      <c r="P58" s="1">
        <f t="shared" si="1"/>
        <v>5.5823999999999989E-29</v>
      </c>
      <c r="R58" s="212" t="str">
        <f t="shared" si="0"/>
        <v>NH3+,H,OH-,e1,1988.3,5.5824E-29</v>
      </c>
      <c r="X58" s="212" t="s">
        <v>909</v>
      </c>
    </row>
    <row r="59" spans="2:24">
      <c r="B59" s="14" t="s">
        <v>24</v>
      </c>
      <c r="C59" s="38" t="s">
        <v>57</v>
      </c>
      <c r="D59" s="38" t="s">
        <v>25</v>
      </c>
      <c r="E59" s="38" t="s">
        <v>58</v>
      </c>
      <c r="F59" s="38">
        <v>1492</v>
      </c>
      <c r="G59" s="38">
        <v>76.411000000000001</v>
      </c>
      <c r="H59" s="205" t="s">
        <v>37</v>
      </c>
      <c r="K59" s="1" t="s">
        <v>24</v>
      </c>
      <c r="L59" s="1" t="s">
        <v>57</v>
      </c>
      <c r="M59" s="1" t="s">
        <v>25</v>
      </c>
      <c r="N59" s="1" t="s">
        <v>58</v>
      </c>
      <c r="O59" s="1">
        <v>1492</v>
      </c>
      <c r="P59" s="1">
        <f t="shared" si="1"/>
        <v>7.6410999999999991E-29</v>
      </c>
      <c r="R59" s="212" t="str">
        <f t="shared" si="0"/>
        <v>H3O+,H,OH-,e1,1492,7.6411E-29</v>
      </c>
      <c r="X59" s="212" t="s">
        <v>910</v>
      </c>
    </row>
    <row r="60" spans="2:24" ht="15" thickBot="1">
      <c r="B60" s="29" t="s">
        <v>21</v>
      </c>
      <c r="C60" s="39" t="s">
        <v>57</v>
      </c>
      <c r="D60" s="39" t="s">
        <v>21</v>
      </c>
      <c r="E60" s="39" t="s">
        <v>58</v>
      </c>
      <c r="F60" s="39">
        <v>3181.6938</v>
      </c>
      <c r="G60" s="39">
        <v>155.31399999999999</v>
      </c>
      <c r="H60" s="30" t="s">
        <v>34</v>
      </c>
      <c r="K60" s="1" t="s">
        <v>21</v>
      </c>
      <c r="L60" s="1" t="s">
        <v>57</v>
      </c>
      <c r="M60" s="1" t="s">
        <v>21</v>
      </c>
      <c r="N60" s="1" t="s">
        <v>58</v>
      </c>
      <c r="O60" s="1">
        <v>3181.6938</v>
      </c>
      <c r="P60" s="1">
        <f t="shared" si="1"/>
        <v>1.5531399999999997E-28</v>
      </c>
      <c r="R60" s="212" t="str">
        <f t="shared" si="0"/>
        <v>CONH,H,CONH,e1,3181.6938,1.55314E-28</v>
      </c>
      <c r="X60" s="212" t="s">
        <v>911</v>
      </c>
    </row>
  </sheetData>
  <mergeCells count="1">
    <mergeCell ref="B2:H3"/>
  </mergeCells>
  <conditionalFormatting sqref="F5:F60">
    <cfRule type="cellIs" dxfId="8" priority="1" stopIfTrue="1" operator="lessThan">
      <formula>1000</formula>
    </cfRule>
    <cfRule type="cellIs" dxfId="7" priority="2" stopIfTrue="1" operator="lessThan">
      <formula>10000</formula>
    </cfRule>
  </conditionalFormatting>
  <conditionalFormatting sqref="G5:G60">
    <cfRule type="cellIs" dxfId="6" priority="3" stopIfTrue="1" operator="lessThan">
      <formula>0.01</formula>
    </cfRule>
    <cfRule type="cellIs" dxfId="5" priority="4" stopIfTrue="1" operator="lessThan">
      <formula>0.1</formula>
    </cfRule>
    <cfRule type="cellIs" dxfId="4" priority="5" stopIfTrue="1" operator="lessThan">
      <formula>1</formula>
    </cfRule>
    <cfRule type="cellIs" dxfId="3" priority="6" stopIfTrue="1" operator="lessThan">
      <formula>10</formula>
    </cfRule>
    <cfRule type="cellIs" dxfId="2" priority="7" stopIfTrue="1" operator="lessThan">
      <formula>100</formula>
    </cfRule>
    <cfRule type="cellIs" dxfId="1" priority="8" stopIfTrue="1" operator="lessThan">
      <formula>1000</formula>
    </cfRule>
    <cfRule type="cellIs" dxfId="0" priority="9" stopIfTrue="1" operator="lessThan">
      <formula>10000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A4DB3-B46B-477A-99D3-C3A4EFAD9E7F}">
  <sheetPr codeName="Sheet5">
    <pageSetUpPr autoPageBreaks="0"/>
  </sheetPr>
  <dimension ref="B1:M89"/>
  <sheetViews>
    <sheetView zoomScale="85" zoomScaleNormal="85" workbookViewId="0">
      <selection activeCell="M2" sqref="M2"/>
    </sheetView>
  </sheetViews>
  <sheetFormatPr defaultRowHeight="14.5"/>
  <cols>
    <col min="1" max="1" width="8.7265625" style="1"/>
    <col min="2" max="2" width="34.6328125" style="1" customWidth="1"/>
    <col min="3" max="3" width="10.08984375" style="1" customWidth="1"/>
    <col min="4" max="4" width="16.08984375" style="1" customWidth="1"/>
    <col min="5" max="5" width="10.08984375" style="1" customWidth="1"/>
    <col min="6" max="6" width="14.1796875" style="1" customWidth="1"/>
    <col min="7" max="7" width="10.08984375" style="1" customWidth="1"/>
    <col min="8" max="8" width="15.81640625" style="1" customWidth="1"/>
    <col min="9" max="9" width="10.08984375" style="1" customWidth="1"/>
    <col min="10" max="10" width="67.1796875" style="1" customWidth="1"/>
    <col min="11" max="12" width="8.7265625" style="1"/>
    <col min="13" max="13" width="36.54296875" style="1" customWidth="1"/>
    <col min="14" max="16384" width="8.7265625" style="1"/>
  </cols>
  <sheetData>
    <row r="1" spans="2:13" ht="15" thickBot="1"/>
    <row r="2" spans="2:13" ht="21.5" customHeight="1">
      <c r="B2" s="221" t="s">
        <v>74</v>
      </c>
      <c r="C2" s="222"/>
      <c r="D2" s="222"/>
      <c r="E2" s="222"/>
      <c r="F2" s="222"/>
      <c r="G2" s="222"/>
      <c r="H2" s="222"/>
      <c r="I2" s="222"/>
      <c r="J2" s="223"/>
    </row>
    <row r="3" spans="2:13" ht="21.5" customHeight="1" thickBot="1">
      <c r="B3" s="224"/>
      <c r="C3" s="225"/>
      <c r="D3" s="225"/>
      <c r="E3" s="225"/>
      <c r="F3" s="225"/>
      <c r="G3" s="225"/>
      <c r="H3" s="225"/>
      <c r="I3" s="225"/>
      <c r="J3" s="226"/>
    </row>
    <row r="4" spans="2:13" ht="15" thickBot="1">
      <c r="B4" s="196" t="s">
        <v>75</v>
      </c>
      <c r="C4" s="197" t="s">
        <v>76</v>
      </c>
      <c r="D4" s="197" t="s">
        <v>77</v>
      </c>
      <c r="E4" s="197" t="s">
        <v>78</v>
      </c>
      <c r="F4" s="197" t="s">
        <v>79</v>
      </c>
      <c r="G4" s="197" t="s">
        <v>80</v>
      </c>
      <c r="H4" s="197" t="s">
        <v>81</v>
      </c>
      <c r="I4" s="197" t="s">
        <v>82</v>
      </c>
      <c r="J4" s="198" t="s">
        <v>11</v>
      </c>
      <c r="L4" s="213" t="s">
        <v>680</v>
      </c>
      <c r="M4" s="214"/>
    </row>
    <row r="5" spans="2:13">
      <c r="B5" s="14" t="s">
        <v>83</v>
      </c>
      <c r="C5" s="38" t="s">
        <v>146</v>
      </c>
      <c r="D5" s="199" t="s">
        <v>235</v>
      </c>
      <c r="E5" s="199" t="s">
        <v>235</v>
      </c>
      <c r="F5" s="38">
        <v>21</v>
      </c>
      <c r="G5" s="75">
        <v>2.309762184418148</v>
      </c>
      <c r="H5" s="75">
        <v>1.0485020771428502</v>
      </c>
      <c r="I5" s="38" t="s">
        <v>236</v>
      </c>
      <c r="J5" s="15" t="s">
        <v>730</v>
      </c>
      <c r="L5" s="189">
        <v>1</v>
      </c>
      <c r="M5" s="190" t="s">
        <v>392</v>
      </c>
    </row>
    <row r="6" spans="2:13">
      <c r="B6" s="14" t="s">
        <v>84</v>
      </c>
      <c r="C6" s="38" t="s">
        <v>147</v>
      </c>
      <c r="D6" s="199" t="s">
        <v>235</v>
      </c>
      <c r="E6" s="199" t="s">
        <v>235</v>
      </c>
      <c r="F6" s="38">
        <v>10</v>
      </c>
      <c r="G6" s="75">
        <v>3.4541340849045108</v>
      </c>
      <c r="H6" s="75">
        <v>1.3074517599999977</v>
      </c>
      <c r="I6" s="38" t="s">
        <v>236</v>
      </c>
      <c r="J6" s="15">
        <v>13</v>
      </c>
      <c r="L6" s="189">
        <v>2</v>
      </c>
      <c r="M6" s="190" t="s">
        <v>407</v>
      </c>
    </row>
    <row r="7" spans="2:13">
      <c r="B7" s="14" t="s">
        <v>85</v>
      </c>
      <c r="C7" s="38" t="s">
        <v>148</v>
      </c>
      <c r="D7" s="199" t="s">
        <v>235</v>
      </c>
      <c r="E7" s="199" t="s">
        <v>235</v>
      </c>
      <c r="F7" s="38">
        <v>47</v>
      </c>
      <c r="G7" s="79">
        <v>17.01779894430123</v>
      </c>
      <c r="H7" s="75">
        <v>8.1581318059574457</v>
      </c>
      <c r="I7" s="38" t="s">
        <v>236</v>
      </c>
      <c r="J7" s="15" t="s">
        <v>728</v>
      </c>
      <c r="L7" s="189">
        <v>3</v>
      </c>
      <c r="M7" s="190" t="s">
        <v>698</v>
      </c>
    </row>
    <row r="8" spans="2:13">
      <c r="B8" s="14" t="s">
        <v>86</v>
      </c>
      <c r="C8" s="38" t="s">
        <v>149</v>
      </c>
      <c r="D8" s="199" t="s">
        <v>235</v>
      </c>
      <c r="E8" s="199" t="s">
        <v>235</v>
      </c>
      <c r="F8" s="38">
        <v>59</v>
      </c>
      <c r="G8" s="79">
        <v>21.182642023752944</v>
      </c>
      <c r="H8" s="78">
        <v>9.6429116467796644E-2</v>
      </c>
      <c r="I8" s="38" t="s">
        <v>237</v>
      </c>
      <c r="J8" s="15" t="s">
        <v>731</v>
      </c>
      <c r="L8" s="189">
        <v>4</v>
      </c>
      <c r="M8" s="190" t="s">
        <v>699</v>
      </c>
    </row>
    <row r="9" spans="2:13">
      <c r="B9" s="14" t="s">
        <v>87</v>
      </c>
      <c r="C9" s="38" t="s">
        <v>150</v>
      </c>
      <c r="D9" s="199" t="s">
        <v>235</v>
      </c>
      <c r="E9" s="199" t="s">
        <v>235</v>
      </c>
      <c r="F9" s="38">
        <v>39</v>
      </c>
      <c r="G9" s="79">
        <v>31.422584646522317</v>
      </c>
      <c r="H9" s="78">
        <v>0.41092096692307689</v>
      </c>
      <c r="I9" s="38" t="s">
        <v>237</v>
      </c>
      <c r="J9" s="15" t="s">
        <v>732</v>
      </c>
      <c r="L9" s="189">
        <v>5</v>
      </c>
      <c r="M9" s="190" t="s">
        <v>700</v>
      </c>
    </row>
    <row r="10" spans="2:13">
      <c r="B10" s="14" t="s">
        <v>88</v>
      </c>
      <c r="C10" s="38" t="s">
        <v>151</v>
      </c>
      <c r="D10" s="199" t="s">
        <v>235</v>
      </c>
      <c r="E10" s="199" t="s">
        <v>235</v>
      </c>
      <c r="F10" s="38">
        <v>19</v>
      </c>
      <c r="G10" s="75">
        <v>6.6741623496257683</v>
      </c>
      <c r="H10" s="78">
        <v>0.96306597894736823</v>
      </c>
      <c r="I10" s="38" t="s">
        <v>237</v>
      </c>
      <c r="J10" s="15" t="s">
        <v>733</v>
      </c>
      <c r="L10" s="189">
        <v>6</v>
      </c>
      <c r="M10" s="190" t="s">
        <v>701</v>
      </c>
    </row>
    <row r="11" spans="2:13">
      <c r="B11" s="14" t="s">
        <v>89</v>
      </c>
      <c r="C11" s="38" t="s">
        <v>152</v>
      </c>
      <c r="D11" s="199" t="s">
        <v>235</v>
      </c>
      <c r="E11" s="199" t="s">
        <v>235</v>
      </c>
      <c r="F11" s="38">
        <v>14</v>
      </c>
      <c r="G11" s="79">
        <v>34.22996264958919</v>
      </c>
      <c r="H11" s="75">
        <v>1.282651551428571</v>
      </c>
      <c r="I11" s="38" t="s">
        <v>237</v>
      </c>
      <c r="J11" s="15">
        <v>29</v>
      </c>
      <c r="L11" s="189">
        <v>7</v>
      </c>
      <c r="M11" s="190" t="s">
        <v>702</v>
      </c>
    </row>
    <row r="12" spans="2:13">
      <c r="B12" s="14" t="s">
        <v>90</v>
      </c>
      <c r="C12" s="38" t="s">
        <v>153</v>
      </c>
      <c r="D12" s="199" t="s">
        <v>235</v>
      </c>
      <c r="E12" s="199" t="s">
        <v>235</v>
      </c>
      <c r="F12" s="38">
        <v>30</v>
      </c>
      <c r="G12" s="79">
        <v>22.520305556290971</v>
      </c>
      <c r="H12" s="78">
        <v>0.24730179463636362</v>
      </c>
      <c r="I12" s="38" t="s">
        <v>237</v>
      </c>
      <c r="J12" s="15" t="s">
        <v>734</v>
      </c>
      <c r="L12" s="189">
        <v>8</v>
      </c>
      <c r="M12" s="190" t="s">
        <v>703</v>
      </c>
    </row>
    <row r="13" spans="2:13">
      <c r="B13" s="14" t="s">
        <v>91</v>
      </c>
      <c r="C13" s="38" t="s">
        <v>154</v>
      </c>
      <c r="D13" s="199" t="s">
        <v>235</v>
      </c>
      <c r="E13" s="199" t="s">
        <v>235</v>
      </c>
      <c r="F13" s="38">
        <v>18</v>
      </c>
      <c r="G13" s="79">
        <v>19.468826819982795</v>
      </c>
      <c r="H13" s="75">
        <v>1.2210683611111115</v>
      </c>
      <c r="I13" s="38" t="s">
        <v>237</v>
      </c>
      <c r="J13" s="15">
        <v>31</v>
      </c>
      <c r="L13" s="189">
        <v>9</v>
      </c>
      <c r="M13" s="190" t="s">
        <v>704</v>
      </c>
    </row>
    <row r="14" spans="2:13" ht="15" thickBot="1">
      <c r="B14" s="14" t="s">
        <v>92</v>
      </c>
      <c r="C14" s="38" t="s">
        <v>155</v>
      </c>
      <c r="D14" s="199" t="s">
        <v>235</v>
      </c>
      <c r="E14" s="199" t="s">
        <v>235</v>
      </c>
      <c r="F14" s="38">
        <v>20</v>
      </c>
      <c r="G14" s="75">
        <v>4.208375156719919</v>
      </c>
      <c r="H14" s="78">
        <v>4.4772522499999967E-2</v>
      </c>
      <c r="I14" s="38" t="s">
        <v>237</v>
      </c>
      <c r="J14" s="15">
        <v>26</v>
      </c>
      <c r="L14" s="189">
        <v>10</v>
      </c>
      <c r="M14" s="190" t="s">
        <v>705</v>
      </c>
    </row>
    <row r="15" spans="2:13" ht="15" thickBot="1">
      <c r="B15" s="196" t="s">
        <v>75</v>
      </c>
      <c r="C15" s="197" t="s">
        <v>76</v>
      </c>
      <c r="D15" s="197" t="s">
        <v>77</v>
      </c>
      <c r="E15" s="197" t="s">
        <v>78</v>
      </c>
      <c r="F15" s="197" t="s">
        <v>79</v>
      </c>
      <c r="G15" s="197" t="s">
        <v>80</v>
      </c>
      <c r="H15" s="197" t="s">
        <v>93</v>
      </c>
      <c r="I15" s="197" t="s">
        <v>82</v>
      </c>
      <c r="J15" s="198" t="s">
        <v>11</v>
      </c>
      <c r="L15" s="189">
        <v>11</v>
      </c>
      <c r="M15" s="190" t="s">
        <v>706</v>
      </c>
    </row>
    <row r="16" spans="2:13">
      <c r="B16" s="14" t="s">
        <v>83</v>
      </c>
      <c r="C16" s="38" t="s">
        <v>156</v>
      </c>
      <c r="D16" s="79">
        <v>101.325</v>
      </c>
      <c r="E16" s="199" t="s">
        <v>235</v>
      </c>
      <c r="F16" s="38">
        <v>11</v>
      </c>
      <c r="G16" s="75">
        <v>2.0989975932451057</v>
      </c>
      <c r="H16" s="79">
        <v>15.144369999999981</v>
      </c>
      <c r="I16" s="38" t="s">
        <v>241</v>
      </c>
      <c r="J16" s="15">
        <v>16</v>
      </c>
      <c r="L16" s="189">
        <v>12</v>
      </c>
      <c r="M16" s="190" t="s">
        <v>419</v>
      </c>
    </row>
    <row r="17" spans="2:13">
      <c r="B17" s="14" t="s">
        <v>84</v>
      </c>
      <c r="C17" s="38" t="s">
        <v>157</v>
      </c>
      <c r="D17" s="79">
        <v>101.325</v>
      </c>
      <c r="E17" s="199" t="s">
        <v>235</v>
      </c>
      <c r="F17" s="38">
        <v>8</v>
      </c>
      <c r="G17" s="75">
        <v>1.4033055697059695</v>
      </c>
      <c r="H17" s="75">
        <v>9.9755324999999857</v>
      </c>
      <c r="I17" s="38" t="s">
        <v>241</v>
      </c>
      <c r="J17" s="15" t="s">
        <v>729</v>
      </c>
      <c r="L17" s="189">
        <v>13</v>
      </c>
      <c r="M17" s="190" t="s">
        <v>707</v>
      </c>
    </row>
    <row r="18" spans="2:13">
      <c r="B18" s="14" t="s">
        <v>86</v>
      </c>
      <c r="C18" s="38" t="s">
        <v>158</v>
      </c>
      <c r="D18" s="79">
        <v>101.325</v>
      </c>
      <c r="E18" s="199" t="s">
        <v>235</v>
      </c>
      <c r="F18" s="38">
        <v>8</v>
      </c>
      <c r="G18" s="78">
        <v>0.32359140023065458</v>
      </c>
      <c r="H18" s="75">
        <v>3.0210750000000104</v>
      </c>
      <c r="I18" s="38" t="s">
        <v>242</v>
      </c>
      <c r="J18" s="15" t="s">
        <v>735</v>
      </c>
      <c r="L18" s="189">
        <v>14</v>
      </c>
      <c r="M18" s="190" t="s">
        <v>422</v>
      </c>
    </row>
    <row r="19" spans="2:13">
      <c r="B19" s="14" t="s">
        <v>90</v>
      </c>
      <c r="C19" s="38" t="s">
        <v>159</v>
      </c>
      <c r="D19" s="79">
        <v>101.325</v>
      </c>
      <c r="E19" s="199" t="s">
        <v>235</v>
      </c>
      <c r="F19" s="38">
        <v>29</v>
      </c>
      <c r="G19" s="78">
        <v>0.36994285765045781</v>
      </c>
      <c r="H19" s="75">
        <v>3.3752668965517403</v>
      </c>
      <c r="I19" s="38" t="s">
        <v>242</v>
      </c>
      <c r="J19" s="15" t="s">
        <v>736</v>
      </c>
      <c r="L19" s="189">
        <v>15</v>
      </c>
      <c r="M19" s="190" t="s">
        <v>708</v>
      </c>
    </row>
    <row r="20" spans="2:13" ht="15" thickBot="1">
      <c r="B20" s="14" t="s">
        <v>94</v>
      </c>
      <c r="C20" s="38" t="s">
        <v>160</v>
      </c>
      <c r="D20" s="79">
        <v>101.325</v>
      </c>
      <c r="E20" s="199" t="s">
        <v>235</v>
      </c>
      <c r="F20" s="38">
        <v>5</v>
      </c>
      <c r="G20" s="78">
        <v>0.32790046711665244</v>
      </c>
      <c r="H20" s="75">
        <v>2.9496820000000072</v>
      </c>
      <c r="I20" s="38" t="s">
        <v>242</v>
      </c>
      <c r="J20" s="15">
        <v>40</v>
      </c>
      <c r="L20" s="189">
        <v>16</v>
      </c>
      <c r="M20" s="190" t="s">
        <v>709</v>
      </c>
    </row>
    <row r="21" spans="2:13" ht="15" thickBot="1">
      <c r="B21" s="196" t="s">
        <v>144</v>
      </c>
      <c r="C21" s="197" t="s">
        <v>76</v>
      </c>
      <c r="D21" s="197" t="s">
        <v>77</v>
      </c>
      <c r="E21" s="197" t="s">
        <v>78</v>
      </c>
      <c r="F21" s="197" t="s">
        <v>79</v>
      </c>
      <c r="G21" s="197" t="s">
        <v>80</v>
      </c>
      <c r="H21" s="197" t="s">
        <v>93</v>
      </c>
      <c r="I21" s="197" t="s">
        <v>82</v>
      </c>
      <c r="J21" s="198" t="s">
        <v>11</v>
      </c>
      <c r="L21" s="189">
        <v>17</v>
      </c>
      <c r="M21" s="190" t="s">
        <v>710</v>
      </c>
    </row>
    <row r="22" spans="2:13">
      <c r="B22" s="14" t="s">
        <v>134</v>
      </c>
      <c r="C22" s="38" t="s">
        <v>161</v>
      </c>
      <c r="D22" s="79">
        <v>101.325</v>
      </c>
      <c r="E22" s="38" t="s">
        <v>162</v>
      </c>
      <c r="F22" s="38">
        <v>40</v>
      </c>
      <c r="G22" s="78">
        <v>0.32738402690733437</v>
      </c>
      <c r="H22" s="75">
        <v>3.3077354999999953</v>
      </c>
      <c r="I22" s="38" t="s">
        <v>243</v>
      </c>
      <c r="J22" s="15">
        <v>2</v>
      </c>
      <c r="L22" s="189">
        <v>18</v>
      </c>
      <c r="M22" s="190" t="s">
        <v>711</v>
      </c>
    </row>
    <row r="23" spans="2:13">
      <c r="B23" s="14" t="s">
        <v>135</v>
      </c>
      <c r="C23" s="38" t="s">
        <v>161</v>
      </c>
      <c r="D23" s="79">
        <v>101.325</v>
      </c>
      <c r="E23" s="38" t="s">
        <v>162</v>
      </c>
      <c r="F23" s="38">
        <v>40</v>
      </c>
      <c r="G23" s="78">
        <v>0.31632228739184376</v>
      </c>
      <c r="H23" s="75">
        <v>3.1921580000000147</v>
      </c>
      <c r="I23" s="199" t="s">
        <v>235</v>
      </c>
      <c r="J23" s="15">
        <v>2</v>
      </c>
      <c r="L23" s="189">
        <v>19</v>
      </c>
      <c r="M23" s="190" t="s">
        <v>435</v>
      </c>
    </row>
    <row r="24" spans="2:13">
      <c r="B24" s="14" t="s">
        <v>136</v>
      </c>
      <c r="C24" s="38" t="s">
        <v>161</v>
      </c>
      <c r="D24" s="79">
        <v>101.325</v>
      </c>
      <c r="E24" s="38" t="s">
        <v>162</v>
      </c>
      <c r="F24" s="38">
        <v>40</v>
      </c>
      <c r="G24" s="78">
        <v>0.32328582858162114</v>
      </c>
      <c r="H24" s="75">
        <v>3.2607372499999969</v>
      </c>
      <c r="I24" s="199" t="s">
        <v>235</v>
      </c>
      <c r="J24" s="15">
        <v>2</v>
      </c>
      <c r="L24" s="189">
        <v>20</v>
      </c>
      <c r="M24" s="190" t="s">
        <v>427</v>
      </c>
    </row>
    <row r="25" spans="2:13">
      <c r="B25" s="14" t="s">
        <v>137</v>
      </c>
      <c r="C25" s="38" t="s">
        <v>161</v>
      </c>
      <c r="D25" s="79">
        <v>101.325</v>
      </c>
      <c r="E25" s="38" t="s">
        <v>162</v>
      </c>
      <c r="F25" s="38">
        <v>35</v>
      </c>
      <c r="G25" s="78">
        <v>0.45282885401691131</v>
      </c>
      <c r="H25" s="75">
        <v>4.6419017142857033</v>
      </c>
      <c r="I25" s="199" t="s">
        <v>235</v>
      </c>
      <c r="J25" s="15">
        <v>2</v>
      </c>
      <c r="L25" s="189">
        <v>21</v>
      </c>
      <c r="M25" s="190" t="s">
        <v>439</v>
      </c>
    </row>
    <row r="26" spans="2:13">
      <c r="B26" s="14" t="s">
        <v>138</v>
      </c>
      <c r="C26" s="38" t="s">
        <v>163</v>
      </c>
      <c r="D26" s="79">
        <v>81.5</v>
      </c>
      <c r="E26" s="38" t="s">
        <v>164</v>
      </c>
      <c r="F26" s="38">
        <v>52</v>
      </c>
      <c r="G26" s="75">
        <v>1.7764237390156785</v>
      </c>
      <c r="H26" s="79">
        <v>13.251074807692307</v>
      </c>
      <c r="I26" s="199" t="s">
        <v>235</v>
      </c>
      <c r="J26" s="15">
        <v>6</v>
      </c>
      <c r="L26" s="189">
        <v>22</v>
      </c>
      <c r="M26" s="190" t="s">
        <v>712</v>
      </c>
    </row>
    <row r="27" spans="2:13">
      <c r="B27" s="14" t="s">
        <v>139</v>
      </c>
      <c r="C27" s="38" t="s">
        <v>163</v>
      </c>
      <c r="D27" s="79">
        <v>81.5</v>
      </c>
      <c r="E27" s="38" t="s">
        <v>164</v>
      </c>
      <c r="F27" s="38">
        <v>52</v>
      </c>
      <c r="G27" s="78">
        <v>0.7513426400805433</v>
      </c>
      <c r="H27" s="75">
        <v>5.6664144230769358</v>
      </c>
      <c r="I27" s="199" t="s">
        <v>235</v>
      </c>
      <c r="J27" s="15">
        <v>6</v>
      </c>
      <c r="L27" s="189">
        <v>23</v>
      </c>
      <c r="M27" s="190" t="s">
        <v>713</v>
      </c>
    </row>
    <row r="28" spans="2:13">
      <c r="B28" s="14" t="s">
        <v>140</v>
      </c>
      <c r="C28" s="38" t="s">
        <v>165</v>
      </c>
      <c r="D28" s="79">
        <v>101.325</v>
      </c>
      <c r="E28" s="38" t="s">
        <v>166</v>
      </c>
      <c r="F28" s="38">
        <v>21</v>
      </c>
      <c r="G28" s="78">
        <v>0.8210048268312059</v>
      </c>
      <c r="H28" s="75">
        <v>6.2483880952380995</v>
      </c>
      <c r="I28" s="199" t="s">
        <v>235</v>
      </c>
      <c r="J28" s="15">
        <v>7</v>
      </c>
      <c r="L28" s="189">
        <v>24</v>
      </c>
      <c r="M28" s="190" t="s">
        <v>451</v>
      </c>
    </row>
    <row r="29" spans="2:13">
      <c r="B29" s="14" t="s">
        <v>141</v>
      </c>
      <c r="C29" s="38" t="s">
        <v>167</v>
      </c>
      <c r="D29" s="79">
        <v>101.325</v>
      </c>
      <c r="E29" s="38" t="s">
        <v>164</v>
      </c>
      <c r="F29" s="38">
        <v>33</v>
      </c>
      <c r="G29" s="78">
        <v>0.59385163385061612</v>
      </c>
      <c r="H29" s="75">
        <v>4.5387790909090988</v>
      </c>
      <c r="I29" s="199" t="s">
        <v>235</v>
      </c>
      <c r="J29" s="15">
        <v>8</v>
      </c>
      <c r="L29" s="189">
        <v>25</v>
      </c>
      <c r="M29" s="190" t="s">
        <v>452</v>
      </c>
    </row>
    <row r="30" spans="2:13">
      <c r="B30" s="14" t="s">
        <v>142</v>
      </c>
      <c r="C30" s="38" t="s">
        <v>167</v>
      </c>
      <c r="D30" s="79">
        <v>101.325</v>
      </c>
      <c r="E30" s="38" t="s">
        <v>164</v>
      </c>
      <c r="F30" s="38">
        <v>33</v>
      </c>
      <c r="G30" s="78">
        <v>0.35390635899049483</v>
      </c>
      <c r="H30" s="75">
        <v>2.6960303030302977</v>
      </c>
      <c r="I30" s="199" t="s">
        <v>235</v>
      </c>
      <c r="J30" s="15">
        <v>8</v>
      </c>
      <c r="L30" s="189">
        <v>26</v>
      </c>
      <c r="M30" s="190" t="s">
        <v>454</v>
      </c>
    </row>
    <row r="31" spans="2:13">
      <c r="B31" s="14" t="s">
        <v>143</v>
      </c>
      <c r="C31" s="38" t="s">
        <v>168</v>
      </c>
      <c r="D31" s="79">
        <v>101.325</v>
      </c>
      <c r="E31" s="38" t="s">
        <v>164</v>
      </c>
      <c r="F31" s="38">
        <v>84</v>
      </c>
      <c r="G31" s="75">
        <v>1.3448866377403794</v>
      </c>
      <c r="H31" s="79">
        <v>12.053254880952373</v>
      </c>
      <c r="I31" s="199" t="s">
        <v>235</v>
      </c>
      <c r="J31" s="15">
        <v>11</v>
      </c>
      <c r="L31" s="189">
        <v>27</v>
      </c>
      <c r="M31" s="190" t="s">
        <v>714</v>
      </c>
    </row>
    <row r="32" spans="2:13">
      <c r="B32" s="14" t="s">
        <v>95</v>
      </c>
      <c r="C32" s="38" t="s">
        <v>169</v>
      </c>
      <c r="D32" s="79">
        <v>101.33</v>
      </c>
      <c r="E32" s="38" t="s">
        <v>170</v>
      </c>
      <c r="F32" s="38">
        <v>107</v>
      </c>
      <c r="G32" s="75">
        <v>1.2758008561493173</v>
      </c>
      <c r="H32" s="79">
        <v>12.474636957517186</v>
      </c>
      <c r="I32" s="199" t="s">
        <v>235</v>
      </c>
      <c r="J32" s="15" t="s">
        <v>738</v>
      </c>
      <c r="L32" s="189">
        <v>28</v>
      </c>
      <c r="M32" s="190" t="s">
        <v>457</v>
      </c>
    </row>
    <row r="33" spans="2:13">
      <c r="B33" s="14" t="s">
        <v>96</v>
      </c>
      <c r="C33" s="38">
        <v>298</v>
      </c>
      <c r="D33" s="79">
        <v>101.33</v>
      </c>
      <c r="E33" s="38" t="s">
        <v>164</v>
      </c>
      <c r="F33" s="38">
        <v>19</v>
      </c>
      <c r="G33" s="75">
        <v>1.9344166571230439</v>
      </c>
      <c r="H33" s="79">
        <v>18.629440962244782</v>
      </c>
      <c r="I33" s="199" t="s">
        <v>235</v>
      </c>
      <c r="J33" s="15">
        <v>44</v>
      </c>
      <c r="L33" s="189">
        <v>29</v>
      </c>
      <c r="M33" s="190" t="s">
        <v>459</v>
      </c>
    </row>
    <row r="34" spans="2:13">
      <c r="B34" s="14" t="s">
        <v>97</v>
      </c>
      <c r="C34" s="38" t="s">
        <v>171</v>
      </c>
      <c r="D34" s="79">
        <v>101.33</v>
      </c>
      <c r="E34" s="38" t="s">
        <v>164</v>
      </c>
      <c r="F34" s="38">
        <v>20</v>
      </c>
      <c r="G34" s="75">
        <v>1.0680468424219798</v>
      </c>
      <c r="H34" s="79">
        <v>10.290939080857044</v>
      </c>
      <c r="I34" s="199" t="s">
        <v>235</v>
      </c>
      <c r="J34" s="15">
        <v>44</v>
      </c>
      <c r="L34" s="189">
        <v>30</v>
      </c>
      <c r="M34" s="190" t="s">
        <v>461</v>
      </c>
    </row>
    <row r="35" spans="2:13">
      <c r="B35" s="14" t="s">
        <v>98</v>
      </c>
      <c r="C35" s="38" t="s">
        <v>172</v>
      </c>
      <c r="D35" s="79">
        <v>101.33</v>
      </c>
      <c r="E35" s="38" t="s">
        <v>173</v>
      </c>
      <c r="F35" s="38">
        <v>256</v>
      </c>
      <c r="G35" s="78">
        <v>0.76028473121520368</v>
      </c>
      <c r="H35" s="75">
        <v>7.7321221717326987</v>
      </c>
      <c r="I35" s="38" t="s">
        <v>247</v>
      </c>
      <c r="J35" s="15" t="s">
        <v>742</v>
      </c>
      <c r="L35" s="189">
        <v>31</v>
      </c>
      <c r="M35" s="190" t="s">
        <v>463</v>
      </c>
    </row>
    <row r="36" spans="2:13">
      <c r="B36" s="14" t="s">
        <v>99</v>
      </c>
      <c r="C36" s="38" t="s">
        <v>157</v>
      </c>
      <c r="D36" s="79">
        <v>101.33</v>
      </c>
      <c r="E36" s="38" t="s">
        <v>174</v>
      </c>
      <c r="F36" s="38">
        <v>76</v>
      </c>
      <c r="G36" s="78">
        <v>0.74949584798417046</v>
      </c>
      <c r="H36" s="75">
        <v>7.585401369565214</v>
      </c>
      <c r="I36" s="38" t="s">
        <v>247</v>
      </c>
      <c r="J36" s="15" t="s">
        <v>741</v>
      </c>
      <c r="L36" s="189">
        <v>32</v>
      </c>
      <c r="M36" s="190" t="s">
        <v>472</v>
      </c>
    </row>
    <row r="37" spans="2:13" ht="15" thickBot="1">
      <c r="B37" s="14" t="s">
        <v>100</v>
      </c>
      <c r="C37" s="38" t="s">
        <v>175</v>
      </c>
      <c r="D37" s="79">
        <v>101.33</v>
      </c>
      <c r="E37" s="38" t="s">
        <v>176</v>
      </c>
      <c r="F37" s="38">
        <v>30</v>
      </c>
      <c r="G37" s="78">
        <v>0.54215258617258422</v>
      </c>
      <c r="H37" s="75">
        <v>5.413773333333336</v>
      </c>
      <c r="I37" s="38" t="s">
        <v>247</v>
      </c>
      <c r="J37" s="15">
        <v>52</v>
      </c>
      <c r="L37" s="189">
        <v>33</v>
      </c>
      <c r="M37" s="190" t="s">
        <v>473</v>
      </c>
    </row>
    <row r="38" spans="2:13" ht="15" thickBot="1">
      <c r="B38" s="196" t="s">
        <v>145</v>
      </c>
      <c r="C38" s="197" t="s">
        <v>76</v>
      </c>
      <c r="D38" s="197" t="s">
        <v>77</v>
      </c>
      <c r="E38" s="197" t="s">
        <v>78</v>
      </c>
      <c r="F38" s="197" t="s">
        <v>79</v>
      </c>
      <c r="G38" s="197" t="s">
        <v>80</v>
      </c>
      <c r="H38" s="197" t="s">
        <v>101</v>
      </c>
      <c r="I38" s="197" t="s">
        <v>82</v>
      </c>
      <c r="J38" s="198" t="s">
        <v>11</v>
      </c>
      <c r="L38" s="189">
        <v>34</v>
      </c>
      <c r="M38" s="190" t="s">
        <v>474</v>
      </c>
    </row>
    <row r="39" spans="2:13">
      <c r="B39" s="14" t="s">
        <v>102</v>
      </c>
      <c r="C39" s="38" t="s">
        <v>177</v>
      </c>
      <c r="D39" s="38">
        <v>101.33</v>
      </c>
      <c r="E39" s="38" t="s">
        <v>164</v>
      </c>
      <c r="F39" s="38">
        <v>18</v>
      </c>
      <c r="G39" s="78">
        <v>0.28287195491681077</v>
      </c>
      <c r="H39" s="75">
        <v>1.1011922222222255</v>
      </c>
      <c r="I39" s="199" t="s">
        <v>235</v>
      </c>
      <c r="J39" s="15">
        <v>9</v>
      </c>
      <c r="L39" s="189">
        <v>35</v>
      </c>
      <c r="M39" s="190" t="s">
        <v>475</v>
      </c>
    </row>
    <row r="40" spans="2:13">
      <c r="B40" s="14" t="s">
        <v>95</v>
      </c>
      <c r="C40" s="38" t="s">
        <v>178</v>
      </c>
      <c r="D40" s="38">
        <v>101.33</v>
      </c>
      <c r="E40" s="38" t="s">
        <v>164</v>
      </c>
      <c r="F40" s="38">
        <v>82</v>
      </c>
      <c r="G40" s="78">
        <v>0.46845083361796286</v>
      </c>
      <c r="H40" s="75">
        <v>1.992009358791486</v>
      </c>
      <c r="I40" s="38" t="s">
        <v>238</v>
      </c>
      <c r="J40" s="15">
        <v>43</v>
      </c>
      <c r="L40" s="189">
        <v>36</v>
      </c>
      <c r="M40" s="190" t="s">
        <v>715</v>
      </c>
    </row>
    <row r="41" spans="2:13" ht="15" thickBot="1">
      <c r="B41" s="14" t="s">
        <v>103</v>
      </c>
      <c r="C41" s="38" t="s">
        <v>179</v>
      </c>
      <c r="D41" s="38">
        <v>101.33</v>
      </c>
      <c r="E41" s="38" t="s">
        <v>164</v>
      </c>
      <c r="F41" s="38">
        <v>31</v>
      </c>
      <c r="G41" s="75">
        <v>1.6394327939277507</v>
      </c>
      <c r="H41" s="75">
        <v>6.8794075891639386</v>
      </c>
      <c r="I41" s="38" t="s">
        <v>248</v>
      </c>
      <c r="J41" s="15">
        <v>54</v>
      </c>
      <c r="L41" s="189">
        <v>37</v>
      </c>
      <c r="M41" s="190" t="s">
        <v>716</v>
      </c>
    </row>
    <row r="42" spans="2:13" ht="15" thickBot="1">
      <c r="B42" s="196" t="s">
        <v>145</v>
      </c>
      <c r="C42" s="197" t="s">
        <v>76</v>
      </c>
      <c r="D42" s="197" t="s">
        <v>77</v>
      </c>
      <c r="E42" s="197" t="s">
        <v>78</v>
      </c>
      <c r="F42" s="197" t="s">
        <v>79</v>
      </c>
      <c r="G42" s="197" t="s">
        <v>80</v>
      </c>
      <c r="H42" s="197" t="s">
        <v>101</v>
      </c>
      <c r="I42" s="197" t="s">
        <v>82</v>
      </c>
      <c r="J42" s="198" t="s">
        <v>11</v>
      </c>
      <c r="L42" s="189">
        <v>38</v>
      </c>
      <c r="M42" s="190" t="s">
        <v>477</v>
      </c>
    </row>
    <row r="43" spans="2:13">
      <c r="B43" s="14" t="s">
        <v>102</v>
      </c>
      <c r="C43" s="38" t="s">
        <v>177</v>
      </c>
      <c r="D43" s="38">
        <v>101.33</v>
      </c>
      <c r="E43" s="38" t="s">
        <v>164</v>
      </c>
      <c r="F43" s="38">
        <v>18</v>
      </c>
      <c r="G43" s="78">
        <v>0.50967795645090141</v>
      </c>
      <c r="H43" s="75">
        <v>1.9863383333333313</v>
      </c>
      <c r="I43" s="199" t="s">
        <v>235</v>
      </c>
      <c r="J43" s="15">
        <v>9</v>
      </c>
      <c r="L43" s="189">
        <v>39</v>
      </c>
      <c r="M43" s="190" t="s">
        <v>717</v>
      </c>
    </row>
    <row r="44" spans="2:13">
      <c r="B44" s="14" t="s">
        <v>95</v>
      </c>
      <c r="C44" s="38" t="s">
        <v>178</v>
      </c>
      <c r="D44" s="38">
        <v>101.33</v>
      </c>
      <c r="E44" s="38" t="s">
        <v>164</v>
      </c>
      <c r="F44" s="38">
        <v>82</v>
      </c>
      <c r="G44" s="78">
        <v>0.77992926226581161</v>
      </c>
      <c r="H44" s="75">
        <v>3.3029943567810287</v>
      </c>
      <c r="I44" s="38" t="s">
        <v>238</v>
      </c>
      <c r="J44" s="15">
        <v>43</v>
      </c>
      <c r="L44" s="189">
        <v>40</v>
      </c>
      <c r="M44" s="190" t="s">
        <v>479</v>
      </c>
    </row>
    <row r="45" spans="2:13" ht="15" thickBot="1">
      <c r="B45" s="14" t="s">
        <v>103</v>
      </c>
      <c r="C45" s="38" t="s">
        <v>180</v>
      </c>
      <c r="D45" s="38">
        <v>101.33</v>
      </c>
      <c r="E45" s="38" t="s">
        <v>164</v>
      </c>
      <c r="F45" s="38">
        <v>31</v>
      </c>
      <c r="G45" s="78">
        <v>0.69342962413824649</v>
      </c>
      <c r="H45" s="75">
        <v>2.9448051688215466</v>
      </c>
      <c r="I45" s="38" t="s">
        <v>248</v>
      </c>
      <c r="J45" s="15">
        <v>54</v>
      </c>
      <c r="L45" s="189">
        <v>41</v>
      </c>
      <c r="M45" s="190" t="s">
        <v>502</v>
      </c>
    </row>
    <row r="46" spans="2:13" ht="15" thickBot="1">
      <c r="B46" s="196" t="s">
        <v>145</v>
      </c>
      <c r="C46" s="197" t="s">
        <v>76</v>
      </c>
      <c r="D46" s="197" t="s">
        <v>77</v>
      </c>
      <c r="E46" s="197" t="s">
        <v>78</v>
      </c>
      <c r="F46" s="197" t="s">
        <v>79</v>
      </c>
      <c r="G46" s="197" t="s">
        <v>80</v>
      </c>
      <c r="H46" s="197" t="s">
        <v>81</v>
      </c>
      <c r="I46" s="197" t="s">
        <v>82</v>
      </c>
      <c r="J46" s="198" t="s">
        <v>11</v>
      </c>
      <c r="L46" s="189">
        <v>42</v>
      </c>
      <c r="M46" s="190" t="s">
        <v>718</v>
      </c>
    </row>
    <row r="47" spans="2:13">
      <c r="B47" s="14" t="s">
        <v>104</v>
      </c>
      <c r="C47" s="38">
        <v>298</v>
      </c>
      <c r="D47" s="38" t="s">
        <v>181</v>
      </c>
      <c r="E47" s="38" t="s">
        <v>182</v>
      </c>
      <c r="F47" s="38">
        <v>14</v>
      </c>
      <c r="G47" s="78">
        <v>0.65631226419176536</v>
      </c>
      <c r="H47" s="78">
        <v>2.0501221428571421E-2</v>
      </c>
      <c r="I47" s="38" t="s">
        <v>240</v>
      </c>
      <c r="J47" s="15">
        <v>1</v>
      </c>
      <c r="L47" s="189">
        <v>43</v>
      </c>
      <c r="M47" s="190" t="s">
        <v>448</v>
      </c>
    </row>
    <row r="48" spans="2:13">
      <c r="B48" s="14" t="s">
        <v>105</v>
      </c>
      <c r="C48" s="38">
        <v>328</v>
      </c>
      <c r="D48" s="38" t="s">
        <v>183</v>
      </c>
      <c r="E48" s="38" t="s">
        <v>164</v>
      </c>
      <c r="F48" s="38">
        <v>12</v>
      </c>
      <c r="G48" s="75">
        <v>9.0118202384367976</v>
      </c>
      <c r="H48" s="75">
        <v>2.1775985833333329</v>
      </c>
      <c r="I48" s="199" t="s">
        <v>235</v>
      </c>
      <c r="J48" s="15">
        <v>3</v>
      </c>
      <c r="L48" s="189">
        <v>44</v>
      </c>
      <c r="M48" s="190" t="s">
        <v>719</v>
      </c>
    </row>
    <row r="49" spans="2:13">
      <c r="B49" s="14" t="s">
        <v>106</v>
      </c>
      <c r="C49" s="38" t="s">
        <v>184</v>
      </c>
      <c r="D49" s="38" t="s">
        <v>185</v>
      </c>
      <c r="E49" s="38" t="s">
        <v>164</v>
      </c>
      <c r="F49" s="38">
        <v>50</v>
      </c>
      <c r="G49" s="79">
        <v>15.608619731257068</v>
      </c>
      <c r="H49" s="75">
        <v>5.1998498859999991</v>
      </c>
      <c r="I49" s="199" t="s">
        <v>235</v>
      </c>
      <c r="J49" s="15">
        <v>10</v>
      </c>
      <c r="L49" s="189">
        <v>45</v>
      </c>
      <c r="M49" s="190" t="s">
        <v>720</v>
      </c>
    </row>
    <row r="50" spans="2:13">
      <c r="B50" s="14" t="s">
        <v>107</v>
      </c>
      <c r="C50" s="38" t="s">
        <v>186</v>
      </c>
      <c r="D50" s="38" t="s">
        <v>187</v>
      </c>
      <c r="E50" s="38" t="s">
        <v>188</v>
      </c>
      <c r="F50" s="38">
        <v>100</v>
      </c>
      <c r="G50" s="75">
        <v>4.3415759144989199</v>
      </c>
      <c r="H50" s="150">
        <v>140.75746680000003</v>
      </c>
      <c r="I50" s="38" t="s">
        <v>244</v>
      </c>
      <c r="J50" s="15">
        <v>19</v>
      </c>
      <c r="L50" s="189">
        <v>46</v>
      </c>
      <c r="M50" s="190" t="s">
        <v>523</v>
      </c>
    </row>
    <row r="51" spans="2:13">
      <c r="B51" s="14" t="s">
        <v>108</v>
      </c>
      <c r="C51" s="38" t="s">
        <v>189</v>
      </c>
      <c r="D51" s="38" t="s">
        <v>190</v>
      </c>
      <c r="E51" s="38" t="s">
        <v>191</v>
      </c>
      <c r="F51" s="38">
        <v>63</v>
      </c>
      <c r="G51" s="75">
        <v>5.2627136897768176</v>
      </c>
      <c r="H51" s="75">
        <v>4.171909523809525</v>
      </c>
      <c r="I51" s="38" t="s">
        <v>249</v>
      </c>
      <c r="J51" s="15">
        <v>20</v>
      </c>
      <c r="L51" s="189">
        <v>47</v>
      </c>
      <c r="M51" s="190" t="s">
        <v>524</v>
      </c>
    </row>
    <row r="52" spans="2:13">
      <c r="B52" s="14" t="s">
        <v>109</v>
      </c>
      <c r="C52" s="38" t="s">
        <v>192</v>
      </c>
      <c r="D52" s="38" t="s">
        <v>193</v>
      </c>
      <c r="E52" s="38" t="s">
        <v>164</v>
      </c>
      <c r="F52" s="38">
        <v>45</v>
      </c>
      <c r="G52" s="79">
        <v>26.815410086803585</v>
      </c>
      <c r="H52" s="75">
        <v>9.45950799111111</v>
      </c>
      <c r="I52" s="38" t="s">
        <v>239</v>
      </c>
      <c r="J52" s="15" t="s">
        <v>737</v>
      </c>
      <c r="L52" s="189">
        <v>48</v>
      </c>
      <c r="M52" s="190" t="s">
        <v>518</v>
      </c>
    </row>
    <row r="53" spans="2:13">
      <c r="B53" s="14" t="s">
        <v>110</v>
      </c>
      <c r="C53" s="38">
        <v>414</v>
      </c>
      <c r="D53" s="38" t="s">
        <v>194</v>
      </c>
      <c r="E53" s="38" t="s">
        <v>164</v>
      </c>
      <c r="F53" s="38">
        <v>43</v>
      </c>
      <c r="G53" s="79">
        <v>30.088188008917889</v>
      </c>
      <c r="H53" s="75">
        <v>8.6597409767441871</v>
      </c>
      <c r="I53" s="199" t="s">
        <v>235</v>
      </c>
      <c r="J53" s="15">
        <v>42</v>
      </c>
      <c r="L53" s="189">
        <v>49</v>
      </c>
      <c r="M53" s="190" t="s">
        <v>721</v>
      </c>
    </row>
    <row r="54" spans="2:13">
      <c r="B54" s="14" t="s">
        <v>111</v>
      </c>
      <c r="C54" s="38" t="s">
        <v>195</v>
      </c>
      <c r="D54" s="38" t="s">
        <v>196</v>
      </c>
      <c r="E54" s="38" t="s">
        <v>164</v>
      </c>
      <c r="F54" s="38">
        <v>24</v>
      </c>
      <c r="G54" s="75">
        <v>8.1725517477680043</v>
      </c>
      <c r="H54" s="78">
        <v>0.70782182500000002</v>
      </c>
      <c r="I54" s="199" t="s">
        <v>235</v>
      </c>
      <c r="J54" s="15">
        <v>24</v>
      </c>
      <c r="L54" s="189">
        <v>50</v>
      </c>
      <c r="M54" s="190" t="s">
        <v>541</v>
      </c>
    </row>
    <row r="55" spans="2:13">
      <c r="B55" s="14" t="s">
        <v>112</v>
      </c>
      <c r="C55" s="38" t="s">
        <v>195</v>
      </c>
      <c r="D55" s="38" t="s">
        <v>197</v>
      </c>
      <c r="E55" s="38" t="s">
        <v>164</v>
      </c>
      <c r="F55" s="38">
        <v>30</v>
      </c>
      <c r="G55" s="79">
        <v>12.123966155413386</v>
      </c>
      <c r="H55" s="75">
        <v>4.0977444599999986</v>
      </c>
      <c r="I55" s="199" t="s">
        <v>235</v>
      </c>
      <c r="J55" s="15">
        <v>24</v>
      </c>
      <c r="L55" s="189">
        <v>51</v>
      </c>
      <c r="M55" s="190" t="s">
        <v>542</v>
      </c>
    </row>
    <row r="56" spans="2:13" ht="15" thickBot="1">
      <c r="B56" s="14" t="s">
        <v>95</v>
      </c>
      <c r="C56" s="38" t="s">
        <v>198</v>
      </c>
      <c r="D56" s="38" t="s">
        <v>199</v>
      </c>
      <c r="E56" s="38" t="s">
        <v>164</v>
      </c>
      <c r="F56" s="38">
        <v>67</v>
      </c>
      <c r="G56" s="75">
        <v>5.9570330690192801</v>
      </c>
      <c r="H56" s="75">
        <v>2.5964032031816284</v>
      </c>
      <c r="I56" s="38" t="s">
        <v>250</v>
      </c>
      <c r="J56" s="15" t="s">
        <v>739</v>
      </c>
      <c r="L56" s="189">
        <v>52</v>
      </c>
      <c r="M56" s="190" t="s">
        <v>543</v>
      </c>
    </row>
    <row r="57" spans="2:13" ht="15" thickBot="1">
      <c r="B57" s="196" t="s">
        <v>145</v>
      </c>
      <c r="C57" s="197" t="s">
        <v>76</v>
      </c>
      <c r="D57" s="197" t="s">
        <v>77</v>
      </c>
      <c r="E57" s="197" t="s">
        <v>78</v>
      </c>
      <c r="F57" s="197" t="s">
        <v>79</v>
      </c>
      <c r="G57" s="197" t="s">
        <v>80</v>
      </c>
      <c r="H57" s="197" t="s">
        <v>81</v>
      </c>
      <c r="I57" s="197" t="s">
        <v>82</v>
      </c>
      <c r="J57" s="198" t="s">
        <v>11</v>
      </c>
      <c r="L57" s="189">
        <v>53</v>
      </c>
      <c r="M57" s="190" t="s">
        <v>545</v>
      </c>
    </row>
    <row r="58" spans="2:13">
      <c r="B58" s="14" t="s">
        <v>105</v>
      </c>
      <c r="C58" s="38">
        <v>328</v>
      </c>
      <c r="D58" s="38" t="s">
        <v>183</v>
      </c>
      <c r="E58" s="38" t="s">
        <v>164</v>
      </c>
      <c r="F58" s="38">
        <v>12</v>
      </c>
      <c r="G58" s="75">
        <v>9.192128263667124</v>
      </c>
      <c r="H58" s="75">
        <v>2.503417499999999</v>
      </c>
      <c r="I58" s="199" t="s">
        <v>235</v>
      </c>
      <c r="J58" s="15">
        <v>3</v>
      </c>
      <c r="L58" s="189">
        <v>54</v>
      </c>
      <c r="M58" s="190" t="s">
        <v>554</v>
      </c>
    </row>
    <row r="59" spans="2:13">
      <c r="B59" s="14" t="s">
        <v>106</v>
      </c>
      <c r="C59" s="38" t="s">
        <v>184</v>
      </c>
      <c r="D59" s="38" t="s">
        <v>185</v>
      </c>
      <c r="E59" s="38" t="s">
        <v>164</v>
      </c>
      <c r="F59" s="38">
        <v>50</v>
      </c>
      <c r="G59" s="79">
        <v>15.75476860611448</v>
      </c>
      <c r="H59" s="75">
        <v>6.0925926459999991</v>
      </c>
      <c r="I59" s="199" t="s">
        <v>235</v>
      </c>
      <c r="J59" s="15">
        <v>10</v>
      </c>
      <c r="L59" s="189">
        <v>55</v>
      </c>
      <c r="M59" s="190" t="s">
        <v>544</v>
      </c>
    </row>
    <row r="60" spans="2:13">
      <c r="B60" s="14" t="s">
        <v>107</v>
      </c>
      <c r="C60" s="38" t="s">
        <v>200</v>
      </c>
      <c r="D60" s="38" t="s">
        <v>201</v>
      </c>
      <c r="E60" s="38" t="s">
        <v>202</v>
      </c>
      <c r="F60" s="38">
        <v>73</v>
      </c>
      <c r="G60" s="75">
        <v>5.9576597787001564</v>
      </c>
      <c r="H60" s="150">
        <v>152.97885424657528</v>
      </c>
      <c r="I60" s="38" t="s">
        <v>244</v>
      </c>
      <c r="J60" s="15">
        <v>19</v>
      </c>
      <c r="L60" s="189">
        <v>56</v>
      </c>
      <c r="M60" s="190" t="s">
        <v>722</v>
      </c>
    </row>
    <row r="61" spans="2:13" ht="15" thickBot="1">
      <c r="B61" s="14" t="s">
        <v>95</v>
      </c>
      <c r="C61" s="38" t="s">
        <v>203</v>
      </c>
      <c r="D61" s="38" t="s">
        <v>204</v>
      </c>
      <c r="E61" s="38" t="s">
        <v>164</v>
      </c>
      <c r="F61" s="38">
        <v>47</v>
      </c>
      <c r="G61" s="79">
        <v>15.579336496319375</v>
      </c>
      <c r="H61" s="75">
        <v>1.780060122076659</v>
      </c>
      <c r="I61" s="38" t="s">
        <v>250</v>
      </c>
      <c r="J61" s="15" t="s">
        <v>740</v>
      </c>
      <c r="L61" s="189">
        <v>57</v>
      </c>
      <c r="M61" s="190" t="s">
        <v>723</v>
      </c>
    </row>
    <row r="62" spans="2:13" ht="15" thickBot="1">
      <c r="B62" s="196" t="s">
        <v>145</v>
      </c>
      <c r="C62" s="197" t="s">
        <v>76</v>
      </c>
      <c r="D62" s="197" t="s">
        <v>77</v>
      </c>
      <c r="E62" s="197" t="s">
        <v>78</v>
      </c>
      <c r="F62" s="197" t="s">
        <v>79</v>
      </c>
      <c r="G62" s="197" t="s">
        <v>80</v>
      </c>
      <c r="H62" s="197" t="s">
        <v>101</v>
      </c>
      <c r="I62" s="197" t="s">
        <v>82</v>
      </c>
      <c r="J62" s="198" t="s">
        <v>11</v>
      </c>
      <c r="L62" s="189">
        <v>58</v>
      </c>
      <c r="M62" s="190" t="s">
        <v>724</v>
      </c>
    </row>
    <row r="63" spans="2:13" ht="15" thickBot="1">
      <c r="B63" s="14" t="s">
        <v>112</v>
      </c>
      <c r="C63" s="38" t="s">
        <v>205</v>
      </c>
      <c r="D63" s="38">
        <v>101.33</v>
      </c>
      <c r="E63" s="38" t="s">
        <v>206</v>
      </c>
      <c r="F63" s="38">
        <v>8</v>
      </c>
      <c r="G63" s="75">
        <v>5.6384633152884733</v>
      </c>
      <c r="H63" s="79">
        <v>19.745000000000005</v>
      </c>
      <c r="I63" s="38" t="s">
        <v>251</v>
      </c>
      <c r="J63" s="15">
        <v>24</v>
      </c>
      <c r="L63" s="189">
        <v>59</v>
      </c>
      <c r="M63" s="190" t="s">
        <v>725</v>
      </c>
    </row>
    <row r="64" spans="2:13" ht="15" thickBot="1">
      <c r="B64" s="196" t="s">
        <v>145</v>
      </c>
      <c r="C64" s="197" t="s">
        <v>76</v>
      </c>
      <c r="D64" s="197" t="s">
        <v>77</v>
      </c>
      <c r="E64" s="197" t="s">
        <v>78</v>
      </c>
      <c r="F64" s="197" t="s">
        <v>79</v>
      </c>
      <c r="G64" s="197" t="s">
        <v>80</v>
      </c>
      <c r="H64" s="197" t="s">
        <v>113</v>
      </c>
      <c r="I64" s="197" t="s">
        <v>82</v>
      </c>
      <c r="J64" s="198" t="s">
        <v>11</v>
      </c>
      <c r="L64" s="189">
        <v>60</v>
      </c>
      <c r="M64" s="190" t="s">
        <v>726</v>
      </c>
    </row>
    <row r="65" spans="2:13" ht="15" thickBot="1">
      <c r="B65" s="14" t="s">
        <v>114</v>
      </c>
      <c r="C65" s="38">
        <v>298</v>
      </c>
      <c r="D65" s="38">
        <v>101.33</v>
      </c>
      <c r="E65" s="38" t="s">
        <v>207</v>
      </c>
      <c r="F65" s="38">
        <v>9</v>
      </c>
      <c r="G65" s="75">
        <v>5.4222648117827159</v>
      </c>
      <c r="H65" s="79">
        <v>85.238011111111135</v>
      </c>
      <c r="I65" s="199" t="s">
        <v>235</v>
      </c>
      <c r="J65" s="15">
        <v>4</v>
      </c>
      <c r="L65" s="135">
        <v>61</v>
      </c>
      <c r="M65" s="136" t="s">
        <v>727</v>
      </c>
    </row>
    <row r="66" spans="2:13">
      <c r="B66" s="14" t="s">
        <v>115</v>
      </c>
      <c r="C66" s="38">
        <v>298</v>
      </c>
      <c r="D66" s="38">
        <v>101.33</v>
      </c>
      <c r="E66" s="38" t="s">
        <v>208</v>
      </c>
      <c r="F66" s="38">
        <v>137</v>
      </c>
      <c r="G66" s="79">
        <v>18.696134410842873</v>
      </c>
      <c r="H66" s="150">
        <v>289.6457026058394</v>
      </c>
      <c r="I66" s="199" t="s">
        <v>235</v>
      </c>
      <c r="J66" s="15">
        <v>5</v>
      </c>
    </row>
    <row r="67" spans="2:13">
      <c r="B67" s="14" t="s">
        <v>116</v>
      </c>
      <c r="C67" s="38">
        <v>298</v>
      </c>
      <c r="D67" s="38">
        <v>101.33</v>
      </c>
      <c r="E67" s="38" t="s">
        <v>209</v>
      </c>
      <c r="F67" s="38">
        <v>11</v>
      </c>
      <c r="G67" s="79">
        <v>23.686205088520559</v>
      </c>
      <c r="H67" s="150">
        <v>217.9898309090909</v>
      </c>
      <c r="I67" s="199" t="s">
        <v>235</v>
      </c>
      <c r="J67" s="15">
        <v>5</v>
      </c>
    </row>
    <row r="68" spans="2:13">
      <c r="B68" s="14" t="s">
        <v>105</v>
      </c>
      <c r="C68" s="38">
        <v>298</v>
      </c>
      <c r="D68" s="38">
        <v>101.33</v>
      </c>
      <c r="E68" s="38" t="s">
        <v>210</v>
      </c>
      <c r="F68" s="38">
        <v>11</v>
      </c>
      <c r="G68" s="79">
        <v>14.317024754261171</v>
      </c>
      <c r="H68" s="150">
        <v>171.95768181818187</v>
      </c>
      <c r="I68" s="199" t="s">
        <v>235</v>
      </c>
      <c r="J68" s="15">
        <v>3</v>
      </c>
    </row>
    <row r="69" spans="2:13">
      <c r="B69" s="14" t="s">
        <v>117</v>
      </c>
      <c r="C69" s="38">
        <v>298</v>
      </c>
      <c r="D69" s="38">
        <v>101.33</v>
      </c>
      <c r="E69" s="38" t="s">
        <v>211</v>
      </c>
      <c r="F69" s="38">
        <v>9</v>
      </c>
      <c r="G69" s="79">
        <v>12.035348568126341</v>
      </c>
      <c r="H69" s="79">
        <v>65.518514444444449</v>
      </c>
      <c r="I69" s="200" t="s">
        <v>253</v>
      </c>
      <c r="J69" s="15">
        <v>21</v>
      </c>
    </row>
    <row r="70" spans="2:13">
      <c r="B70" s="14" t="s">
        <v>118</v>
      </c>
      <c r="C70" s="38">
        <v>298</v>
      </c>
      <c r="D70" s="38">
        <v>101.33</v>
      </c>
      <c r="E70" s="38" t="s">
        <v>166</v>
      </c>
      <c r="F70" s="38">
        <v>19</v>
      </c>
      <c r="G70" s="79">
        <v>21.509445307116021</v>
      </c>
      <c r="H70" s="150">
        <v>161.19177105657013</v>
      </c>
      <c r="I70" s="38" t="s">
        <v>252</v>
      </c>
      <c r="J70" s="15">
        <v>22</v>
      </c>
    </row>
    <row r="71" spans="2:13">
      <c r="B71" s="14" t="s">
        <v>109</v>
      </c>
      <c r="C71" s="38">
        <v>398</v>
      </c>
      <c r="D71" s="38">
        <v>1891</v>
      </c>
      <c r="E71" s="38" t="s">
        <v>164</v>
      </c>
      <c r="F71" s="38">
        <v>5</v>
      </c>
      <c r="G71" s="79">
        <v>50.564275368852968</v>
      </c>
      <c r="H71" s="150">
        <v>101.82874400000001</v>
      </c>
      <c r="I71" s="38" t="s">
        <v>246</v>
      </c>
      <c r="J71" s="15">
        <v>41</v>
      </c>
    </row>
    <row r="72" spans="2:13">
      <c r="B72" s="14" t="s">
        <v>110</v>
      </c>
      <c r="C72" s="38">
        <v>413</v>
      </c>
      <c r="D72" s="38">
        <v>1617</v>
      </c>
      <c r="E72" s="38" t="s">
        <v>164</v>
      </c>
      <c r="F72" s="38">
        <v>2</v>
      </c>
      <c r="G72" s="79">
        <v>90.983978001325539</v>
      </c>
      <c r="H72" s="150">
        <v>101.12398999999999</v>
      </c>
      <c r="I72" s="38" t="s">
        <v>246</v>
      </c>
      <c r="J72" s="15">
        <v>41</v>
      </c>
    </row>
    <row r="73" spans="2:13">
      <c r="B73" s="14" t="s">
        <v>95</v>
      </c>
      <c r="C73" s="38" t="s">
        <v>212</v>
      </c>
      <c r="D73" s="38">
        <v>101.33</v>
      </c>
      <c r="E73" s="38" t="s">
        <v>213</v>
      </c>
      <c r="F73" s="38">
        <v>43</v>
      </c>
      <c r="G73" s="79">
        <v>15.287577253911124</v>
      </c>
      <c r="H73" s="150">
        <v>103.72877196214193</v>
      </c>
      <c r="I73" s="38" t="s">
        <v>245</v>
      </c>
      <c r="J73" s="15">
        <v>46</v>
      </c>
    </row>
    <row r="74" spans="2:13">
      <c r="B74" s="14" t="s">
        <v>119</v>
      </c>
      <c r="C74" s="38">
        <v>308</v>
      </c>
      <c r="D74" s="38">
        <v>101.33</v>
      </c>
      <c r="E74" s="38" t="s">
        <v>214</v>
      </c>
      <c r="F74" s="38">
        <v>18</v>
      </c>
      <c r="G74" s="79">
        <v>14.140812502107126</v>
      </c>
      <c r="H74" s="150">
        <v>110.57423466664193</v>
      </c>
      <c r="I74" s="38" t="s">
        <v>245</v>
      </c>
      <c r="J74" s="15">
        <v>47</v>
      </c>
    </row>
    <row r="75" spans="2:13">
      <c r="B75" s="14" t="s">
        <v>97</v>
      </c>
      <c r="C75" s="38">
        <v>308</v>
      </c>
      <c r="D75" s="38">
        <v>101.33</v>
      </c>
      <c r="E75" s="38" t="s">
        <v>215</v>
      </c>
      <c r="F75" s="38">
        <v>17</v>
      </c>
      <c r="G75" s="79">
        <v>16.202011429196965</v>
      </c>
      <c r="H75" s="150">
        <v>109.76235046839447</v>
      </c>
      <c r="I75" s="38" t="s">
        <v>245</v>
      </c>
      <c r="J75" s="15">
        <v>47</v>
      </c>
    </row>
    <row r="76" spans="2:13">
      <c r="B76" s="14" t="s">
        <v>120</v>
      </c>
      <c r="C76" s="38">
        <v>363</v>
      </c>
      <c r="D76" s="38">
        <v>1203</v>
      </c>
      <c r="E76" s="38" t="s">
        <v>216</v>
      </c>
      <c r="F76" s="38">
        <v>20</v>
      </c>
      <c r="G76" s="79">
        <v>15.329277381498704</v>
      </c>
      <c r="H76" s="79">
        <v>37.549855749999999</v>
      </c>
      <c r="I76" s="38" t="s">
        <v>254</v>
      </c>
      <c r="J76" s="15">
        <v>46</v>
      </c>
    </row>
    <row r="77" spans="2:13" ht="15" thickBot="1">
      <c r="B77" s="14" t="s">
        <v>121</v>
      </c>
      <c r="C77" s="38">
        <v>363</v>
      </c>
      <c r="D77" s="38">
        <v>1135</v>
      </c>
      <c r="E77" s="38" t="s">
        <v>215</v>
      </c>
      <c r="F77" s="38">
        <v>21</v>
      </c>
      <c r="G77" s="79">
        <v>31.351666847726374</v>
      </c>
      <c r="H77" s="150">
        <v>125.08716857914236</v>
      </c>
      <c r="I77" s="38" t="s">
        <v>255</v>
      </c>
      <c r="J77" s="15">
        <v>46</v>
      </c>
    </row>
    <row r="78" spans="2:13" ht="15" thickBot="1">
      <c r="B78" s="196" t="s">
        <v>145</v>
      </c>
      <c r="C78" s="197" t="s">
        <v>76</v>
      </c>
      <c r="D78" s="197" t="s">
        <v>77</v>
      </c>
      <c r="E78" s="197" t="s">
        <v>78</v>
      </c>
      <c r="F78" s="197" t="s">
        <v>79</v>
      </c>
      <c r="G78" s="197"/>
      <c r="H78" s="197" t="s">
        <v>122</v>
      </c>
      <c r="I78" s="197" t="s">
        <v>82</v>
      </c>
      <c r="J78" s="198" t="s">
        <v>11</v>
      </c>
    </row>
    <row r="79" spans="2:13">
      <c r="B79" s="14" t="s">
        <v>123</v>
      </c>
      <c r="C79" s="38" t="s">
        <v>217</v>
      </c>
      <c r="D79" s="38">
        <v>101.33</v>
      </c>
      <c r="E79" s="38" t="s">
        <v>218</v>
      </c>
      <c r="F79" s="38">
        <v>2</v>
      </c>
      <c r="G79" s="38"/>
      <c r="H79" s="77">
        <v>4.317569999999997E-2</v>
      </c>
      <c r="I79" s="199" t="s">
        <v>235</v>
      </c>
      <c r="J79" s="15">
        <v>56</v>
      </c>
    </row>
    <row r="80" spans="2:13">
      <c r="B80" s="14" t="s">
        <v>124</v>
      </c>
      <c r="C80" s="38" t="s">
        <v>219</v>
      </c>
      <c r="D80" s="38">
        <v>101.33</v>
      </c>
      <c r="E80" s="38" t="s">
        <v>220</v>
      </c>
      <c r="F80" s="38">
        <v>2</v>
      </c>
      <c r="G80" s="38"/>
      <c r="H80" s="77">
        <v>3.6959139999999988E-2</v>
      </c>
      <c r="I80" s="199" t="s">
        <v>235</v>
      </c>
      <c r="J80" s="15">
        <v>56</v>
      </c>
    </row>
    <row r="81" spans="2:10">
      <c r="B81" s="14" t="s">
        <v>125</v>
      </c>
      <c r="C81" s="38" t="s">
        <v>221</v>
      </c>
      <c r="D81" s="38">
        <v>101.33</v>
      </c>
      <c r="E81" s="38" t="s">
        <v>222</v>
      </c>
      <c r="F81" s="38">
        <v>4</v>
      </c>
      <c r="G81" s="38"/>
      <c r="H81" s="77">
        <v>2.2873764999999983E-2</v>
      </c>
      <c r="I81" s="199" t="s">
        <v>235</v>
      </c>
      <c r="J81" s="15">
        <v>56</v>
      </c>
    </row>
    <row r="82" spans="2:10">
      <c r="B82" s="14" t="s">
        <v>126</v>
      </c>
      <c r="C82" s="38" t="s">
        <v>223</v>
      </c>
      <c r="D82" s="38">
        <v>101.33</v>
      </c>
      <c r="E82" s="38" t="s">
        <v>224</v>
      </c>
      <c r="F82" s="38">
        <v>3</v>
      </c>
      <c r="G82" s="38"/>
      <c r="H82" s="77">
        <v>2.8725879999999981E-2</v>
      </c>
      <c r="I82" s="199" t="s">
        <v>235</v>
      </c>
      <c r="J82" s="15">
        <v>56</v>
      </c>
    </row>
    <row r="83" spans="2:10">
      <c r="B83" s="14" t="s">
        <v>127</v>
      </c>
      <c r="C83" s="38" t="s">
        <v>225</v>
      </c>
      <c r="D83" s="38">
        <v>101.33</v>
      </c>
      <c r="E83" s="38" t="s">
        <v>226</v>
      </c>
      <c r="F83" s="38">
        <v>31</v>
      </c>
      <c r="G83" s="38"/>
      <c r="H83" s="77">
        <v>1.3386770419354831E-2</v>
      </c>
      <c r="I83" s="199" t="s">
        <v>235</v>
      </c>
      <c r="J83" s="15" t="s">
        <v>743</v>
      </c>
    </row>
    <row r="84" spans="2:10">
      <c r="B84" s="14" t="s">
        <v>128</v>
      </c>
      <c r="C84" s="38" t="s">
        <v>227</v>
      </c>
      <c r="D84" s="38">
        <v>101.33</v>
      </c>
      <c r="E84" s="38" t="s">
        <v>166</v>
      </c>
      <c r="F84" s="38">
        <v>5</v>
      </c>
      <c r="G84" s="38"/>
      <c r="H84" s="77">
        <v>1.9827528800000004E-2</v>
      </c>
      <c r="I84" s="199" t="s">
        <v>235</v>
      </c>
      <c r="J84" s="15">
        <v>56</v>
      </c>
    </row>
    <row r="85" spans="2:10">
      <c r="B85" s="14" t="s">
        <v>129</v>
      </c>
      <c r="C85" s="38" t="s">
        <v>228</v>
      </c>
      <c r="D85" s="38">
        <v>101.33</v>
      </c>
      <c r="E85" s="38" t="s">
        <v>229</v>
      </c>
      <c r="F85" s="38">
        <v>6</v>
      </c>
      <c r="G85" s="38"/>
      <c r="H85" s="77">
        <v>1.7417229999999992E-2</v>
      </c>
      <c r="I85" s="199" t="s">
        <v>235</v>
      </c>
      <c r="J85" s="15">
        <v>56</v>
      </c>
    </row>
    <row r="86" spans="2:10">
      <c r="B86" s="14" t="s">
        <v>130</v>
      </c>
      <c r="C86" s="38" t="s">
        <v>228</v>
      </c>
      <c r="D86" s="38">
        <v>101.33</v>
      </c>
      <c r="E86" s="38" t="s">
        <v>230</v>
      </c>
      <c r="F86" s="38">
        <v>6</v>
      </c>
      <c r="G86" s="38"/>
      <c r="H86" s="77">
        <v>1.4362619999999993E-2</v>
      </c>
      <c r="I86" s="199" t="s">
        <v>235</v>
      </c>
      <c r="J86" s="15">
        <v>56</v>
      </c>
    </row>
    <row r="87" spans="2:10">
      <c r="B87" s="14" t="s">
        <v>131</v>
      </c>
      <c r="C87" s="38" t="s">
        <v>231</v>
      </c>
      <c r="D87" s="38">
        <v>101.33</v>
      </c>
      <c r="E87" s="38" t="s">
        <v>164</v>
      </c>
      <c r="F87" s="38">
        <v>28</v>
      </c>
      <c r="G87" s="38"/>
      <c r="H87" s="77">
        <v>4.3480731785714273E-2</v>
      </c>
      <c r="I87" s="199" t="s">
        <v>235</v>
      </c>
      <c r="J87" s="15" t="s">
        <v>744</v>
      </c>
    </row>
    <row r="88" spans="2:10">
      <c r="B88" s="14" t="s">
        <v>132</v>
      </c>
      <c r="C88" s="38" t="s">
        <v>232</v>
      </c>
      <c r="D88" s="38">
        <v>101.33</v>
      </c>
      <c r="E88" s="38" t="s">
        <v>233</v>
      </c>
      <c r="F88" s="38">
        <v>7</v>
      </c>
      <c r="G88" s="38"/>
      <c r="H88" s="77">
        <v>1.804986714285715E-2</v>
      </c>
      <c r="I88" s="199" t="s">
        <v>235</v>
      </c>
      <c r="J88" s="15">
        <v>56</v>
      </c>
    </row>
    <row r="89" spans="2:10" ht="15" thickBot="1">
      <c r="B89" s="29" t="s">
        <v>133</v>
      </c>
      <c r="C89" s="39" t="s">
        <v>234</v>
      </c>
      <c r="D89" s="39">
        <v>101.33</v>
      </c>
      <c r="E89" s="39" t="s">
        <v>164</v>
      </c>
      <c r="F89" s="39">
        <v>42</v>
      </c>
      <c r="G89" s="39"/>
      <c r="H89" s="129">
        <v>4.2083894047619037E-2</v>
      </c>
      <c r="I89" s="201" t="s">
        <v>235</v>
      </c>
      <c r="J89" s="30" t="s">
        <v>745</v>
      </c>
    </row>
  </sheetData>
  <mergeCells count="2">
    <mergeCell ref="B2:J3"/>
    <mergeCell ref="L4:M4"/>
  </mergeCells>
  <phoneticPr fontId="2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841AB-E309-4114-9018-C731BAB439E3}">
  <sheetPr codeName="Sheet6">
    <pageSetUpPr autoPageBreaks="0"/>
  </sheetPr>
  <dimension ref="B1:F26"/>
  <sheetViews>
    <sheetView topLeftCell="E1" zoomScale="46" zoomScaleNormal="85" workbookViewId="0">
      <selection activeCell="D5" sqref="D5"/>
    </sheetView>
  </sheetViews>
  <sheetFormatPr defaultRowHeight="14.5"/>
  <cols>
    <col min="1" max="1" width="8.7265625" style="1"/>
    <col min="2" max="2" width="23.26953125" style="1" customWidth="1"/>
    <col min="3" max="5" width="25.453125" style="1" customWidth="1"/>
    <col min="6" max="6" width="68.1796875" style="1" customWidth="1"/>
    <col min="7" max="16384" width="8.7265625" style="1"/>
  </cols>
  <sheetData>
    <row r="1" spans="2:6" ht="15" thickBot="1"/>
    <row r="2" spans="2:6" ht="16.5" customHeight="1">
      <c r="B2" s="221" t="s">
        <v>339</v>
      </c>
      <c r="C2" s="222"/>
      <c r="D2" s="222"/>
      <c r="E2" s="222"/>
      <c r="F2" s="223"/>
    </row>
    <row r="3" spans="2:6" ht="15" thickBot="1">
      <c r="B3" s="224"/>
      <c r="C3" s="225"/>
      <c r="D3" s="225"/>
      <c r="E3" s="225"/>
      <c r="F3" s="226"/>
    </row>
    <row r="4" spans="2:6" ht="16.5">
      <c r="B4" s="191" t="s">
        <v>258</v>
      </c>
      <c r="C4" s="193" t="s">
        <v>695</v>
      </c>
      <c r="D4" s="194" t="s">
        <v>696</v>
      </c>
      <c r="E4" s="194" t="s">
        <v>697</v>
      </c>
      <c r="F4" s="195" t="s">
        <v>11</v>
      </c>
    </row>
    <row r="5" spans="2:6">
      <c r="B5" s="5" t="s">
        <v>259</v>
      </c>
      <c r="C5" s="11" t="s">
        <v>260</v>
      </c>
      <c r="D5" s="11" t="s">
        <v>261</v>
      </c>
      <c r="E5" s="134" t="s">
        <v>235</v>
      </c>
      <c r="F5" s="6" t="s">
        <v>692</v>
      </c>
    </row>
    <row r="6" spans="2:6">
      <c r="B6" s="5" t="s">
        <v>262</v>
      </c>
      <c r="C6" s="11" t="s">
        <v>263</v>
      </c>
      <c r="D6" s="11" t="s">
        <v>264</v>
      </c>
      <c r="E6" s="134" t="s">
        <v>235</v>
      </c>
      <c r="F6" s="6" t="s">
        <v>692</v>
      </c>
    </row>
    <row r="7" spans="2:6">
      <c r="B7" s="5" t="s">
        <v>265</v>
      </c>
      <c r="C7" s="11" t="s">
        <v>266</v>
      </c>
      <c r="D7" s="11" t="s">
        <v>267</v>
      </c>
      <c r="E7" s="134" t="s">
        <v>235</v>
      </c>
      <c r="F7" s="6" t="s">
        <v>693</v>
      </c>
    </row>
    <row r="8" spans="2:6">
      <c r="B8" s="5" t="s">
        <v>268</v>
      </c>
      <c r="C8" s="11" t="s">
        <v>269</v>
      </c>
      <c r="D8" s="11" t="s">
        <v>270</v>
      </c>
      <c r="E8" s="134" t="s">
        <v>235</v>
      </c>
      <c r="F8" s="6" t="s">
        <v>693</v>
      </c>
    </row>
    <row r="9" spans="2:6">
      <c r="B9" s="5" t="s">
        <v>271</v>
      </c>
      <c r="C9" s="11" t="s">
        <v>272</v>
      </c>
      <c r="D9" s="11" t="s">
        <v>273</v>
      </c>
      <c r="E9" s="134" t="s">
        <v>235</v>
      </c>
      <c r="F9" s="6" t="s">
        <v>693</v>
      </c>
    </row>
    <row r="10" spans="2:6">
      <c r="B10" s="5" t="s">
        <v>274</v>
      </c>
      <c r="C10" s="11" t="s">
        <v>275</v>
      </c>
      <c r="D10" s="11" t="s">
        <v>276</v>
      </c>
      <c r="E10" s="134" t="s">
        <v>277</v>
      </c>
      <c r="F10" s="6" t="s">
        <v>694</v>
      </c>
    </row>
    <row r="11" spans="2:6">
      <c r="B11" s="5" t="s">
        <v>278</v>
      </c>
      <c r="C11" s="11" t="s">
        <v>279</v>
      </c>
      <c r="D11" s="11" t="s">
        <v>280</v>
      </c>
      <c r="E11" s="134" t="s">
        <v>281</v>
      </c>
      <c r="F11" s="6" t="s">
        <v>620</v>
      </c>
    </row>
    <row r="12" spans="2:6">
      <c r="B12" s="5" t="s">
        <v>282</v>
      </c>
      <c r="C12" s="11" t="s">
        <v>283</v>
      </c>
      <c r="D12" s="11" t="s">
        <v>280</v>
      </c>
      <c r="E12" s="134" t="s">
        <v>284</v>
      </c>
      <c r="F12" s="6" t="s">
        <v>694</v>
      </c>
    </row>
    <row r="13" spans="2:6">
      <c r="B13" s="5" t="s">
        <v>285</v>
      </c>
      <c r="C13" s="11" t="s">
        <v>283</v>
      </c>
      <c r="D13" s="11" t="s">
        <v>286</v>
      </c>
      <c r="E13" s="134" t="s">
        <v>287</v>
      </c>
      <c r="F13" s="6" t="s">
        <v>620</v>
      </c>
    </row>
    <row r="14" spans="2:6">
      <c r="B14" s="5" t="s">
        <v>288</v>
      </c>
      <c r="C14" s="11" t="s">
        <v>289</v>
      </c>
      <c r="D14" s="11" t="s">
        <v>290</v>
      </c>
      <c r="E14" s="134" t="s">
        <v>291</v>
      </c>
      <c r="F14" s="6" t="s">
        <v>694</v>
      </c>
    </row>
    <row r="15" spans="2:6">
      <c r="B15" s="5" t="s">
        <v>292</v>
      </c>
      <c r="C15" s="11" t="s">
        <v>293</v>
      </c>
      <c r="D15" s="11" t="s">
        <v>294</v>
      </c>
      <c r="E15" s="134" t="s">
        <v>295</v>
      </c>
      <c r="F15" s="6" t="s">
        <v>694</v>
      </c>
    </row>
    <row r="16" spans="2:6">
      <c r="B16" s="5" t="s">
        <v>296</v>
      </c>
      <c r="C16" s="11" t="s">
        <v>297</v>
      </c>
      <c r="D16" s="11" t="s">
        <v>298</v>
      </c>
      <c r="E16" s="134" t="s">
        <v>299</v>
      </c>
      <c r="F16" s="6" t="s">
        <v>620</v>
      </c>
    </row>
    <row r="17" spans="2:6">
      <c r="B17" s="5" t="s">
        <v>300</v>
      </c>
      <c r="C17" s="11" t="s">
        <v>301</v>
      </c>
      <c r="D17" s="11" t="s">
        <v>302</v>
      </c>
      <c r="E17" s="134" t="s">
        <v>303</v>
      </c>
      <c r="F17" s="6" t="s">
        <v>620</v>
      </c>
    </row>
    <row r="18" spans="2:6">
      <c r="B18" s="5" t="s">
        <v>304</v>
      </c>
      <c r="C18" s="11" t="s">
        <v>305</v>
      </c>
      <c r="D18" s="11" t="s">
        <v>306</v>
      </c>
      <c r="E18" s="134" t="s">
        <v>307</v>
      </c>
      <c r="F18" s="6" t="s">
        <v>620</v>
      </c>
    </row>
    <row r="19" spans="2:6">
      <c r="B19" s="5" t="s">
        <v>308</v>
      </c>
      <c r="C19" s="11" t="s">
        <v>309</v>
      </c>
      <c r="D19" s="11" t="s">
        <v>310</v>
      </c>
      <c r="E19" s="134" t="s">
        <v>311</v>
      </c>
      <c r="F19" s="6" t="s">
        <v>620</v>
      </c>
    </row>
    <row r="20" spans="2:6">
      <c r="B20" s="5" t="s">
        <v>312</v>
      </c>
      <c r="C20" s="11" t="s">
        <v>313</v>
      </c>
      <c r="D20" s="11" t="s">
        <v>314</v>
      </c>
      <c r="E20" s="134" t="s">
        <v>315</v>
      </c>
      <c r="F20" s="6" t="s">
        <v>620</v>
      </c>
    </row>
    <row r="21" spans="2:6">
      <c r="B21" s="5" t="s">
        <v>316</v>
      </c>
      <c r="C21" s="11" t="s">
        <v>317</v>
      </c>
      <c r="D21" s="11" t="s">
        <v>318</v>
      </c>
      <c r="E21" s="134" t="s">
        <v>319</v>
      </c>
      <c r="F21" s="6" t="s">
        <v>620</v>
      </c>
    </row>
    <row r="22" spans="2:6">
      <c r="B22" s="5" t="s">
        <v>320</v>
      </c>
      <c r="C22" s="11" t="s">
        <v>321</v>
      </c>
      <c r="D22" s="11" t="s">
        <v>322</v>
      </c>
      <c r="E22" s="134" t="s">
        <v>323</v>
      </c>
      <c r="F22" s="6" t="s">
        <v>620</v>
      </c>
    </row>
    <row r="23" spans="2:6">
      <c r="B23" s="5" t="s">
        <v>324</v>
      </c>
      <c r="C23" s="11" t="s">
        <v>325</v>
      </c>
      <c r="D23" s="11" t="s">
        <v>326</v>
      </c>
      <c r="E23" s="134" t="s">
        <v>327</v>
      </c>
      <c r="F23" s="6" t="s">
        <v>620</v>
      </c>
    </row>
    <row r="24" spans="2:6">
      <c r="B24" s="5" t="s">
        <v>328</v>
      </c>
      <c r="C24" s="11" t="s">
        <v>329</v>
      </c>
      <c r="D24" s="11" t="s">
        <v>330</v>
      </c>
      <c r="E24" s="134" t="s">
        <v>331</v>
      </c>
      <c r="F24" s="6" t="s">
        <v>620</v>
      </c>
    </row>
    <row r="25" spans="2:6">
      <c r="B25" s="5" t="s">
        <v>332</v>
      </c>
      <c r="C25" s="11" t="s">
        <v>333</v>
      </c>
      <c r="D25" s="11" t="s">
        <v>270</v>
      </c>
      <c r="E25" s="134" t="s">
        <v>334</v>
      </c>
      <c r="F25" s="6" t="s">
        <v>620</v>
      </c>
    </row>
    <row r="26" spans="2:6" ht="15" thickBot="1">
      <c r="B26" s="23" t="s">
        <v>335</v>
      </c>
      <c r="C26" s="33" t="s">
        <v>336</v>
      </c>
      <c r="D26" s="33" t="s">
        <v>337</v>
      </c>
      <c r="E26" s="192" t="s">
        <v>338</v>
      </c>
      <c r="F26" s="26" t="s">
        <v>620</v>
      </c>
    </row>
  </sheetData>
  <mergeCells count="1">
    <mergeCell ref="B2:F3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9B3BE-C685-423B-A371-074ECB5C26F7}">
  <sheetPr codeName="Sheet7">
    <pageSetUpPr autoPageBreaks="0"/>
  </sheetPr>
  <dimension ref="B1:K23"/>
  <sheetViews>
    <sheetView zoomScale="85" zoomScaleNormal="85" workbookViewId="0">
      <selection activeCell="E32" sqref="E32"/>
    </sheetView>
  </sheetViews>
  <sheetFormatPr defaultRowHeight="14.5"/>
  <cols>
    <col min="1" max="1" width="8.7265625" style="1"/>
    <col min="2" max="7" width="31.81640625" style="1" customWidth="1"/>
    <col min="8" max="10" width="8.7265625" style="1"/>
    <col min="11" max="11" width="33" style="1" bestFit="1" customWidth="1"/>
    <col min="12" max="16384" width="8.7265625" style="1"/>
  </cols>
  <sheetData>
    <row r="1" spans="2:11" ht="15" thickBot="1"/>
    <row r="2" spans="2:11" ht="16.5" customHeight="1">
      <c r="B2" s="227" t="s">
        <v>365</v>
      </c>
      <c r="C2" s="228"/>
      <c r="D2" s="228"/>
      <c r="E2" s="228"/>
      <c r="F2" s="228"/>
      <c r="G2" s="229"/>
    </row>
    <row r="3" spans="2:11" ht="15" thickBot="1">
      <c r="B3" s="230"/>
      <c r="C3" s="231"/>
      <c r="D3" s="231"/>
      <c r="E3" s="231"/>
      <c r="F3" s="231"/>
      <c r="G3" s="232"/>
    </row>
    <row r="4" spans="2:11" ht="16.5">
      <c r="B4" s="184" t="s">
        <v>75</v>
      </c>
      <c r="C4" s="185" t="s">
        <v>366</v>
      </c>
      <c r="D4" s="185" t="s">
        <v>364</v>
      </c>
      <c r="E4" s="185" t="s">
        <v>363</v>
      </c>
      <c r="F4" s="185" t="s">
        <v>343</v>
      </c>
      <c r="G4" s="186" t="s">
        <v>11</v>
      </c>
      <c r="J4" s="213" t="s">
        <v>680</v>
      </c>
      <c r="K4" s="214"/>
    </row>
    <row r="5" spans="2:11">
      <c r="B5" s="14" t="s">
        <v>344</v>
      </c>
      <c r="C5" s="38" t="s">
        <v>367</v>
      </c>
      <c r="D5" s="38">
        <v>36</v>
      </c>
      <c r="E5" s="187">
        <v>1.0100502210994259E-2</v>
      </c>
      <c r="F5" s="38" t="s">
        <v>374</v>
      </c>
      <c r="G5" s="15" t="s">
        <v>681</v>
      </c>
      <c r="J5" s="189">
        <v>1</v>
      </c>
      <c r="K5" s="190" t="s">
        <v>564</v>
      </c>
    </row>
    <row r="6" spans="2:11">
      <c r="B6" s="14" t="s">
        <v>345</v>
      </c>
      <c r="C6" s="38" t="s">
        <v>368</v>
      </c>
      <c r="D6" s="38">
        <v>26</v>
      </c>
      <c r="E6" s="187">
        <v>5.3487568623077064E-4</v>
      </c>
      <c r="F6" s="38">
        <v>13</v>
      </c>
      <c r="G6" s="15" t="s">
        <v>683</v>
      </c>
      <c r="J6" s="189">
        <v>2</v>
      </c>
      <c r="K6" s="190" t="s">
        <v>400</v>
      </c>
    </row>
    <row r="7" spans="2:11">
      <c r="B7" s="14" t="s">
        <v>346</v>
      </c>
      <c r="C7" s="38">
        <v>298</v>
      </c>
      <c r="D7" s="38">
        <v>2</v>
      </c>
      <c r="E7" s="187">
        <v>3.9995230000000002E-5</v>
      </c>
      <c r="F7" s="38">
        <v>13</v>
      </c>
      <c r="G7" s="15" t="s">
        <v>682</v>
      </c>
      <c r="J7" s="189">
        <v>3</v>
      </c>
      <c r="K7" s="190" t="s">
        <v>402</v>
      </c>
    </row>
    <row r="8" spans="2:11">
      <c r="B8" s="14" t="s">
        <v>347</v>
      </c>
      <c r="C8" s="38" t="s">
        <v>369</v>
      </c>
      <c r="D8" s="38">
        <v>4</v>
      </c>
      <c r="E8" s="187">
        <v>8.4938359999999998E-4</v>
      </c>
      <c r="F8" s="38">
        <v>13</v>
      </c>
      <c r="G8" s="15" t="s">
        <v>684</v>
      </c>
      <c r="J8" s="189">
        <v>4</v>
      </c>
      <c r="K8" s="190" t="s">
        <v>679</v>
      </c>
    </row>
    <row r="9" spans="2:11">
      <c r="B9" s="14" t="s">
        <v>348</v>
      </c>
      <c r="C9" s="38">
        <v>298</v>
      </c>
      <c r="D9" s="38">
        <v>3</v>
      </c>
      <c r="E9" s="187">
        <v>3.5925069999999997E-5</v>
      </c>
      <c r="F9" s="38">
        <v>13</v>
      </c>
      <c r="G9" s="15" t="s">
        <v>685</v>
      </c>
      <c r="J9" s="189">
        <v>5</v>
      </c>
      <c r="K9" s="190" t="s">
        <v>607</v>
      </c>
    </row>
    <row r="10" spans="2:11">
      <c r="B10" s="14" t="s">
        <v>349</v>
      </c>
      <c r="C10" s="38" t="s">
        <v>367</v>
      </c>
      <c r="D10" s="38">
        <v>29</v>
      </c>
      <c r="E10" s="187">
        <v>8.0163316866122894E-3</v>
      </c>
      <c r="F10" s="38" t="s">
        <v>374</v>
      </c>
      <c r="G10" s="15" t="s">
        <v>686</v>
      </c>
      <c r="J10" s="189">
        <v>6</v>
      </c>
      <c r="K10" s="190" t="s">
        <v>604</v>
      </c>
    </row>
    <row r="11" spans="2:11">
      <c r="B11" s="14" t="s">
        <v>350</v>
      </c>
      <c r="C11" s="38" t="s">
        <v>189</v>
      </c>
      <c r="D11" s="38">
        <v>16</v>
      </c>
      <c r="E11" s="187">
        <v>1.9809481837499996E-4</v>
      </c>
      <c r="F11" s="38">
        <v>13</v>
      </c>
      <c r="G11" s="15" t="s">
        <v>687</v>
      </c>
      <c r="J11" s="189">
        <v>7</v>
      </c>
      <c r="K11" s="190" t="s">
        <v>605</v>
      </c>
    </row>
    <row r="12" spans="2:11">
      <c r="B12" s="14" t="s">
        <v>351</v>
      </c>
      <c r="C12" s="38" t="s">
        <v>189</v>
      </c>
      <c r="D12" s="38">
        <v>12</v>
      </c>
      <c r="E12" s="187">
        <v>1.1201128791666667E-4</v>
      </c>
      <c r="F12" s="38">
        <v>13</v>
      </c>
      <c r="G12" s="15" t="s">
        <v>689</v>
      </c>
      <c r="J12" s="189">
        <v>8</v>
      </c>
      <c r="K12" s="190" t="s">
        <v>606</v>
      </c>
    </row>
    <row r="13" spans="2:11">
      <c r="B13" s="14" t="s">
        <v>352</v>
      </c>
      <c r="C13" s="38" t="s">
        <v>189</v>
      </c>
      <c r="D13" s="38">
        <v>12</v>
      </c>
      <c r="E13" s="187">
        <v>2.1200242583333333E-3</v>
      </c>
      <c r="F13" s="38">
        <v>13</v>
      </c>
      <c r="G13" s="15" t="s">
        <v>689</v>
      </c>
      <c r="J13" s="189">
        <v>9</v>
      </c>
      <c r="K13" s="190" t="s">
        <v>608</v>
      </c>
    </row>
    <row r="14" spans="2:11">
      <c r="B14" s="14" t="s">
        <v>353</v>
      </c>
      <c r="C14" s="38" t="s">
        <v>370</v>
      </c>
      <c r="D14" s="38">
        <v>6</v>
      </c>
      <c r="E14" s="187">
        <v>4.0024918683333335E-4</v>
      </c>
      <c r="F14" s="38">
        <v>13</v>
      </c>
      <c r="G14" s="15" t="s">
        <v>688</v>
      </c>
      <c r="J14" s="189">
        <v>10</v>
      </c>
      <c r="K14" s="190" t="s">
        <v>609</v>
      </c>
    </row>
    <row r="15" spans="2:11">
      <c r="B15" s="14" t="s">
        <v>354</v>
      </c>
      <c r="C15" s="38" t="s">
        <v>370</v>
      </c>
      <c r="D15" s="38">
        <v>5</v>
      </c>
      <c r="E15" s="187">
        <v>1.0442110259999999E-3</v>
      </c>
      <c r="F15" s="38">
        <v>13</v>
      </c>
      <c r="G15" s="15">
        <v>15</v>
      </c>
      <c r="J15" s="189">
        <v>11</v>
      </c>
      <c r="K15" s="190" t="s">
        <v>610</v>
      </c>
    </row>
    <row r="16" spans="2:11">
      <c r="B16" s="14" t="s">
        <v>355</v>
      </c>
      <c r="C16" s="38" t="s">
        <v>370</v>
      </c>
      <c r="D16" s="38">
        <v>5</v>
      </c>
      <c r="E16" s="187">
        <v>2.5037481E-4</v>
      </c>
      <c r="F16" s="38">
        <v>13</v>
      </c>
      <c r="G16" s="15">
        <v>15</v>
      </c>
      <c r="J16" s="189">
        <v>12</v>
      </c>
      <c r="K16" s="190" t="s">
        <v>611</v>
      </c>
    </row>
    <row r="17" spans="2:11">
      <c r="B17" s="14" t="s">
        <v>356</v>
      </c>
      <c r="C17" s="38" t="s">
        <v>367</v>
      </c>
      <c r="D17" s="38">
        <v>17</v>
      </c>
      <c r="E17" s="187">
        <v>1.9293308225406494E-2</v>
      </c>
      <c r="F17" s="38" t="s">
        <v>374</v>
      </c>
      <c r="G17" s="15">
        <v>2</v>
      </c>
      <c r="J17" s="189">
        <v>13</v>
      </c>
      <c r="K17" s="190" t="s">
        <v>612</v>
      </c>
    </row>
    <row r="18" spans="2:11">
      <c r="B18" s="14" t="s">
        <v>357</v>
      </c>
      <c r="C18" s="38" t="s">
        <v>368</v>
      </c>
      <c r="D18" s="38">
        <v>15</v>
      </c>
      <c r="E18" s="187">
        <v>2.1963663426666667E-5</v>
      </c>
      <c r="F18" s="38">
        <v>13</v>
      </c>
      <c r="G18" s="15" t="s">
        <v>690</v>
      </c>
      <c r="J18" s="189">
        <v>14</v>
      </c>
      <c r="K18" s="190" t="s">
        <v>613</v>
      </c>
    </row>
    <row r="19" spans="2:11">
      <c r="B19" s="14" t="s">
        <v>358</v>
      </c>
      <c r="C19" s="38" t="s">
        <v>368</v>
      </c>
      <c r="D19" s="38">
        <v>12</v>
      </c>
      <c r="E19" s="187">
        <v>9.3991977583333337E-5</v>
      </c>
      <c r="F19" s="38">
        <v>13</v>
      </c>
      <c r="G19" s="15">
        <v>17</v>
      </c>
      <c r="J19" s="189">
        <v>15</v>
      </c>
      <c r="K19" s="190" t="s">
        <v>579</v>
      </c>
    </row>
    <row r="20" spans="2:11">
      <c r="B20" s="14" t="s">
        <v>359</v>
      </c>
      <c r="C20" s="38" t="s">
        <v>368</v>
      </c>
      <c r="D20" s="38">
        <v>13</v>
      </c>
      <c r="E20" s="187">
        <v>4.6740690076923077E-6</v>
      </c>
      <c r="F20" s="38">
        <v>13</v>
      </c>
      <c r="G20" s="15" t="s">
        <v>691</v>
      </c>
      <c r="J20" s="189">
        <v>16</v>
      </c>
      <c r="K20" s="190" t="s">
        <v>614</v>
      </c>
    </row>
    <row r="21" spans="2:11">
      <c r="B21" s="14" t="s">
        <v>360</v>
      </c>
      <c r="C21" s="38" t="s">
        <v>371</v>
      </c>
      <c r="D21" s="38">
        <v>23</v>
      </c>
      <c r="E21" s="187">
        <v>1.2640025586539476E-2</v>
      </c>
      <c r="F21" s="38" t="s">
        <v>374</v>
      </c>
      <c r="G21" s="15">
        <v>2</v>
      </c>
      <c r="J21" s="189">
        <v>17</v>
      </c>
      <c r="K21" s="190" t="s">
        <v>615</v>
      </c>
    </row>
    <row r="22" spans="2:11" ht="15" thickBot="1">
      <c r="B22" s="14" t="s">
        <v>361</v>
      </c>
      <c r="C22" s="38" t="s">
        <v>372</v>
      </c>
      <c r="D22" s="38">
        <v>9</v>
      </c>
      <c r="E22" s="187">
        <v>4.8846569888888887E-5</v>
      </c>
      <c r="F22" s="38" t="s">
        <v>374</v>
      </c>
      <c r="G22" s="15">
        <v>9</v>
      </c>
      <c r="J22" s="135">
        <v>18</v>
      </c>
      <c r="K22" s="136" t="s">
        <v>616</v>
      </c>
    </row>
    <row r="23" spans="2:11" ht="15" thickBot="1">
      <c r="B23" s="29" t="s">
        <v>362</v>
      </c>
      <c r="C23" s="39" t="s">
        <v>373</v>
      </c>
      <c r="D23" s="39">
        <v>6</v>
      </c>
      <c r="E23" s="188">
        <v>5.6698812499999997E-4</v>
      </c>
      <c r="F23" s="39" t="s">
        <v>374</v>
      </c>
      <c r="G23" s="30">
        <v>163</v>
      </c>
    </row>
  </sheetData>
  <mergeCells count="2">
    <mergeCell ref="B2:G3"/>
    <mergeCell ref="J4:K4"/>
  </mergeCells>
  <phoneticPr fontId="23" type="noConversion"/>
  <pageMargins left="0.7" right="0.7" top="0.75" bottom="0.75" header="0.3" footer="0.3"/>
  <pageSetup paperSize="9" orientation="portrait" r:id="rId1"/>
  <ignoredErrors>
    <ignoredError sqref="F5 F10 F17 F21:F23" twoDigitTextYear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5F626-E212-42F9-9C0A-CC8A2713882B}">
  <sheetPr codeName="Sheet8">
    <pageSetUpPr autoPageBreaks="0"/>
  </sheetPr>
  <dimension ref="B1:F21"/>
  <sheetViews>
    <sheetView zoomScale="85" zoomScaleNormal="85" workbookViewId="0">
      <selection activeCell="D29" sqref="D29"/>
    </sheetView>
  </sheetViews>
  <sheetFormatPr defaultRowHeight="14.5"/>
  <cols>
    <col min="1" max="1" width="8.7265625" style="1"/>
    <col min="2" max="5" width="31.453125" style="1" customWidth="1"/>
    <col min="6" max="6" width="54.54296875" style="1" customWidth="1"/>
    <col min="7" max="16384" width="8.7265625" style="1"/>
  </cols>
  <sheetData>
    <row r="1" spans="2:6" ht="15" thickBot="1"/>
    <row r="2" spans="2:6" ht="16.5" customHeight="1">
      <c r="B2" s="227" t="s">
        <v>377</v>
      </c>
      <c r="C2" s="228"/>
      <c r="D2" s="228"/>
      <c r="E2" s="228"/>
      <c r="F2" s="229"/>
    </row>
    <row r="3" spans="2:6" ht="15" thickBot="1">
      <c r="B3" s="230"/>
      <c r="C3" s="231"/>
      <c r="D3" s="231"/>
      <c r="E3" s="231"/>
      <c r="F3" s="232"/>
    </row>
    <row r="4" spans="2:6" ht="16.5">
      <c r="B4" s="184" t="s">
        <v>378</v>
      </c>
      <c r="C4" s="185" t="s">
        <v>366</v>
      </c>
      <c r="D4" s="185" t="s">
        <v>364</v>
      </c>
      <c r="E4" s="185" t="s">
        <v>363</v>
      </c>
      <c r="F4" s="186" t="s">
        <v>11</v>
      </c>
    </row>
    <row r="5" spans="2:6">
      <c r="B5" s="14" t="s">
        <v>274</v>
      </c>
      <c r="C5" s="38" t="s">
        <v>379</v>
      </c>
      <c r="D5" s="38">
        <v>11</v>
      </c>
      <c r="E5" s="76">
        <v>6.0856903589450676E-3</v>
      </c>
      <c r="F5" s="15" t="s">
        <v>678</v>
      </c>
    </row>
    <row r="6" spans="2:6">
      <c r="B6" s="14" t="s">
        <v>278</v>
      </c>
      <c r="C6" s="38" t="s">
        <v>379</v>
      </c>
      <c r="D6" s="38">
        <v>16</v>
      </c>
      <c r="E6" s="77">
        <v>4.5175039947955714E-2</v>
      </c>
      <c r="F6" s="15" t="s">
        <v>678</v>
      </c>
    </row>
    <row r="7" spans="2:6">
      <c r="B7" s="14" t="s">
        <v>282</v>
      </c>
      <c r="C7" s="38" t="s">
        <v>380</v>
      </c>
      <c r="D7" s="38">
        <v>6</v>
      </c>
      <c r="E7" s="77">
        <v>3.9354003856021363E-2</v>
      </c>
      <c r="F7" s="15" t="s">
        <v>620</v>
      </c>
    </row>
    <row r="8" spans="2:6">
      <c r="B8" s="14" t="s">
        <v>285</v>
      </c>
      <c r="C8" s="38" t="s">
        <v>175</v>
      </c>
      <c r="D8" s="38">
        <v>5</v>
      </c>
      <c r="E8" s="76">
        <v>6.7610419205099944E-3</v>
      </c>
      <c r="F8" s="15" t="s">
        <v>620</v>
      </c>
    </row>
    <row r="9" spans="2:6">
      <c r="B9" s="14" t="s">
        <v>288</v>
      </c>
      <c r="C9" s="38" t="s">
        <v>380</v>
      </c>
      <c r="D9" s="38">
        <v>5</v>
      </c>
      <c r="E9" s="77">
        <v>4.5324088318195552E-2</v>
      </c>
      <c r="F9" s="15" t="s">
        <v>620</v>
      </c>
    </row>
    <row r="10" spans="2:6">
      <c r="B10" s="14" t="s">
        <v>292</v>
      </c>
      <c r="C10" s="38" t="s">
        <v>380</v>
      </c>
      <c r="D10" s="38">
        <v>6</v>
      </c>
      <c r="E10" s="77">
        <v>1.9102834631377526E-2</v>
      </c>
      <c r="F10" s="15" t="s">
        <v>620</v>
      </c>
    </row>
    <row r="11" spans="2:6">
      <c r="B11" s="14" t="s">
        <v>296</v>
      </c>
      <c r="C11" s="38" t="s">
        <v>380</v>
      </c>
      <c r="D11" s="38">
        <v>9</v>
      </c>
      <c r="E11" s="77">
        <v>1.1511221829601483E-2</v>
      </c>
      <c r="F11" s="15" t="s">
        <v>620</v>
      </c>
    </row>
    <row r="12" spans="2:6">
      <c r="B12" s="14" t="s">
        <v>300</v>
      </c>
      <c r="C12" s="38" t="s">
        <v>380</v>
      </c>
      <c r="D12" s="38">
        <v>8</v>
      </c>
      <c r="E12" s="77">
        <v>2.0254576034001926E-2</v>
      </c>
      <c r="F12" s="15" t="s">
        <v>620</v>
      </c>
    </row>
    <row r="13" spans="2:6">
      <c r="B13" s="14" t="s">
        <v>304</v>
      </c>
      <c r="C13" s="38" t="s">
        <v>175</v>
      </c>
      <c r="D13" s="38">
        <v>9</v>
      </c>
      <c r="E13" s="77">
        <v>2.6109599625237186E-2</v>
      </c>
      <c r="F13" s="15" t="s">
        <v>620</v>
      </c>
    </row>
    <row r="14" spans="2:6">
      <c r="B14" s="14" t="s">
        <v>308</v>
      </c>
      <c r="C14" s="38" t="s">
        <v>380</v>
      </c>
      <c r="D14" s="38">
        <v>7</v>
      </c>
      <c r="E14" s="77">
        <v>2.2419974085108391E-2</v>
      </c>
      <c r="F14" s="15" t="s">
        <v>620</v>
      </c>
    </row>
    <row r="15" spans="2:6">
      <c r="B15" s="14" t="s">
        <v>312</v>
      </c>
      <c r="C15" s="38" t="s">
        <v>380</v>
      </c>
      <c r="D15" s="38">
        <v>9</v>
      </c>
      <c r="E15" s="77">
        <v>1.5830899593910628E-2</v>
      </c>
      <c r="F15" s="15" t="s">
        <v>620</v>
      </c>
    </row>
    <row r="16" spans="2:6">
      <c r="B16" s="14" t="s">
        <v>316</v>
      </c>
      <c r="C16" s="38" t="s">
        <v>175</v>
      </c>
      <c r="D16" s="38">
        <v>9</v>
      </c>
      <c r="E16" s="77">
        <v>1.6034087157667996E-2</v>
      </c>
      <c r="F16" s="15" t="s">
        <v>620</v>
      </c>
    </row>
    <row r="17" spans="2:6">
      <c r="B17" s="14" t="s">
        <v>320</v>
      </c>
      <c r="C17" s="38" t="s">
        <v>380</v>
      </c>
      <c r="D17" s="38">
        <v>9</v>
      </c>
      <c r="E17" s="54">
        <v>7.9057212741599943E-4</v>
      </c>
      <c r="F17" s="15" t="s">
        <v>620</v>
      </c>
    </row>
    <row r="18" spans="2:6">
      <c r="B18" s="14" t="s">
        <v>324</v>
      </c>
      <c r="C18" s="38" t="s">
        <v>380</v>
      </c>
      <c r="D18" s="38">
        <v>6</v>
      </c>
      <c r="E18" s="77">
        <v>4.7014675508960116E-2</v>
      </c>
      <c r="F18" s="15" t="s">
        <v>620</v>
      </c>
    </row>
    <row r="19" spans="2:6">
      <c r="B19" s="14" t="s">
        <v>328</v>
      </c>
      <c r="C19" s="38" t="s">
        <v>175</v>
      </c>
      <c r="D19" s="38">
        <v>9</v>
      </c>
      <c r="E19" s="76">
        <v>3.3431966467935849E-3</v>
      </c>
      <c r="F19" s="15" t="s">
        <v>620</v>
      </c>
    </row>
    <row r="20" spans="2:6">
      <c r="B20" s="14" t="s">
        <v>332</v>
      </c>
      <c r="C20" s="38" t="s">
        <v>380</v>
      </c>
      <c r="D20" s="38">
        <v>7</v>
      </c>
      <c r="E20" s="77">
        <v>3.641768755977641E-2</v>
      </c>
      <c r="F20" s="15" t="s">
        <v>620</v>
      </c>
    </row>
    <row r="21" spans="2:6" ht="15" thickBot="1">
      <c r="B21" s="29" t="s">
        <v>335</v>
      </c>
      <c r="C21" s="39" t="s">
        <v>175</v>
      </c>
      <c r="D21" s="39">
        <v>10</v>
      </c>
      <c r="E21" s="58">
        <v>2.2010182671285028E-4</v>
      </c>
      <c r="F21" s="30" t="s">
        <v>620</v>
      </c>
    </row>
  </sheetData>
  <mergeCells count="1">
    <mergeCell ref="B2:F3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DC7C3-78B9-4F05-80DD-3D3C19C0500F}">
  <sheetPr codeName="Sheet9">
    <pageSetUpPr autoPageBreaks="0"/>
  </sheetPr>
  <dimension ref="B1:G6"/>
  <sheetViews>
    <sheetView zoomScale="85" zoomScaleNormal="85" workbookViewId="0">
      <selection activeCell="D14" sqref="D14"/>
    </sheetView>
  </sheetViews>
  <sheetFormatPr defaultRowHeight="14.5"/>
  <cols>
    <col min="1" max="1" width="8.7265625" style="1"/>
    <col min="2" max="6" width="23.1796875" style="1" customWidth="1"/>
    <col min="7" max="7" width="26.6328125" style="1" customWidth="1"/>
    <col min="8" max="16384" width="8.7265625" style="1"/>
  </cols>
  <sheetData>
    <row r="1" spans="2:7" ht="15" thickBot="1"/>
    <row r="2" spans="2:7">
      <c r="B2" s="227" t="s">
        <v>383</v>
      </c>
      <c r="C2" s="228"/>
      <c r="D2" s="228"/>
      <c r="E2" s="228"/>
      <c r="F2" s="228"/>
      <c r="G2" s="229"/>
    </row>
    <row r="3" spans="2:7" ht="15" thickBot="1">
      <c r="B3" s="233"/>
      <c r="C3" s="234"/>
      <c r="D3" s="234"/>
      <c r="E3" s="234"/>
      <c r="F3" s="234"/>
      <c r="G3" s="235"/>
    </row>
    <row r="4" spans="2:7" ht="17" thickBot="1">
      <c r="B4" s="180" t="s">
        <v>384</v>
      </c>
      <c r="C4" s="181" t="s">
        <v>385</v>
      </c>
      <c r="D4" s="182" t="s">
        <v>386</v>
      </c>
      <c r="E4" s="181" t="s">
        <v>385</v>
      </c>
      <c r="F4" s="182" t="s">
        <v>386</v>
      </c>
      <c r="G4" s="183" t="s">
        <v>11</v>
      </c>
    </row>
    <row r="5" spans="2:7">
      <c r="B5" s="5" t="s">
        <v>387</v>
      </c>
      <c r="C5" s="178">
        <f>0.004525</f>
        <v>4.5250000000000004E-3</v>
      </c>
      <c r="D5" s="11">
        <v>61.100999999999999</v>
      </c>
      <c r="E5" s="11">
        <f>0.000000000254</f>
        <v>2.54E-10</v>
      </c>
      <c r="F5" s="71">
        <v>44.78</v>
      </c>
      <c r="G5" s="236" t="s">
        <v>677</v>
      </c>
    </row>
    <row r="6" spans="2:7" ht="15" thickBot="1">
      <c r="B6" s="23" t="s">
        <v>388</v>
      </c>
      <c r="C6" s="179">
        <f>0.004535</f>
        <v>4.535E-3</v>
      </c>
      <c r="D6" s="33">
        <v>61.100999999999999</v>
      </c>
      <c r="E6" s="33">
        <f>0.000000000206</f>
        <v>2.0600000000000001E-10</v>
      </c>
      <c r="F6" s="33">
        <v>47.918999999999997</v>
      </c>
      <c r="G6" s="237"/>
    </row>
  </sheetData>
  <mergeCells count="2">
    <mergeCell ref="B2:G3"/>
    <mergeCell ref="G5:G6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7BBB4-20C8-401F-ABBE-B508EAA6EAEF}">
  <sheetPr codeName="Sheet10">
    <pageSetUpPr autoPageBreaks="0"/>
  </sheetPr>
  <dimension ref="B1:W132"/>
  <sheetViews>
    <sheetView zoomScale="85" zoomScaleNormal="85" workbookViewId="0">
      <selection activeCell="B31" sqref="B30:C31"/>
    </sheetView>
  </sheetViews>
  <sheetFormatPr defaultRowHeight="14.5"/>
  <cols>
    <col min="1" max="1" width="8.7265625" style="1"/>
    <col min="2" max="3" width="15.81640625" style="1" customWidth="1"/>
    <col min="4" max="5" width="14.90625" style="1" customWidth="1"/>
    <col min="6" max="6" width="8.7265625" style="1"/>
    <col min="7" max="8" width="14.6328125" style="1" customWidth="1"/>
    <col min="9" max="10" width="13.26953125" style="1" customWidth="1"/>
    <col min="11" max="12" width="13.6328125" style="1" customWidth="1"/>
    <col min="13" max="14" width="14.7265625" style="1" customWidth="1"/>
    <col min="15" max="16" width="14.90625" style="1" customWidth="1"/>
    <col min="17" max="18" width="8.7265625" style="1"/>
    <col min="19" max="23" width="13.90625" style="1" customWidth="1"/>
    <col min="24" max="16384" width="8.7265625" style="1"/>
  </cols>
  <sheetData>
    <row r="1" spans="2:23" ht="15" thickBot="1"/>
    <row r="2" spans="2:23" s="4" customFormat="1">
      <c r="B2" s="227" t="s">
        <v>393</v>
      </c>
      <c r="C2" s="228"/>
      <c r="D2" s="228"/>
      <c r="E2" s="229"/>
      <c r="G2" s="227" t="s">
        <v>394</v>
      </c>
      <c r="H2" s="228"/>
      <c r="I2" s="228"/>
      <c r="J2" s="228"/>
      <c r="K2" s="228"/>
      <c r="L2" s="228"/>
      <c r="M2" s="228"/>
      <c r="N2" s="228"/>
      <c r="O2" s="228"/>
      <c r="P2" s="229"/>
      <c r="R2" s="227" t="s">
        <v>404</v>
      </c>
      <c r="S2" s="228"/>
      <c r="T2" s="228"/>
      <c r="U2" s="228"/>
      <c r="V2" s="228"/>
      <c r="W2" s="229"/>
    </row>
    <row r="3" spans="2:23" s="4" customFormat="1">
      <c r="B3" s="233" t="s">
        <v>390</v>
      </c>
      <c r="C3" s="234"/>
      <c r="D3" s="234"/>
      <c r="E3" s="235"/>
      <c r="G3" s="233" t="s">
        <v>390</v>
      </c>
      <c r="H3" s="234"/>
      <c r="I3" s="234"/>
      <c r="J3" s="234"/>
      <c r="K3" s="234"/>
      <c r="L3" s="234"/>
      <c r="M3" s="234"/>
      <c r="N3" s="234"/>
      <c r="O3" s="234"/>
      <c r="P3" s="235"/>
      <c r="R3" s="233" t="s">
        <v>405</v>
      </c>
      <c r="S3" s="234"/>
      <c r="T3" s="234"/>
      <c r="U3" s="234"/>
      <c r="V3" s="234"/>
      <c r="W3" s="235"/>
    </row>
    <row r="4" spans="2:23" s="4" customFormat="1">
      <c r="B4" s="233" t="s">
        <v>396</v>
      </c>
      <c r="C4" s="234"/>
      <c r="D4" s="234"/>
      <c r="E4" s="235"/>
      <c r="G4" s="233" t="s">
        <v>395</v>
      </c>
      <c r="H4" s="234"/>
      <c r="I4" s="234"/>
      <c r="J4" s="234"/>
      <c r="K4" s="234"/>
      <c r="L4" s="234"/>
      <c r="M4" s="234"/>
      <c r="N4" s="234"/>
      <c r="O4" s="234"/>
      <c r="P4" s="235"/>
      <c r="R4" s="233" t="s">
        <v>406</v>
      </c>
      <c r="S4" s="234"/>
      <c r="T4" s="234"/>
      <c r="U4" s="234"/>
      <c r="V4" s="234"/>
      <c r="W4" s="235"/>
    </row>
    <row r="5" spans="2:23" s="4" customFormat="1" ht="15" thickBot="1">
      <c r="B5" s="230" t="s">
        <v>391</v>
      </c>
      <c r="C5" s="231"/>
      <c r="D5" s="231"/>
      <c r="E5" s="232"/>
      <c r="G5" s="230" t="s">
        <v>399</v>
      </c>
      <c r="H5" s="231"/>
      <c r="I5" s="231"/>
      <c r="J5" s="231"/>
      <c r="K5" s="231"/>
      <c r="L5" s="231"/>
      <c r="M5" s="231"/>
      <c r="N5" s="231"/>
      <c r="O5" s="231"/>
      <c r="P5" s="232"/>
      <c r="R5" s="230" t="s">
        <v>399</v>
      </c>
      <c r="S5" s="231"/>
      <c r="T5" s="231"/>
      <c r="U5" s="231"/>
      <c r="V5" s="231"/>
      <c r="W5" s="232"/>
    </row>
    <row r="6" spans="2:23" ht="15" thickBot="1">
      <c r="B6" s="242" t="s">
        <v>397</v>
      </c>
      <c r="C6" s="244"/>
      <c r="D6" s="238" t="s">
        <v>398</v>
      </c>
      <c r="E6" s="239"/>
      <c r="G6" s="242" t="s">
        <v>397</v>
      </c>
      <c r="H6" s="243"/>
      <c r="I6" s="243"/>
      <c r="J6" s="243"/>
      <c r="K6" s="243"/>
      <c r="L6" s="243"/>
      <c r="M6" s="243"/>
      <c r="N6" s="243"/>
      <c r="O6" s="238" t="s">
        <v>398</v>
      </c>
      <c r="P6" s="239"/>
      <c r="R6" s="242" t="s">
        <v>397</v>
      </c>
      <c r="S6" s="243"/>
      <c r="T6" s="244"/>
      <c r="U6" s="238" t="s">
        <v>408</v>
      </c>
      <c r="V6" s="248"/>
      <c r="W6" s="239"/>
    </row>
    <row r="7" spans="2:23" ht="15" thickBot="1">
      <c r="B7" s="245" t="s">
        <v>392</v>
      </c>
      <c r="C7" s="247"/>
      <c r="D7" s="240"/>
      <c r="E7" s="241"/>
      <c r="G7" s="245" t="s">
        <v>400</v>
      </c>
      <c r="H7" s="247"/>
      <c r="I7" s="245" t="s">
        <v>401</v>
      </c>
      <c r="J7" s="247"/>
      <c r="K7" s="245" t="s">
        <v>402</v>
      </c>
      <c r="L7" s="247"/>
      <c r="M7" s="245" t="s">
        <v>403</v>
      </c>
      <c r="N7" s="247"/>
      <c r="O7" s="240"/>
      <c r="P7" s="241"/>
      <c r="R7" s="245" t="s">
        <v>407</v>
      </c>
      <c r="S7" s="246"/>
      <c r="T7" s="247"/>
      <c r="U7" s="240"/>
      <c r="V7" s="249"/>
      <c r="W7" s="241"/>
    </row>
    <row r="8" spans="2:23" ht="16.5">
      <c r="B8" s="5" t="s">
        <v>410</v>
      </c>
      <c r="C8" s="11" t="s">
        <v>412</v>
      </c>
      <c r="D8" s="14" t="s">
        <v>410</v>
      </c>
      <c r="E8" s="15" t="s">
        <v>412</v>
      </c>
      <c r="G8" s="5" t="s">
        <v>409</v>
      </c>
      <c r="H8" s="6" t="s">
        <v>410</v>
      </c>
      <c r="I8" s="5" t="s">
        <v>409</v>
      </c>
      <c r="J8" s="6" t="s">
        <v>410</v>
      </c>
      <c r="K8" s="5" t="s">
        <v>409</v>
      </c>
      <c r="L8" s="6" t="s">
        <v>410</v>
      </c>
      <c r="M8" s="5" t="s">
        <v>409</v>
      </c>
      <c r="N8" s="6" t="s">
        <v>410</v>
      </c>
      <c r="O8" s="14" t="s">
        <v>409</v>
      </c>
      <c r="P8" s="15" t="s">
        <v>410</v>
      </c>
      <c r="R8" s="31" t="s">
        <v>409</v>
      </c>
      <c r="S8" s="32" t="s">
        <v>410</v>
      </c>
      <c r="T8" s="34" t="s">
        <v>411</v>
      </c>
      <c r="U8" s="35" t="s">
        <v>409</v>
      </c>
      <c r="V8" s="36" t="s">
        <v>410</v>
      </c>
      <c r="W8" s="37" t="s">
        <v>411</v>
      </c>
    </row>
    <row r="9" spans="2:23">
      <c r="B9" s="7"/>
      <c r="C9" s="12"/>
      <c r="D9" s="16">
        <v>0</v>
      </c>
      <c r="E9" s="17">
        <v>3186.0184074358999</v>
      </c>
      <c r="G9" s="5"/>
      <c r="H9" s="21"/>
      <c r="I9" s="5"/>
      <c r="J9" s="21"/>
      <c r="K9" s="5"/>
      <c r="L9" s="6"/>
      <c r="M9" s="5"/>
      <c r="N9" s="27"/>
      <c r="O9" s="14">
        <v>270</v>
      </c>
      <c r="P9" s="15">
        <v>1.8887000000000001E-2</v>
      </c>
      <c r="R9" s="5"/>
      <c r="S9" s="11"/>
      <c r="T9" s="11"/>
      <c r="U9" s="14">
        <v>293.14999999999998</v>
      </c>
      <c r="V9" s="38">
        <v>0</v>
      </c>
      <c r="W9" s="15">
        <v>1004.21</v>
      </c>
    </row>
    <row r="10" spans="2:23">
      <c r="B10" s="7"/>
      <c r="C10" s="12"/>
      <c r="D10" s="16">
        <v>3.3333333333333301E-3</v>
      </c>
      <c r="E10" s="17">
        <v>3176.8449190749502</v>
      </c>
      <c r="G10" s="5"/>
      <c r="H10" s="21"/>
      <c r="I10" s="5"/>
      <c r="J10" s="21"/>
      <c r="K10" s="5"/>
      <c r="L10" s="6"/>
      <c r="M10" s="5"/>
      <c r="N10" s="27"/>
      <c r="O10" s="14">
        <v>271</v>
      </c>
      <c r="P10" s="15">
        <v>1.9574000000000001E-2</v>
      </c>
      <c r="R10" s="5"/>
      <c r="S10" s="11"/>
      <c r="T10" s="11"/>
      <c r="U10" s="14">
        <v>293.14999999999998</v>
      </c>
      <c r="V10" s="38">
        <v>6.6699999999999995E-4</v>
      </c>
      <c r="W10" s="15">
        <v>1004.907</v>
      </c>
    </row>
    <row r="11" spans="2:23">
      <c r="B11" s="7"/>
      <c r="C11" s="12"/>
      <c r="D11" s="16">
        <v>6.6666666666666602E-3</v>
      </c>
      <c r="E11" s="17">
        <v>3168.9477240962601</v>
      </c>
      <c r="G11" s="5"/>
      <c r="H11" s="21"/>
      <c r="I11" s="5"/>
      <c r="J11" s="21"/>
      <c r="K11" s="5"/>
      <c r="L11" s="6"/>
      <c r="M11" s="5"/>
      <c r="N11" s="27"/>
      <c r="O11" s="14">
        <v>272</v>
      </c>
      <c r="P11" s="15">
        <v>2.0282000000000001E-2</v>
      </c>
      <c r="R11" s="5"/>
      <c r="S11" s="11"/>
      <c r="T11" s="11"/>
      <c r="U11" s="14">
        <v>293.14999999999998</v>
      </c>
      <c r="V11" s="38">
        <v>1.333E-3</v>
      </c>
      <c r="W11" s="15">
        <v>1005.6</v>
      </c>
    </row>
    <row r="12" spans="2:23" ht="15" thickBot="1">
      <c r="B12" s="7"/>
      <c r="C12" s="12"/>
      <c r="D12" s="18">
        <v>0.01</v>
      </c>
      <c r="E12" s="17">
        <v>3161.3395394112199</v>
      </c>
      <c r="G12" s="5"/>
      <c r="H12" s="21"/>
      <c r="I12" s="5"/>
      <c r="J12" s="21"/>
      <c r="K12" s="5"/>
      <c r="L12" s="6"/>
      <c r="M12" s="23"/>
      <c r="N12" s="28"/>
      <c r="O12" s="14">
        <v>273</v>
      </c>
      <c r="P12" s="15">
        <v>2.1009E-2</v>
      </c>
      <c r="R12" s="5"/>
      <c r="S12" s="11"/>
      <c r="T12" s="11"/>
      <c r="U12" s="14">
        <v>293.14999999999998</v>
      </c>
      <c r="V12" s="38">
        <v>2E-3</v>
      </c>
      <c r="W12" s="15">
        <v>1006.29</v>
      </c>
    </row>
    <row r="13" spans="2:23">
      <c r="B13" s="7"/>
      <c r="C13" s="12"/>
      <c r="D13" s="18">
        <v>1.3333333333333299E-2</v>
      </c>
      <c r="E13" s="17">
        <v>3153.6816483923199</v>
      </c>
      <c r="G13" s="5"/>
      <c r="H13" s="21"/>
      <c r="I13" s="5"/>
      <c r="J13" s="21"/>
      <c r="K13" s="5"/>
      <c r="L13" s="6"/>
      <c r="O13" s="14">
        <v>274</v>
      </c>
      <c r="P13" s="15">
        <v>2.1753000000000002E-2</v>
      </c>
      <c r="R13" s="5"/>
      <c r="S13" s="11"/>
      <c r="T13" s="11"/>
      <c r="U13" s="14">
        <v>293.14999999999998</v>
      </c>
      <c r="V13" s="38">
        <v>2.6670000000000001E-3</v>
      </c>
      <c r="W13" s="15">
        <v>1006.976</v>
      </c>
    </row>
    <row r="14" spans="2:23">
      <c r="B14" s="7"/>
      <c r="C14" s="12"/>
      <c r="D14" s="18">
        <v>1.6666666666666601E-2</v>
      </c>
      <c r="E14" s="17">
        <v>3145.8221095416602</v>
      </c>
      <c r="G14" s="5"/>
      <c r="H14" s="21"/>
      <c r="I14" s="5"/>
      <c r="J14" s="21"/>
      <c r="K14" s="5"/>
      <c r="L14" s="6"/>
      <c r="O14" s="14">
        <v>275</v>
      </c>
      <c r="P14" s="15">
        <v>2.2512000000000001E-2</v>
      </c>
      <c r="R14" s="5"/>
      <c r="S14" s="11"/>
      <c r="T14" s="11"/>
      <c r="U14" s="14">
        <v>293.14999999999998</v>
      </c>
      <c r="V14" s="38">
        <v>3.333E-3</v>
      </c>
      <c r="W14" s="15">
        <v>1007.658</v>
      </c>
    </row>
    <row r="15" spans="2:23" ht="15" thickBot="1">
      <c r="B15" s="7"/>
      <c r="C15" s="12"/>
      <c r="D15" s="18">
        <v>0.02</v>
      </c>
      <c r="E15" s="17">
        <v>3137.6853551876002</v>
      </c>
      <c r="G15" s="5"/>
      <c r="H15" s="21"/>
      <c r="I15" s="5"/>
      <c r="J15" s="21"/>
      <c r="K15" s="23"/>
      <c r="L15" s="26"/>
      <c r="O15" s="14">
        <v>276</v>
      </c>
      <c r="P15" s="15">
        <v>2.3271E-2</v>
      </c>
      <c r="R15" s="5"/>
      <c r="S15" s="11"/>
      <c r="T15" s="11"/>
      <c r="U15" s="14">
        <v>293.14999999999998</v>
      </c>
      <c r="V15" s="38">
        <v>4.0000000000000001E-3</v>
      </c>
      <c r="W15" s="15">
        <v>1008.338</v>
      </c>
    </row>
    <row r="16" spans="2:23" ht="15" thickBot="1">
      <c r="B16" s="7"/>
      <c r="C16" s="12"/>
      <c r="D16" s="18">
        <v>2.33333333333333E-2</v>
      </c>
      <c r="E16" s="17">
        <v>3129.2331418384802</v>
      </c>
      <c r="G16" s="5"/>
      <c r="H16" s="21"/>
      <c r="I16" s="23"/>
      <c r="J16" s="25"/>
      <c r="O16" s="14">
        <v>277</v>
      </c>
      <c r="P16" s="15">
        <v>2.4060999999999999E-2</v>
      </c>
      <c r="R16" s="5"/>
      <c r="S16" s="11"/>
      <c r="T16" s="11"/>
      <c r="U16" s="14">
        <v>293.14999999999998</v>
      </c>
      <c r="V16" s="38">
        <v>4.6670000000000001E-3</v>
      </c>
      <c r="W16" s="15">
        <v>1009.013</v>
      </c>
    </row>
    <row r="17" spans="2:23">
      <c r="B17" s="7"/>
      <c r="C17" s="12"/>
      <c r="D17" s="18">
        <v>2.6666666666666599E-2</v>
      </c>
      <c r="E17" s="17">
        <v>3120.447540616</v>
      </c>
      <c r="G17" s="5"/>
      <c r="H17" s="21"/>
      <c r="O17" s="14">
        <v>278</v>
      </c>
      <c r="P17" s="15">
        <v>2.4858999999999999E-2</v>
      </c>
      <c r="R17" s="5"/>
      <c r="S17" s="11"/>
      <c r="T17" s="11"/>
      <c r="U17" s="14">
        <v>293.14999999999998</v>
      </c>
      <c r="V17" s="38">
        <v>5.3330000000000001E-3</v>
      </c>
      <c r="W17" s="15">
        <v>1009.686</v>
      </c>
    </row>
    <row r="18" spans="2:23">
      <c r="B18" s="9"/>
      <c r="C18" s="12"/>
      <c r="D18" s="18">
        <v>0.03</v>
      </c>
      <c r="E18" s="17">
        <v>3111.3224737336</v>
      </c>
      <c r="G18" s="5"/>
      <c r="H18" s="21"/>
      <c r="O18" s="14">
        <v>279</v>
      </c>
      <c r="P18" s="15">
        <v>2.5659000000000001E-2</v>
      </c>
      <c r="R18" s="5"/>
      <c r="S18" s="11"/>
      <c r="T18" s="11"/>
      <c r="U18" s="14">
        <v>293.14999999999998</v>
      </c>
      <c r="V18" s="38">
        <v>6.0000000000000001E-3</v>
      </c>
      <c r="W18" s="15">
        <v>1010.355</v>
      </c>
    </row>
    <row r="19" spans="2:23">
      <c r="B19" s="9"/>
      <c r="C19" s="12"/>
      <c r="D19" s="18">
        <v>3.3333333333333298E-2</v>
      </c>
      <c r="E19" s="17">
        <v>3101.85909410161</v>
      </c>
      <c r="G19" s="5"/>
      <c r="H19" s="21"/>
      <c r="O19" s="14">
        <v>280</v>
      </c>
      <c r="P19" s="15">
        <v>2.6498000000000001E-2</v>
      </c>
      <c r="R19" s="5"/>
      <c r="S19" s="11"/>
      <c r="T19" s="11"/>
      <c r="U19" s="14">
        <v>293.14999999999998</v>
      </c>
      <c r="V19" s="38">
        <v>6.6670000000000002E-3</v>
      </c>
      <c r="W19" s="15">
        <v>1011.02</v>
      </c>
    </row>
    <row r="20" spans="2:23">
      <c r="B20" s="9"/>
      <c r="C20" s="12"/>
      <c r="D20" s="18">
        <v>3.6666666666666597E-2</v>
      </c>
      <c r="E20" s="17">
        <v>3092.0630853693501</v>
      </c>
      <c r="G20" s="5"/>
      <c r="H20" s="21"/>
      <c r="O20" s="14">
        <v>281</v>
      </c>
      <c r="P20" s="15">
        <v>2.7337E-2</v>
      </c>
      <c r="R20" s="5"/>
      <c r="S20" s="11"/>
      <c r="T20" s="11"/>
      <c r="U20" s="14">
        <v>293.14999999999998</v>
      </c>
      <c r="V20" s="38">
        <v>7.3330000000000001E-3</v>
      </c>
      <c r="W20" s="15">
        <v>1011.682</v>
      </c>
    </row>
    <row r="21" spans="2:23">
      <c r="B21" s="9"/>
      <c r="C21" s="12"/>
      <c r="D21" s="18">
        <v>0.04</v>
      </c>
      <c r="E21" s="17">
        <v>3081.9430011157501</v>
      </c>
      <c r="G21" s="5"/>
      <c r="H21" s="21"/>
      <c r="O21" s="14">
        <v>282</v>
      </c>
      <c r="P21" s="15">
        <v>2.8185999999999999E-2</v>
      </c>
      <c r="R21" s="5"/>
      <c r="S21" s="11"/>
      <c r="T21" s="11"/>
      <c r="U21" s="14">
        <v>293.14999999999998</v>
      </c>
      <c r="V21" s="38">
        <v>8.0000000000000002E-3</v>
      </c>
      <c r="W21" s="15">
        <v>1012.341</v>
      </c>
    </row>
    <row r="22" spans="2:23" ht="15" thickBot="1">
      <c r="B22" s="10"/>
      <c r="C22" s="13"/>
      <c r="D22" s="18">
        <v>4.33333333333333E-2</v>
      </c>
      <c r="E22" s="17">
        <v>3071.5092018922001</v>
      </c>
      <c r="G22" s="5"/>
      <c r="H22" s="22"/>
      <c r="O22" s="14">
        <v>283</v>
      </c>
      <c r="P22" s="15">
        <v>2.9065000000000001E-2</v>
      </c>
      <c r="R22" s="5"/>
      <c r="S22" s="11"/>
      <c r="T22" s="11"/>
      <c r="U22" s="14">
        <v>293.14999999999998</v>
      </c>
      <c r="V22" s="38">
        <v>8.6669999999999994E-3</v>
      </c>
      <c r="W22" s="15">
        <v>1012.996</v>
      </c>
    </row>
    <row r="23" spans="2:23">
      <c r="B23" s="2"/>
      <c r="C23" s="2"/>
      <c r="D23" s="18">
        <v>4.6666666666666599E-2</v>
      </c>
      <c r="E23" s="17">
        <v>3060.7731540667601</v>
      </c>
      <c r="G23" s="5"/>
      <c r="H23" s="22"/>
      <c r="O23" s="14">
        <v>284</v>
      </c>
      <c r="P23" s="15">
        <v>2.9943999999999998E-2</v>
      </c>
      <c r="R23" s="5"/>
      <c r="S23" s="11"/>
      <c r="T23" s="11"/>
      <c r="U23" s="14">
        <v>293.14999999999998</v>
      </c>
      <c r="V23" s="38">
        <v>9.3329999999999993E-3</v>
      </c>
      <c r="W23" s="15">
        <v>1013.649</v>
      </c>
    </row>
    <row r="24" spans="2:23">
      <c r="B24" s="2"/>
      <c r="C24" s="2"/>
      <c r="D24" s="18">
        <v>0.05</v>
      </c>
      <c r="E24" s="17">
        <v>3049.7469566034201</v>
      </c>
      <c r="G24" s="5"/>
      <c r="H24" s="22"/>
      <c r="O24" s="14">
        <v>285</v>
      </c>
      <c r="P24" s="15">
        <v>3.0852000000000001E-2</v>
      </c>
      <c r="R24" s="5"/>
      <c r="S24" s="11"/>
      <c r="T24" s="11"/>
      <c r="U24" s="14">
        <v>293.14999999999998</v>
      </c>
      <c r="V24" s="38">
        <v>0.01</v>
      </c>
      <c r="W24" s="15">
        <v>1014.297</v>
      </c>
    </row>
    <row r="25" spans="2:23" ht="15" thickBot="1">
      <c r="B25" s="2"/>
      <c r="C25" s="2"/>
      <c r="D25" s="18">
        <v>5.3333333333333302E-2</v>
      </c>
      <c r="E25" s="17">
        <v>3038.4430159455201</v>
      </c>
      <c r="G25" s="23"/>
      <c r="H25" s="24"/>
      <c r="O25" s="14">
        <v>286</v>
      </c>
      <c r="P25" s="15">
        <v>3.1791E-2</v>
      </c>
      <c r="R25" s="5"/>
      <c r="S25" s="11"/>
      <c r="T25" s="11"/>
      <c r="U25" s="14">
        <v>293.14999999999998</v>
      </c>
      <c r="V25" s="38">
        <v>1.0666999999999999E-2</v>
      </c>
      <c r="W25" s="15">
        <v>1014.943</v>
      </c>
    </row>
    <row r="26" spans="2:23">
      <c r="B26" s="2"/>
      <c r="C26" s="2"/>
      <c r="D26" s="18">
        <v>5.6666666666666601E-2</v>
      </c>
      <c r="E26" s="17">
        <v>3026.8738205040499</v>
      </c>
      <c r="O26" s="14">
        <v>287</v>
      </c>
      <c r="P26" s="15">
        <v>3.2730000000000002E-2</v>
      </c>
      <c r="R26" s="5"/>
      <c r="S26" s="11"/>
      <c r="T26" s="11"/>
      <c r="U26" s="14">
        <v>293.14999999999998</v>
      </c>
      <c r="V26" s="38">
        <v>1.1332999999999999E-2</v>
      </c>
      <c r="W26" s="15">
        <v>1015.585</v>
      </c>
    </row>
    <row r="27" spans="2:23">
      <c r="B27" s="2"/>
      <c r="C27" s="2"/>
      <c r="D27" s="18">
        <v>0.06</v>
      </c>
      <c r="E27" s="17">
        <v>3015.0517830017402</v>
      </c>
      <c r="O27" s="14">
        <v>288</v>
      </c>
      <c r="P27" s="15">
        <v>3.3668999999999998E-2</v>
      </c>
      <c r="R27" s="5"/>
      <c r="S27" s="11"/>
      <c r="T27" s="11"/>
      <c r="U27" s="14">
        <v>293.14999999999998</v>
      </c>
      <c r="V27" s="38">
        <v>1.2E-2</v>
      </c>
      <c r="W27" s="15">
        <v>1016.224</v>
      </c>
    </row>
    <row r="28" spans="2:23">
      <c r="B28" s="2"/>
      <c r="C28" s="2"/>
      <c r="D28" s="18">
        <v>6.3333333333333297E-2</v>
      </c>
      <c r="E28" s="17">
        <v>3002.9891303757499</v>
      </c>
      <c r="O28" s="14">
        <v>289</v>
      </c>
      <c r="P28" s="15">
        <v>3.4608E-2</v>
      </c>
      <c r="R28" s="5"/>
      <c r="S28" s="11"/>
      <c r="T28" s="11"/>
      <c r="U28" s="14">
        <v>293.14999999999998</v>
      </c>
      <c r="V28" s="38">
        <v>1.2666999999999999E-2</v>
      </c>
      <c r="W28" s="15">
        <v>1016.86</v>
      </c>
    </row>
    <row r="29" spans="2:23">
      <c r="B29" s="2"/>
      <c r="C29" s="2"/>
      <c r="D29" s="18">
        <v>6.6666666666666596E-2</v>
      </c>
      <c r="E29" s="17">
        <v>2990.6978273453401</v>
      </c>
      <c r="O29" s="14">
        <v>290</v>
      </c>
      <c r="P29" s="15">
        <v>3.5547000000000002E-2</v>
      </c>
      <c r="R29" s="5"/>
      <c r="S29" s="11"/>
      <c r="T29" s="11"/>
      <c r="U29" s="14">
        <v>293.14999999999998</v>
      </c>
      <c r="V29" s="38">
        <v>1.3332999999999999E-2</v>
      </c>
      <c r="W29" s="15">
        <v>1017.4930000000001</v>
      </c>
    </row>
    <row r="30" spans="2:23">
      <c r="B30" s="2"/>
      <c r="C30" s="2"/>
      <c r="D30" s="18">
        <v>7.0000000000000007E-2</v>
      </c>
      <c r="E30" s="17">
        <v>2978.1895244499201</v>
      </c>
      <c r="O30" s="14">
        <v>291</v>
      </c>
      <c r="P30" s="15">
        <v>3.6563999999999999E-2</v>
      </c>
      <c r="R30" s="5"/>
      <c r="S30" s="11"/>
      <c r="T30" s="11"/>
      <c r="U30" s="14">
        <v>293.14999999999998</v>
      </c>
      <c r="V30" s="38">
        <v>1.4E-2</v>
      </c>
      <c r="W30" s="15">
        <v>1018.122</v>
      </c>
    </row>
    <row r="31" spans="2:23">
      <c r="B31" s="2"/>
      <c r="C31" s="2"/>
      <c r="D31" s="18">
        <v>7.3333333333333306E-2</v>
      </c>
      <c r="E31" s="17">
        <v>2965.4755233563801</v>
      </c>
      <c r="O31" s="14">
        <v>292</v>
      </c>
      <c r="P31" s="15">
        <v>3.7582999999999998E-2</v>
      </c>
      <c r="R31" s="5"/>
      <c r="S31" s="11"/>
      <c r="T31" s="11"/>
      <c r="U31" s="14">
        <v>293.14999999999998</v>
      </c>
      <c r="V31" s="38">
        <v>1.4666999999999999E-2</v>
      </c>
      <c r="W31" s="15">
        <v>1018.749</v>
      </c>
    </row>
    <row r="32" spans="2:23">
      <c r="B32" s="2"/>
      <c r="C32" s="2"/>
      <c r="D32" s="18">
        <v>7.6666666666666605E-2</v>
      </c>
      <c r="E32" s="17">
        <v>2952.5667553830899</v>
      </c>
      <c r="O32" s="14">
        <v>293</v>
      </c>
      <c r="P32" s="15">
        <v>3.8601999999999997E-2</v>
      </c>
      <c r="R32" s="5"/>
      <c r="S32" s="11"/>
      <c r="T32" s="11"/>
      <c r="U32" s="14">
        <v>293.14999999999998</v>
      </c>
      <c r="V32" s="38">
        <v>1.5332999999999999E-2</v>
      </c>
      <c r="W32" s="15">
        <v>1019.372</v>
      </c>
    </row>
    <row r="33" spans="2:23">
      <c r="B33" s="2"/>
      <c r="C33" s="2"/>
      <c r="D33" s="18">
        <v>0.08</v>
      </c>
      <c r="E33" s="17">
        <v>2939.4737692129502</v>
      </c>
      <c r="O33" s="14">
        <v>294</v>
      </c>
      <c r="P33" s="15">
        <v>3.9621999999999997E-2</v>
      </c>
      <c r="R33" s="5"/>
      <c r="S33" s="11"/>
      <c r="T33" s="11"/>
      <c r="U33" s="14">
        <v>293.14999999999998</v>
      </c>
      <c r="V33" s="38">
        <v>1.6E-2</v>
      </c>
      <c r="W33" s="15">
        <v>1019.992</v>
      </c>
    </row>
    <row r="34" spans="2:23">
      <c r="B34" s="2"/>
      <c r="C34" s="2"/>
      <c r="D34" s="18">
        <v>8.3333333333333301E-2</v>
      </c>
      <c r="E34" s="17">
        <v>2926.20672579139</v>
      </c>
      <c r="O34" s="14">
        <v>295</v>
      </c>
      <c r="P34" s="15">
        <v>4.0640999999999997E-2</v>
      </c>
      <c r="R34" s="5"/>
      <c r="S34" s="11"/>
      <c r="T34" s="11"/>
      <c r="U34" s="14">
        <v>293.14999999999998</v>
      </c>
      <c r="V34" s="38">
        <v>1.6667000000000001E-2</v>
      </c>
      <c r="W34" s="15">
        <v>1020.609</v>
      </c>
    </row>
    <row r="35" spans="2:23">
      <c r="B35" s="2"/>
      <c r="C35" s="2"/>
      <c r="D35" s="18">
        <v>8.66666666666666E-2</v>
      </c>
      <c r="E35" s="17">
        <v>2912.7753983493299</v>
      </c>
      <c r="O35" s="14">
        <v>296</v>
      </c>
      <c r="P35" s="15">
        <v>4.1695999999999997E-2</v>
      </c>
      <c r="R35" s="5"/>
      <c r="S35" s="11"/>
      <c r="T35" s="11"/>
      <c r="U35" s="14">
        <v>293.14999999999998</v>
      </c>
      <c r="V35" s="38">
        <v>1.7333000000000001E-2</v>
      </c>
      <c r="W35" s="15">
        <v>1021.223</v>
      </c>
    </row>
    <row r="36" spans="2:23">
      <c r="B36" s="2"/>
      <c r="C36" s="2"/>
      <c r="D36" s="18">
        <v>0.09</v>
      </c>
      <c r="E36" s="17">
        <v>2899.1891761481002</v>
      </c>
      <c r="O36" s="14">
        <v>297</v>
      </c>
      <c r="P36" s="15">
        <v>4.2795E-2</v>
      </c>
      <c r="R36" s="5"/>
      <c r="S36" s="11"/>
      <c r="T36" s="11"/>
      <c r="U36" s="14">
        <v>293.14999999999998</v>
      </c>
      <c r="V36" s="38">
        <v>1.7999999999999999E-2</v>
      </c>
      <c r="W36" s="15">
        <v>1021.8339999999999</v>
      </c>
    </row>
    <row r="37" spans="2:23">
      <c r="B37" s="2"/>
      <c r="C37" s="2"/>
      <c r="D37" s="18">
        <v>9.3333333333333296E-2</v>
      </c>
      <c r="E37" s="17">
        <v>2885.4570711239899</v>
      </c>
      <c r="O37" s="14">
        <v>298</v>
      </c>
      <c r="P37" s="15">
        <v>4.3895000000000003E-2</v>
      </c>
      <c r="R37" s="5"/>
      <c r="S37" s="11"/>
      <c r="T37" s="11"/>
      <c r="U37" s="14">
        <v>293.14999999999998</v>
      </c>
      <c r="V37" s="38">
        <v>1.8667E-2</v>
      </c>
      <c r="W37" s="15">
        <v>1022.441</v>
      </c>
    </row>
    <row r="38" spans="2:23">
      <c r="B38" s="2"/>
      <c r="C38" s="2"/>
      <c r="D38" s="18">
        <v>9.6666666666666595E-2</v>
      </c>
      <c r="E38" s="17">
        <v>2871.5877262214399</v>
      </c>
      <c r="O38" s="14">
        <v>299</v>
      </c>
      <c r="P38" s="15">
        <v>4.4995E-2</v>
      </c>
      <c r="R38" s="5"/>
      <c r="S38" s="11"/>
      <c r="T38" s="11"/>
      <c r="U38" s="14">
        <v>293.14999999999998</v>
      </c>
      <c r="V38" s="38">
        <v>1.9332999999999999E-2</v>
      </c>
      <c r="W38" s="15">
        <v>1023.046</v>
      </c>
    </row>
    <row r="39" spans="2:23" ht="15" thickBot="1">
      <c r="B39" s="2"/>
      <c r="C39" s="2"/>
      <c r="D39" s="19">
        <v>0.1</v>
      </c>
      <c r="E39" s="20">
        <v>2857.5894256154602</v>
      </c>
      <c r="O39" s="14">
        <v>300</v>
      </c>
      <c r="P39" s="15">
        <v>4.6094000000000003E-2</v>
      </c>
      <c r="R39" s="5"/>
      <c r="S39" s="11"/>
      <c r="T39" s="11"/>
      <c r="U39" s="14">
        <v>293.14999999999998</v>
      </c>
      <c r="V39" s="38">
        <v>0.02</v>
      </c>
      <c r="W39" s="15">
        <v>1023.648</v>
      </c>
    </row>
    <row r="40" spans="2:23">
      <c r="O40" s="14">
        <v>301</v>
      </c>
      <c r="P40" s="15">
        <v>4.7194E-2</v>
      </c>
      <c r="R40" s="5"/>
      <c r="S40" s="11"/>
      <c r="T40" s="11"/>
      <c r="U40" s="14">
        <v>298.14999999999998</v>
      </c>
      <c r="V40" s="38">
        <v>0</v>
      </c>
      <c r="W40" s="15">
        <v>1001.192</v>
      </c>
    </row>
    <row r="41" spans="2:23">
      <c r="O41" s="14">
        <v>302</v>
      </c>
      <c r="P41" s="15">
        <v>4.8368000000000001E-2</v>
      </c>
      <c r="R41" s="5"/>
      <c r="S41" s="11"/>
      <c r="T41" s="11"/>
      <c r="U41" s="14">
        <v>298.14999999999998</v>
      </c>
      <c r="V41" s="38">
        <v>6.6699999999999995E-4</v>
      </c>
      <c r="W41" s="15">
        <v>1001.888</v>
      </c>
    </row>
    <row r="42" spans="2:23">
      <c r="O42" s="14">
        <v>303</v>
      </c>
      <c r="P42" s="15">
        <v>4.9549000000000003E-2</v>
      </c>
      <c r="R42" s="5"/>
      <c r="S42" s="11"/>
      <c r="T42" s="11"/>
      <c r="U42" s="14">
        <v>298.14999999999998</v>
      </c>
      <c r="V42" s="38">
        <v>1.333E-3</v>
      </c>
      <c r="W42" s="15">
        <v>1002.58</v>
      </c>
    </row>
    <row r="43" spans="2:23">
      <c r="O43" s="14">
        <v>304</v>
      </c>
      <c r="P43" s="15">
        <v>5.0729000000000003E-2</v>
      </c>
      <c r="R43" s="5"/>
      <c r="S43" s="11"/>
      <c r="T43" s="11"/>
      <c r="U43" s="14">
        <v>298.14999999999998</v>
      </c>
      <c r="V43" s="38">
        <v>2E-3</v>
      </c>
      <c r="W43" s="15">
        <v>1003.269</v>
      </c>
    </row>
    <row r="44" spans="2:23">
      <c r="O44" s="14">
        <v>305</v>
      </c>
      <c r="P44" s="15">
        <v>5.1908999999999997E-2</v>
      </c>
      <c r="R44" s="5"/>
      <c r="S44" s="11"/>
      <c r="T44" s="11"/>
      <c r="U44" s="14">
        <v>298.14999999999998</v>
      </c>
      <c r="V44" s="38">
        <v>2.6670000000000001E-3</v>
      </c>
      <c r="W44" s="15">
        <v>1003.954</v>
      </c>
    </row>
    <row r="45" spans="2:23">
      <c r="O45" s="14">
        <v>306</v>
      </c>
      <c r="P45" s="15">
        <v>5.3089999999999998E-2</v>
      </c>
      <c r="R45" s="5"/>
      <c r="S45" s="11"/>
      <c r="T45" s="11"/>
      <c r="U45" s="14">
        <v>298.14999999999998</v>
      </c>
      <c r="V45" s="38">
        <v>3.333E-3</v>
      </c>
      <c r="W45" s="15">
        <v>1004.636</v>
      </c>
    </row>
    <row r="46" spans="2:23">
      <c r="O46" s="14">
        <v>307</v>
      </c>
      <c r="P46" s="15">
        <v>5.4295000000000003E-2</v>
      </c>
      <c r="R46" s="5"/>
      <c r="S46" s="11"/>
      <c r="T46" s="11"/>
      <c r="U46" s="14">
        <v>298.14999999999998</v>
      </c>
      <c r="V46" s="38">
        <v>4.0000000000000001E-3</v>
      </c>
      <c r="W46" s="15">
        <v>1005.3150000000001</v>
      </c>
    </row>
    <row r="47" spans="2:23">
      <c r="O47" s="14">
        <v>308</v>
      </c>
      <c r="P47" s="15">
        <v>5.5536000000000002E-2</v>
      </c>
      <c r="R47" s="5"/>
      <c r="S47" s="11"/>
      <c r="T47" s="11"/>
      <c r="U47" s="14">
        <v>298.14999999999998</v>
      </c>
      <c r="V47" s="38">
        <v>4.6670000000000001E-3</v>
      </c>
      <c r="W47" s="15">
        <v>1005.99</v>
      </c>
    </row>
    <row r="48" spans="2:23" ht="15" thickBot="1">
      <c r="O48" s="14">
        <v>309</v>
      </c>
      <c r="P48" s="15">
        <v>5.6778000000000002E-2</v>
      </c>
      <c r="R48" s="23"/>
      <c r="S48" s="33"/>
      <c r="T48" s="33"/>
      <c r="U48" s="14">
        <v>298.14999999999998</v>
      </c>
      <c r="V48" s="38">
        <v>5.3330000000000001E-3</v>
      </c>
      <c r="W48" s="15">
        <v>1006.662</v>
      </c>
    </row>
    <row r="49" spans="15:23">
      <c r="O49" s="14">
        <v>310</v>
      </c>
      <c r="P49" s="15">
        <v>5.8046E-2</v>
      </c>
      <c r="U49" s="14">
        <v>298.14999999999998</v>
      </c>
      <c r="V49" s="38">
        <v>6.0000000000000001E-3</v>
      </c>
      <c r="W49" s="15">
        <v>1007.33</v>
      </c>
    </row>
    <row r="50" spans="15:23">
      <c r="O50" s="14">
        <v>311</v>
      </c>
      <c r="P50" s="15">
        <v>5.9327999999999999E-2</v>
      </c>
      <c r="U50" s="14">
        <v>298.14999999999998</v>
      </c>
      <c r="V50" s="38">
        <v>6.6670000000000002E-3</v>
      </c>
      <c r="W50" s="15">
        <v>1007.995</v>
      </c>
    </row>
    <row r="51" spans="15:23">
      <c r="O51" s="14">
        <v>312</v>
      </c>
      <c r="P51" s="15">
        <v>6.0610999999999998E-2</v>
      </c>
      <c r="U51" s="14">
        <v>298.14999999999998</v>
      </c>
      <c r="V51" s="38">
        <v>7.3330000000000001E-3</v>
      </c>
      <c r="W51" s="15">
        <v>1008.6559999999999</v>
      </c>
    </row>
    <row r="52" spans="15:23">
      <c r="O52" s="14">
        <v>313</v>
      </c>
      <c r="P52" s="15">
        <v>6.1948000000000003E-2</v>
      </c>
      <c r="U52" s="14">
        <v>298.14999999999998</v>
      </c>
      <c r="V52" s="38">
        <v>8.0000000000000002E-3</v>
      </c>
      <c r="W52" s="15">
        <v>1009.3150000000001</v>
      </c>
    </row>
    <row r="53" spans="15:23">
      <c r="O53" s="14">
        <v>314</v>
      </c>
      <c r="P53" s="15">
        <v>6.3292000000000001E-2</v>
      </c>
      <c r="U53" s="14">
        <v>298.14999999999998</v>
      </c>
      <c r="V53" s="38">
        <v>8.6669999999999994E-3</v>
      </c>
      <c r="W53" s="15">
        <v>1009.97</v>
      </c>
    </row>
    <row r="54" spans="15:23">
      <c r="O54" s="14">
        <v>315</v>
      </c>
      <c r="P54" s="15">
        <v>6.4637E-2</v>
      </c>
      <c r="U54" s="14">
        <v>298.14999999999998</v>
      </c>
      <c r="V54" s="38">
        <v>9.3329999999999993E-3</v>
      </c>
      <c r="W54" s="15">
        <v>1010.621</v>
      </c>
    </row>
    <row r="55" spans="15:23">
      <c r="O55" s="14">
        <v>316</v>
      </c>
      <c r="P55" s="15">
        <v>6.5980999999999998E-2</v>
      </c>
      <c r="U55" s="14">
        <v>298.14999999999998</v>
      </c>
      <c r="V55" s="38">
        <v>0.01</v>
      </c>
      <c r="W55" s="15">
        <v>1011.27</v>
      </c>
    </row>
    <row r="56" spans="15:23">
      <c r="O56" s="14">
        <v>317</v>
      </c>
      <c r="P56" s="15">
        <v>6.7324999999999996E-2</v>
      </c>
      <c r="U56" s="14">
        <v>298.14999999999998</v>
      </c>
      <c r="V56" s="38">
        <v>1.0666999999999999E-2</v>
      </c>
      <c r="W56" s="15">
        <v>1011.915</v>
      </c>
    </row>
    <row r="57" spans="15:23">
      <c r="O57" s="14">
        <v>318</v>
      </c>
      <c r="P57" s="15">
        <v>6.8699999999999997E-2</v>
      </c>
      <c r="U57" s="14">
        <v>298.14999999999998</v>
      </c>
      <c r="V57" s="38">
        <v>1.1332999999999999E-2</v>
      </c>
      <c r="W57" s="15">
        <v>1012.557</v>
      </c>
    </row>
    <row r="58" spans="15:23">
      <c r="O58" s="14">
        <v>319</v>
      </c>
      <c r="P58" s="15">
        <v>7.0126999999999995E-2</v>
      </c>
      <c r="U58" s="14">
        <v>298.14999999999998</v>
      </c>
      <c r="V58" s="38">
        <v>1.2E-2</v>
      </c>
      <c r="W58" s="15">
        <v>1013.196</v>
      </c>
    </row>
    <row r="59" spans="15:23">
      <c r="O59" s="14">
        <v>320</v>
      </c>
      <c r="P59" s="15">
        <v>7.1554999999999994E-2</v>
      </c>
      <c r="U59" s="14">
        <v>298.14999999999998</v>
      </c>
      <c r="V59" s="38">
        <v>1.2666999999999999E-2</v>
      </c>
      <c r="W59" s="15">
        <v>1013.831</v>
      </c>
    </row>
    <row r="60" spans="15:23">
      <c r="O60" s="14">
        <v>321</v>
      </c>
      <c r="P60" s="15">
        <v>7.2983000000000006E-2</v>
      </c>
      <c r="U60" s="14">
        <v>298.14999999999998</v>
      </c>
      <c r="V60" s="38">
        <v>1.3332999999999999E-2</v>
      </c>
      <c r="W60" s="15">
        <v>1014.4640000000001</v>
      </c>
    </row>
    <row r="61" spans="15:23">
      <c r="O61" s="14">
        <v>322</v>
      </c>
      <c r="P61" s="15">
        <v>7.4411000000000005E-2</v>
      </c>
      <c r="U61" s="14">
        <v>298.14999999999998</v>
      </c>
      <c r="V61" s="38">
        <v>1.4E-2</v>
      </c>
      <c r="W61" s="15">
        <v>1015.093</v>
      </c>
    </row>
    <row r="62" spans="15:23">
      <c r="O62" s="14">
        <v>323</v>
      </c>
      <c r="P62" s="15">
        <v>7.5839000000000004E-2</v>
      </c>
      <c r="U62" s="14">
        <v>298.14999999999998</v>
      </c>
      <c r="V62" s="38">
        <v>1.4666999999999999E-2</v>
      </c>
      <c r="W62" s="15">
        <v>1015.7190000000001</v>
      </c>
    </row>
    <row r="63" spans="15:23">
      <c r="O63" s="14">
        <v>324</v>
      </c>
      <c r="P63" s="15">
        <v>7.7337000000000003E-2</v>
      </c>
      <c r="U63" s="14">
        <v>298.14999999999998</v>
      </c>
      <c r="V63" s="38">
        <v>1.5332999999999999E-2</v>
      </c>
      <c r="W63" s="15">
        <v>1016.342</v>
      </c>
    </row>
    <row r="64" spans="15:23">
      <c r="O64" s="14">
        <v>325</v>
      </c>
      <c r="P64" s="15">
        <v>7.8850000000000003E-2</v>
      </c>
      <c r="U64" s="14">
        <v>298.14999999999998</v>
      </c>
      <c r="V64" s="38">
        <v>1.6E-2</v>
      </c>
      <c r="W64" s="15">
        <v>1016.962</v>
      </c>
    </row>
    <row r="65" spans="15:23">
      <c r="O65" s="14">
        <v>326</v>
      </c>
      <c r="P65" s="15">
        <v>8.0362000000000003E-2</v>
      </c>
      <c r="U65" s="14">
        <v>298.14999999999998</v>
      </c>
      <c r="V65" s="38">
        <v>1.6667000000000001E-2</v>
      </c>
      <c r="W65" s="15">
        <v>1017.579</v>
      </c>
    </row>
    <row r="66" spans="15:23">
      <c r="O66" s="14">
        <v>327</v>
      </c>
      <c r="P66" s="15">
        <v>8.1874000000000002E-2</v>
      </c>
      <c r="U66" s="14">
        <v>298.14999999999998</v>
      </c>
      <c r="V66" s="38">
        <v>1.7333000000000001E-2</v>
      </c>
      <c r="W66" s="15">
        <v>1018.193</v>
      </c>
    </row>
    <row r="67" spans="15:23">
      <c r="O67" s="14">
        <v>328</v>
      </c>
      <c r="P67" s="15">
        <v>8.3386000000000002E-2</v>
      </c>
      <c r="U67" s="14">
        <v>298.14999999999998</v>
      </c>
      <c r="V67" s="38">
        <v>1.7999999999999999E-2</v>
      </c>
      <c r="W67" s="15">
        <v>1018.804</v>
      </c>
    </row>
    <row r="68" spans="15:23">
      <c r="O68" s="14">
        <v>329</v>
      </c>
      <c r="P68" s="15">
        <v>8.4926000000000001E-2</v>
      </c>
      <c r="U68" s="14">
        <v>298.14999999999998</v>
      </c>
      <c r="V68" s="38">
        <v>1.8667E-2</v>
      </c>
      <c r="W68" s="15">
        <v>1019.4109999999999</v>
      </c>
    </row>
    <row r="69" spans="15:23">
      <c r="O69" s="14">
        <v>330</v>
      </c>
      <c r="P69" s="15">
        <v>8.6524000000000004E-2</v>
      </c>
      <c r="U69" s="14">
        <v>298.14999999999998</v>
      </c>
      <c r="V69" s="38">
        <v>1.9332999999999999E-2</v>
      </c>
      <c r="W69" s="15">
        <v>1020.016</v>
      </c>
    </row>
    <row r="70" spans="15:23">
      <c r="O70" s="14">
        <v>331</v>
      </c>
      <c r="P70" s="15">
        <v>8.8122000000000006E-2</v>
      </c>
      <c r="U70" s="14">
        <v>298.14999999999998</v>
      </c>
      <c r="V70" s="38">
        <v>0.02</v>
      </c>
      <c r="W70" s="15">
        <v>1020.6180000000001</v>
      </c>
    </row>
    <row r="71" spans="15:23">
      <c r="O71" s="14">
        <v>332</v>
      </c>
      <c r="P71" s="15">
        <v>8.9719999999999994E-2</v>
      </c>
      <c r="U71" s="14">
        <v>303.14999999999998</v>
      </c>
      <c r="V71" s="38">
        <v>0</v>
      </c>
      <c r="W71" s="15">
        <v>998.13599999999997</v>
      </c>
    </row>
    <row r="72" spans="15:23">
      <c r="O72" s="14">
        <v>333</v>
      </c>
      <c r="P72" s="15">
        <v>9.1317999999999996E-2</v>
      </c>
      <c r="U72" s="14">
        <v>303.14999999999998</v>
      </c>
      <c r="V72" s="38">
        <v>6.6699999999999995E-4</v>
      </c>
      <c r="W72" s="15">
        <v>998.83090000000004</v>
      </c>
    </row>
    <row r="73" spans="15:23">
      <c r="O73" s="14">
        <v>334</v>
      </c>
      <c r="P73" s="15">
        <v>9.2915999999999999E-2</v>
      </c>
      <c r="U73" s="14">
        <v>303.14999999999998</v>
      </c>
      <c r="V73" s="38">
        <v>1.333E-3</v>
      </c>
      <c r="W73" s="15">
        <v>999.52239999999995</v>
      </c>
    </row>
    <row r="74" spans="15:23">
      <c r="O74" s="14">
        <v>335</v>
      </c>
      <c r="P74" s="15">
        <v>9.4618999999999995E-2</v>
      </c>
      <c r="U74" s="14">
        <v>303.14999999999998</v>
      </c>
      <c r="V74" s="38">
        <v>2E-3</v>
      </c>
      <c r="W74" s="15">
        <v>1000.21</v>
      </c>
    </row>
    <row r="75" spans="15:23">
      <c r="O75" s="14">
        <v>336</v>
      </c>
      <c r="P75" s="15">
        <v>9.6348000000000003E-2</v>
      </c>
      <c r="U75" s="14">
        <v>303.14999999999998</v>
      </c>
      <c r="V75" s="38">
        <v>2.6670000000000001E-3</v>
      </c>
      <c r="W75" s="15">
        <v>1000.895</v>
      </c>
    </row>
    <row r="76" spans="15:23">
      <c r="O76" s="14">
        <v>337</v>
      </c>
      <c r="P76" s="15">
        <v>9.8076999999999998E-2</v>
      </c>
      <c r="U76" s="14">
        <v>303.14999999999998</v>
      </c>
      <c r="V76" s="38">
        <v>3.333E-3</v>
      </c>
      <c r="W76" s="15">
        <v>1001.576</v>
      </c>
    </row>
    <row r="77" spans="15:23">
      <c r="O77" s="14">
        <v>338</v>
      </c>
      <c r="P77" s="15">
        <v>9.9806000000000006E-2</v>
      </c>
      <c r="U77" s="14">
        <v>303.14999999999998</v>
      </c>
      <c r="V77" s="38">
        <v>4.0000000000000001E-3</v>
      </c>
      <c r="W77" s="15">
        <v>1002.254</v>
      </c>
    </row>
    <row r="78" spans="15:23">
      <c r="O78" s="14">
        <v>339</v>
      </c>
      <c r="P78" s="15">
        <v>0.101536</v>
      </c>
      <c r="U78" s="14">
        <v>303.14999999999998</v>
      </c>
      <c r="V78" s="38">
        <v>4.6670000000000001E-3</v>
      </c>
      <c r="W78" s="15">
        <v>1002.928</v>
      </c>
    </row>
    <row r="79" spans="15:23">
      <c r="O79" s="14">
        <v>340</v>
      </c>
      <c r="P79" s="15">
        <v>0.103265</v>
      </c>
      <c r="U79" s="14">
        <v>303.14999999999998</v>
      </c>
      <c r="V79" s="38">
        <v>5.3330000000000001E-3</v>
      </c>
      <c r="W79" s="15">
        <v>1003.599</v>
      </c>
    </row>
    <row r="80" spans="15:23">
      <c r="O80" s="14">
        <v>341</v>
      </c>
      <c r="P80" s="15">
        <v>0.104994</v>
      </c>
      <c r="U80" s="14">
        <v>303.14999999999998</v>
      </c>
      <c r="V80" s="38">
        <v>6.0000000000000001E-3</v>
      </c>
      <c r="W80" s="15">
        <v>1004.2670000000001</v>
      </c>
    </row>
    <row r="81" spans="15:23">
      <c r="O81" s="14">
        <v>342</v>
      </c>
      <c r="P81" s="15">
        <v>0.106723</v>
      </c>
      <c r="U81" s="14">
        <v>303.14999999999998</v>
      </c>
      <c r="V81" s="38">
        <v>6.6670000000000002E-3</v>
      </c>
      <c r="W81" s="15">
        <v>1004.932</v>
      </c>
    </row>
    <row r="82" spans="15:23">
      <c r="O82" s="14">
        <v>343</v>
      </c>
      <c r="P82" s="15">
        <v>0.10845200000000001</v>
      </c>
      <c r="U82" s="14">
        <v>303.14999999999998</v>
      </c>
      <c r="V82" s="38">
        <v>7.3330000000000001E-3</v>
      </c>
      <c r="W82" s="15">
        <v>1005.593</v>
      </c>
    </row>
    <row r="83" spans="15:23">
      <c r="O83" s="14">
        <v>344</v>
      </c>
      <c r="P83" s="15">
        <v>0.110182</v>
      </c>
      <c r="U83" s="14">
        <v>303.14999999999998</v>
      </c>
      <c r="V83" s="38">
        <v>8.0000000000000002E-3</v>
      </c>
      <c r="W83" s="15">
        <v>1006.251</v>
      </c>
    </row>
    <row r="84" spans="15:23">
      <c r="O84" s="14">
        <v>345</v>
      </c>
      <c r="P84" s="15">
        <v>0.111911</v>
      </c>
      <c r="U84" s="14">
        <v>303.14999999999998</v>
      </c>
      <c r="V84" s="38">
        <v>8.6669999999999994E-3</v>
      </c>
      <c r="W84" s="15">
        <v>1006.905</v>
      </c>
    </row>
    <row r="85" spans="15:23">
      <c r="O85" s="14">
        <v>346</v>
      </c>
      <c r="P85" s="15">
        <v>0.113775</v>
      </c>
      <c r="U85" s="14">
        <v>303.14999999999998</v>
      </c>
      <c r="V85" s="38">
        <v>9.3329999999999993E-3</v>
      </c>
      <c r="W85" s="15">
        <v>1007.556</v>
      </c>
    </row>
    <row r="86" spans="15:23">
      <c r="O86" s="14">
        <v>347</v>
      </c>
      <c r="P86" s="15">
        <v>0.11568299999999999</v>
      </c>
      <c r="U86" s="14">
        <v>303.14999999999998</v>
      </c>
      <c r="V86" s="38">
        <v>0.01</v>
      </c>
      <c r="W86" s="15">
        <v>1008.204</v>
      </c>
    </row>
    <row r="87" spans="15:23">
      <c r="O87" s="14">
        <v>348</v>
      </c>
      <c r="P87" s="15">
        <v>0.117592</v>
      </c>
      <c r="U87" s="14">
        <v>303.14999999999998</v>
      </c>
      <c r="V87" s="38">
        <v>1.0666999999999999E-2</v>
      </c>
      <c r="W87" s="15">
        <v>1008.849</v>
      </c>
    </row>
    <row r="88" spans="15:23">
      <c r="O88" s="14">
        <v>349</v>
      </c>
      <c r="P88" s="15">
        <v>0.1195</v>
      </c>
      <c r="U88" s="14">
        <v>303.14999999999998</v>
      </c>
      <c r="V88" s="38">
        <v>1.1332999999999999E-2</v>
      </c>
      <c r="W88" s="15">
        <v>1009.491</v>
      </c>
    </row>
    <row r="89" spans="15:23" ht="15" thickBot="1">
      <c r="O89" s="29">
        <v>350</v>
      </c>
      <c r="P89" s="30">
        <v>0.121409</v>
      </c>
      <c r="U89" s="14">
        <v>303.14999999999998</v>
      </c>
      <c r="V89" s="38">
        <v>1.2E-2</v>
      </c>
      <c r="W89" s="15">
        <v>1010.129</v>
      </c>
    </row>
    <row r="90" spans="15:23">
      <c r="U90" s="14">
        <v>303.14999999999998</v>
      </c>
      <c r="V90" s="38">
        <v>1.2666999999999999E-2</v>
      </c>
      <c r="W90" s="15">
        <v>1010.765</v>
      </c>
    </row>
    <row r="91" spans="15:23">
      <c r="U91" s="14">
        <v>303.14999999999998</v>
      </c>
      <c r="V91" s="38">
        <v>1.3332999999999999E-2</v>
      </c>
      <c r="W91" s="15">
        <v>1011.397</v>
      </c>
    </row>
    <row r="92" spans="15:23">
      <c r="U92" s="14">
        <v>303.14999999999998</v>
      </c>
      <c r="V92" s="38">
        <v>1.4E-2</v>
      </c>
      <c r="W92" s="15">
        <v>1012.026</v>
      </c>
    </row>
    <row r="93" spans="15:23">
      <c r="U93" s="14">
        <v>303.14999999999998</v>
      </c>
      <c r="V93" s="38">
        <v>1.4666999999999999E-2</v>
      </c>
      <c r="W93" s="15">
        <v>1012.652</v>
      </c>
    </row>
    <row r="94" spans="15:23">
      <c r="U94" s="14">
        <v>303.14999999999998</v>
      </c>
      <c r="V94" s="38">
        <v>1.5332999999999999E-2</v>
      </c>
      <c r="W94" s="15">
        <v>1013.275</v>
      </c>
    </row>
    <row r="95" spans="15:23">
      <c r="U95" s="14">
        <v>303.14999999999998</v>
      </c>
      <c r="V95" s="38">
        <v>1.6E-2</v>
      </c>
      <c r="W95" s="15">
        <v>1013.895</v>
      </c>
    </row>
    <row r="96" spans="15:23">
      <c r="U96" s="14">
        <v>303.14999999999998</v>
      </c>
      <c r="V96" s="38">
        <v>1.6667000000000001E-2</v>
      </c>
      <c r="W96" s="15">
        <v>1014.5119999999999</v>
      </c>
    </row>
    <row r="97" spans="21:23">
      <c r="U97" s="14">
        <v>303.14999999999998</v>
      </c>
      <c r="V97" s="38">
        <v>1.7333000000000001E-2</v>
      </c>
      <c r="W97" s="15">
        <v>1015.125</v>
      </c>
    </row>
    <row r="98" spans="21:23">
      <c r="U98" s="14">
        <v>303.14999999999998</v>
      </c>
      <c r="V98" s="38">
        <v>1.7999999999999999E-2</v>
      </c>
      <c r="W98" s="15">
        <v>1015.736</v>
      </c>
    </row>
    <row r="99" spans="21:23">
      <c r="U99" s="14">
        <v>303.14999999999998</v>
      </c>
      <c r="V99" s="38">
        <v>1.8667E-2</v>
      </c>
      <c r="W99" s="15">
        <v>1016.3440000000001</v>
      </c>
    </row>
    <row r="100" spans="21:23">
      <c r="U100" s="14">
        <v>303.14999999999998</v>
      </c>
      <c r="V100" s="38">
        <v>1.9332999999999999E-2</v>
      </c>
      <c r="W100" s="15">
        <v>1016.949</v>
      </c>
    </row>
    <row r="101" spans="21:23">
      <c r="U101" s="14">
        <v>303.14999999999998</v>
      </c>
      <c r="V101" s="38">
        <v>0.02</v>
      </c>
      <c r="W101" s="15">
        <v>1017.551</v>
      </c>
    </row>
    <row r="102" spans="21:23">
      <c r="U102" s="14">
        <v>308.14999999999998</v>
      </c>
      <c r="V102" s="38">
        <v>0</v>
      </c>
      <c r="W102" s="15">
        <v>995.03989999999999</v>
      </c>
    </row>
    <row r="103" spans="21:23">
      <c r="U103" s="14">
        <v>308.14999999999998</v>
      </c>
      <c r="V103" s="38">
        <v>6.6699999999999995E-4</v>
      </c>
      <c r="W103" s="15">
        <v>995.73410000000001</v>
      </c>
    </row>
    <row r="104" spans="21:23">
      <c r="U104" s="14">
        <v>308.14999999999998</v>
      </c>
      <c r="V104" s="38">
        <v>1.333E-3</v>
      </c>
      <c r="W104" s="15">
        <v>996.4248</v>
      </c>
    </row>
    <row r="105" spans="21:23">
      <c r="U105" s="14">
        <v>308.14999999999998</v>
      </c>
      <c r="V105" s="38">
        <v>2E-3</v>
      </c>
      <c r="W105" s="15">
        <v>997.11210000000005</v>
      </c>
    </row>
    <row r="106" spans="21:23">
      <c r="U106" s="14">
        <v>308.14999999999998</v>
      </c>
      <c r="V106" s="38">
        <v>2.6670000000000001E-3</v>
      </c>
      <c r="W106" s="15">
        <v>997.79600000000005</v>
      </c>
    </row>
    <row r="107" spans="21:23">
      <c r="U107" s="14">
        <v>308.14999999999998</v>
      </c>
      <c r="V107" s="38">
        <v>3.333E-3</v>
      </c>
      <c r="W107" s="15">
        <v>998.47659999999996</v>
      </c>
    </row>
    <row r="108" spans="21:23">
      <c r="U108" s="14">
        <v>308.14999999999998</v>
      </c>
      <c r="V108" s="38">
        <v>4.0000000000000001E-3</v>
      </c>
      <c r="W108" s="15">
        <v>999.15369999999996</v>
      </c>
    </row>
    <row r="109" spans="21:23">
      <c r="U109" s="14">
        <v>308.14999999999998</v>
      </c>
      <c r="V109" s="38">
        <v>4.6670000000000001E-3</v>
      </c>
      <c r="W109" s="15">
        <v>999.82759999999996</v>
      </c>
    </row>
    <row r="110" spans="21:23">
      <c r="U110" s="14">
        <v>308.14999999999998</v>
      </c>
      <c r="V110" s="38">
        <v>5.3330000000000001E-3</v>
      </c>
      <c r="W110" s="15">
        <v>1000.498</v>
      </c>
    </row>
    <row r="111" spans="21:23">
      <c r="U111" s="14">
        <v>308.14999999999998</v>
      </c>
      <c r="V111" s="38">
        <v>6.0000000000000001E-3</v>
      </c>
      <c r="W111" s="15">
        <v>1001.165</v>
      </c>
    </row>
    <row r="112" spans="21:23">
      <c r="U112" s="14">
        <v>308.14999999999998</v>
      </c>
      <c r="V112" s="38">
        <v>6.6670000000000002E-3</v>
      </c>
      <c r="W112" s="15">
        <v>1001.829</v>
      </c>
    </row>
    <row r="113" spans="21:23">
      <c r="U113" s="14">
        <v>308.14999999999998</v>
      </c>
      <c r="V113" s="38">
        <v>7.3330000000000001E-3</v>
      </c>
      <c r="W113" s="15">
        <v>1002.49</v>
      </c>
    </row>
    <row r="114" spans="21:23">
      <c r="U114" s="14">
        <v>308.14999999999998</v>
      </c>
      <c r="V114" s="38">
        <v>8.0000000000000002E-3</v>
      </c>
      <c r="W114" s="15">
        <v>1003.147</v>
      </c>
    </row>
    <row r="115" spans="21:23">
      <c r="U115" s="14">
        <v>308.14999999999998</v>
      </c>
      <c r="V115" s="38">
        <v>8.6669999999999994E-3</v>
      </c>
      <c r="W115" s="15">
        <v>1003.801</v>
      </c>
    </row>
    <row r="116" spans="21:23">
      <c r="U116" s="14">
        <v>308.14999999999998</v>
      </c>
      <c r="V116" s="38">
        <v>9.3329999999999993E-3</v>
      </c>
      <c r="W116" s="15">
        <v>1004.452</v>
      </c>
    </row>
    <row r="117" spans="21:23">
      <c r="U117" s="14">
        <v>308.14999999999998</v>
      </c>
      <c r="V117" s="38">
        <v>0.01</v>
      </c>
      <c r="W117" s="15">
        <v>1005.1</v>
      </c>
    </row>
    <row r="118" spans="21:23">
      <c r="U118" s="14">
        <v>308.14999999999998</v>
      </c>
      <c r="V118" s="38">
        <v>1.0666999999999999E-2</v>
      </c>
      <c r="W118" s="15">
        <v>1005.745</v>
      </c>
    </row>
    <row r="119" spans="21:23">
      <c r="U119" s="14">
        <v>308.14999999999998</v>
      </c>
      <c r="V119" s="38">
        <v>1.1332999999999999E-2</v>
      </c>
      <c r="W119" s="15">
        <v>1006.386</v>
      </c>
    </row>
    <row r="120" spans="21:23">
      <c r="U120" s="14">
        <v>308.14999999999998</v>
      </c>
      <c r="V120" s="38">
        <v>1.2E-2</v>
      </c>
      <c r="W120" s="15">
        <v>1007.024</v>
      </c>
    </row>
    <row r="121" spans="21:23">
      <c r="U121" s="14">
        <v>308.14999999999998</v>
      </c>
      <c r="V121" s="38">
        <v>1.2666999999999999E-2</v>
      </c>
      <c r="W121" s="15">
        <v>1007.659</v>
      </c>
    </row>
    <row r="122" spans="21:23">
      <c r="U122" s="14">
        <v>308.14999999999998</v>
      </c>
      <c r="V122" s="38">
        <v>1.3332999999999999E-2</v>
      </c>
      <c r="W122" s="15">
        <v>1008.2910000000001</v>
      </c>
    </row>
    <row r="123" spans="21:23">
      <c r="U123" s="14">
        <v>308.14999999999998</v>
      </c>
      <c r="V123" s="38">
        <v>1.4E-2</v>
      </c>
      <c r="W123" s="15">
        <v>1008.92</v>
      </c>
    </row>
    <row r="124" spans="21:23">
      <c r="U124" s="14">
        <v>308.14999999999998</v>
      </c>
      <c r="V124" s="38">
        <v>1.4666999999999999E-2</v>
      </c>
      <c r="W124" s="15">
        <v>1009.546</v>
      </c>
    </row>
    <row r="125" spans="21:23">
      <c r="U125" s="14">
        <v>308.14999999999998</v>
      </c>
      <c r="V125" s="38">
        <v>1.5332999999999999E-2</v>
      </c>
      <c r="W125" s="15">
        <v>1010.169</v>
      </c>
    </row>
    <row r="126" spans="21:23">
      <c r="U126" s="14">
        <v>308.14999999999998</v>
      </c>
      <c r="V126" s="38">
        <v>1.6E-2</v>
      </c>
      <c r="W126" s="15">
        <v>1010.789</v>
      </c>
    </row>
    <row r="127" spans="21:23">
      <c r="U127" s="14">
        <v>308.14999999999998</v>
      </c>
      <c r="V127" s="38">
        <v>1.6667000000000001E-2</v>
      </c>
      <c r="W127" s="15">
        <v>1011.405</v>
      </c>
    </row>
    <row r="128" spans="21:23">
      <c r="U128" s="14">
        <v>308.14999999999998</v>
      </c>
      <c r="V128" s="38">
        <v>1.7333000000000001E-2</v>
      </c>
      <c r="W128" s="15">
        <v>1012.019</v>
      </c>
    </row>
    <row r="129" spans="21:23">
      <c r="U129" s="14">
        <v>308.14999999999998</v>
      </c>
      <c r="V129" s="38">
        <v>1.7999999999999999E-2</v>
      </c>
      <c r="W129" s="15">
        <v>1012.63</v>
      </c>
    </row>
    <row r="130" spans="21:23">
      <c r="U130" s="14">
        <v>308.14999999999998</v>
      </c>
      <c r="V130" s="38">
        <v>1.8667E-2</v>
      </c>
      <c r="W130" s="15">
        <v>1013.2380000000001</v>
      </c>
    </row>
    <row r="131" spans="21:23">
      <c r="U131" s="14">
        <v>308.14999999999998</v>
      </c>
      <c r="V131" s="38">
        <v>1.9332999999999999E-2</v>
      </c>
      <c r="W131" s="15">
        <v>1013.843</v>
      </c>
    </row>
    <row r="132" spans="21:23" ht="15" thickBot="1">
      <c r="U132" s="29">
        <v>308.14999999999998</v>
      </c>
      <c r="V132" s="39">
        <v>0.02</v>
      </c>
      <c r="W132" s="30">
        <v>1014.4450000000001</v>
      </c>
    </row>
  </sheetData>
  <mergeCells count="24">
    <mergeCell ref="B2:E2"/>
    <mergeCell ref="G7:H7"/>
    <mergeCell ref="I7:J7"/>
    <mergeCell ref="K7:L7"/>
    <mergeCell ref="M7:N7"/>
    <mergeCell ref="G6:N6"/>
    <mergeCell ref="B6:C6"/>
    <mergeCell ref="B7:C7"/>
    <mergeCell ref="B3:E3"/>
    <mergeCell ref="B5:E5"/>
    <mergeCell ref="D6:E7"/>
    <mergeCell ref="B4:E4"/>
    <mergeCell ref="R2:W2"/>
    <mergeCell ref="R3:W3"/>
    <mergeCell ref="O6:P7"/>
    <mergeCell ref="G5:P5"/>
    <mergeCell ref="G4:P4"/>
    <mergeCell ref="G3:P3"/>
    <mergeCell ref="G2:P2"/>
    <mergeCell ref="R4:W4"/>
    <mergeCell ref="R5:W5"/>
    <mergeCell ref="R6:T6"/>
    <mergeCell ref="R7:T7"/>
    <mergeCell ref="U6:W7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A55AE-3A1B-434B-9FC3-F0C401014F6D}">
  <sheetPr codeName="Sheet11">
    <pageSetUpPr autoPageBreaks="0"/>
  </sheetPr>
  <dimension ref="B1:BB611"/>
  <sheetViews>
    <sheetView topLeftCell="AF1" zoomScale="85" zoomScaleNormal="85" workbookViewId="0">
      <selection activeCell="AY9" sqref="AY9:AZ25"/>
    </sheetView>
  </sheetViews>
  <sheetFormatPr defaultRowHeight="14.5"/>
  <cols>
    <col min="1" max="1" width="8.7265625" style="1"/>
    <col min="2" max="16" width="13.54296875" style="1" customWidth="1"/>
    <col min="17" max="17" width="8.7265625" style="1"/>
    <col min="18" max="19" width="9.36328125" style="1" bestFit="1" customWidth="1"/>
    <col min="20" max="20" width="8.7265625" style="1"/>
    <col min="21" max="21" width="9.36328125" style="1" bestFit="1" customWidth="1"/>
    <col min="22" max="22" width="8.7265625" style="1"/>
    <col min="23" max="23" width="11.36328125" style="1" bestFit="1" customWidth="1"/>
    <col min="24" max="25" width="9.36328125" style="1" bestFit="1" customWidth="1"/>
    <col min="26" max="26" width="8.7265625" style="1"/>
    <col min="27" max="32" width="16.54296875" style="1" customWidth="1"/>
    <col min="33" max="36" width="16.7265625" style="1" customWidth="1"/>
    <col min="37" max="39" width="16.90625" style="1" customWidth="1"/>
    <col min="40" max="40" width="17.08984375" style="1" customWidth="1"/>
    <col min="41" max="49" width="17.6328125" style="1" customWidth="1"/>
    <col min="50" max="50" width="8.7265625" style="1"/>
    <col min="51" max="54" width="15.36328125" style="1" customWidth="1"/>
    <col min="55" max="16384" width="8.7265625" style="1"/>
  </cols>
  <sheetData>
    <row r="1" spans="2:54" ht="15" thickBot="1"/>
    <row r="2" spans="2:54">
      <c r="B2" s="227" t="s">
        <v>415</v>
      </c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8"/>
      <c r="U2" s="228"/>
      <c r="V2" s="228"/>
      <c r="W2" s="228"/>
      <c r="X2" s="228"/>
      <c r="Y2" s="229"/>
      <c r="AA2" s="227" t="s">
        <v>424</v>
      </c>
      <c r="AB2" s="228"/>
      <c r="AC2" s="228"/>
      <c r="AD2" s="228"/>
      <c r="AE2" s="228"/>
      <c r="AF2" s="228"/>
      <c r="AG2" s="229"/>
      <c r="AI2" s="227" t="s">
        <v>433</v>
      </c>
      <c r="AJ2" s="228"/>
      <c r="AK2" s="228"/>
      <c r="AL2" s="228"/>
      <c r="AM2" s="228"/>
      <c r="AN2" s="228"/>
      <c r="AO2" s="228"/>
      <c r="AP2" s="228"/>
      <c r="AQ2" s="228"/>
      <c r="AR2" s="228"/>
      <c r="AS2" s="228"/>
      <c r="AT2" s="228"/>
      <c r="AU2" s="228"/>
      <c r="AV2" s="228"/>
      <c r="AW2" s="229"/>
      <c r="AY2" s="227" t="s">
        <v>436</v>
      </c>
      <c r="AZ2" s="228"/>
      <c r="BA2" s="228"/>
      <c r="BB2" s="229"/>
    </row>
    <row r="3" spans="2:54" ht="15" thickBot="1">
      <c r="B3" s="230" t="s">
        <v>416</v>
      </c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  <c r="W3" s="231"/>
      <c r="X3" s="231"/>
      <c r="Y3" s="232"/>
      <c r="AA3" s="233" t="s">
        <v>425</v>
      </c>
      <c r="AB3" s="234"/>
      <c r="AC3" s="234"/>
      <c r="AD3" s="234"/>
      <c r="AE3" s="234"/>
      <c r="AF3" s="234"/>
      <c r="AG3" s="235"/>
      <c r="AI3" s="233" t="s">
        <v>425</v>
      </c>
      <c r="AJ3" s="234"/>
      <c r="AK3" s="234"/>
      <c r="AL3" s="234"/>
      <c r="AM3" s="234"/>
      <c r="AN3" s="234"/>
      <c r="AO3" s="234"/>
      <c r="AP3" s="234"/>
      <c r="AQ3" s="234"/>
      <c r="AR3" s="234"/>
      <c r="AS3" s="234"/>
      <c r="AT3" s="234"/>
      <c r="AU3" s="234"/>
      <c r="AV3" s="234"/>
      <c r="AW3" s="235"/>
      <c r="AY3" s="233" t="s">
        <v>437</v>
      </c>
      <c r="AZ3" s="234"/>
      <c r="BA3" s="234"/>
      <c r="BB3" s="235"/>
    </row>
    <row r="4" spans="2:54" ht="15" thickBot="1">
      <c r="B4" s="259" t="s">
        <v>397</v>
      </c>
      <c r="C4" s="260"/>
      <c r="D4" s="260"/>
      <c r="E4" s="260"/>
      <c r="F4" s="260"/>
      <c r="G4" s="260"/>
      <c r="H4" s="260"/>
      <c r="I4" s="260"/>
      <c r="J4" s="260"/>
      <c r="K4" s="260"/>
      <c r="L4" s="260"/>
      <c r="M4" s="260"/>
      <c r="N4" s="260"/>
      <c r="O4" s="260"/>
      <c r="P4" s="261"/>
      <c r="Q4" s="262" t="s">
        <v>408</v>
      </c>
      <c r="R4" s="263"/>
      <c r="S4" s="263"/>
      <c r="T4" s="263"/>
      <c r="U4" s="263"/>
      <c r="V4" s="263"/>
      <c r="W4" s="263"/>
      <c r="X4" s="263"/>
      <c r="Y4" s="264"/>
      <c r="AA4" s="230" t="s">
        <v>426</v>
      </c>
      <c r="AB4" s="231"/>
      <c r="AC4" s="231"/>
      <c r="AD4" s="231"/>
      <c r="AE4" s="231"/>
      <c r="AF4" s="231"/>
      <c r="AG4" s="232"/>
      <c r="AI4" s="230" t="s">
        <v>434</v>
      </c>
      <c r="AJ4" s="231"/>
      <c r="AK4" s="231"/>
      <c r="AL4" s="231"/>
      <c r="AM4" s="231"/>
      <c r="AN4" s="231"/>
      <c r="AO4" s="231"/>
      <c r="AP4" s="231"/>
      <c r="AQ4" s="231"/>
      <c r="AR4" s="231"/>
      <c r="AS4" s="231"/>
      <c r="AT4" s="231"/>
      <c r="AU4" s="231"/>
      <c r="AV4" s="231"/>
      <c r="AW4" s="232"/>
      <c r="AY4" s="233" t="s">
        <v>438</v>
      </c>
      <c r="AZ4" s="234"/>
      <c r="BA4" s="234"/>
      <c r="BB4" s="235"/>
    </row>
    <row r="5" spans="2:54" ht="15" thickBot="1">
      <c r="B5" s="242" t="s">
        <v>83</v>
      </c>
      <c r="C5" s="243"/>
      <c r="D5" s="243"/>
      <c r="E5" s="243"/>
      <c r="F5" s="243"/>
      <c r="G5" s="244"/>
      <c r="H5" s="242" t="s">
        <v>84</v>
      </c>
      <c r="I5" s="243"/>
      <c r="J5" s="244"/>
      <c r="K5" s="242" t="s">
        <v>85</v>
      </c>
      <c r="L5" s="243"/>
      <c r="M5" s="243"/>
      <c r="N5" s="243"/>
      <c r="O5" s="243"/>
      <c r="P5" s="244"/>
      <c r="Q5" s="238" t="s">
        <v>83</v>
      </c>
      <c r="R5" s="248"/>
      <c r="S5" s="239"/>
      <c r="T5" s="238" t="s">
        <v>84</v>
      </c>
      <c r="U5" s="248"/>
      <c r="V5" s="239"/>
      <c r="W5" s="238" t="s">
        <v>85</v>
      </c>
      <c r="X5" s="248"/>
      <c r="Y5" s="239"/>
      <c r="AA5" s="242" t="s">
        <v>397</v>
      </c>
      <c r="AB5" s="243"/>
      <c r="AC5" s="244"/>
      <c r="AD5" s="238" t="s">
        <v>408</v>
      </c>
      <c r="AE5" s="248"/>
      <c r="AF5" s="248"/>
      <c r="AG5" s="239"/>
      <c r="AI5" s="265" t="s">
        <v>397</v>
      </c>
      <c r="AJ5" s="266"/>
      <c r="AK5" s="266"/>
      <c r="AL5" s="266"/>
      <c r="AM5" s="266"/>
      <c r="AN5" s="267"/>
      <c r="AO5" s="274" t="s">
        <v>408</v>
      </c>
      <c r="AP5" s="275"/>
      <c r="AQ5" s="275"/>
      <c r="AR5" s="275"/>
      <c r="AS5" s="275"/>
      <c r="AT5" s="275"/>
      <c r="AU5" s="275"/>
      <c r="AV5" s="275"/>
      <c r="AW5" s="276"/>
      <c r="AY5" s="230" t="s">
        <v>440</v>
      </c>
      <c r="AZ5" s="231"/>
      <c r="BA5" s="231"/>
      <c r="BB5" s="232"/>
    </row>
    <row r="6" spans="2:54" ht="15" thickBot="1">
      <c r="B6" s="253" t="s">
        <v>419</v>
      </c>
      <c r="C6" s="254"/>
      <c r="D6" s="254"/>
      <c r="E6" s="253" t="s">
        <v>420</v>
      </c>
      <c r="F6" s="254"/>
      <c r="G6" s="255"/>
      <c r="H6" s="253" t="s">
        <v>421</v>
      </c>
      <c r="I6" s="254"/>
      <c r="J6" s="255"/>
      <c r="K6" s="253" t="s">
        <v>422</v>
      </c>
      <c r="L6" s="254"/>
      <c r="M6" s="255"/>
      <c r="N6" s="253" t="s">
        <v>423</v>
      </c>
      <c r="O6" s="254"/>
      <c r="P6" s="255"/>
      <c r="Q6" s="250"/>
      <c r="R6" s="251"/>
      <c r="S6" s="252"/>
      <c r="T6" s="250"/>
      <c r="U6" s="251"/>
      <c r="V6" s="252"/>
      <c r="W6" s="250"/>
      <c r="X6" s="251"/>
      <c r="Y6" s="252"/>
      <c r="AA6" s="253" t="s">
        <v>427</v>
      </c>
      <c r="AB6" s="254"/>
      <c r="AC6" s="255"/>
      <c r="AD6" s="250"/>
      <c r="AE6" s="251"/>
      <c r="AF6" s="251"/>
      <c r="AG6" s="252"/>
      <c r="AI6" s="268"/>
      <c r="AJ6" s="269"/>
      <c r="AK6" s="269"/>
      <c r="AL6" s="269"/>
      <c r="AM6" s="269"/>
      <c r="AN6" s="270"/>
      <c r="AO6" s="262"/>
      <c r="AP6" s="263"/>
      <c r="AQ6" s="263"/>
      <c r="AR6" s="263"/>
      <c r="AS6" s="263"/>
      <c r="AT6" s="263"/>
      <c r="AU6" s="263"/>
      <c r="AV6" s="263"/>
      <c r="AW6" s="264"/>
      <c r="AY6" s="242" t="s">
        <v>397</v>
      </c>
      <c r="AZ6" s="244"/>
      <c r="BA6" s="238" t="s">
        <v>408</v>
      </c>
      <c r="BB6" s="239"/>
    </row>
    <row r="7" spans="2:54" ht="17" thickBot="1">
      <c r="B7" s="256"/>
      <c r="C7" s="257"/>
      <c r="D7" s="257"/>
      <c r="E7" s="256"/>
      <c r="F7" s="257"/>
      <c r="G7" s="258"/>
      <c r="H7" s="256"/>
      <c r="I7" s="257"/>
      <c r="J7" s="258"/>
      <c r="K7" s="256"/>
      <c r="L7" s="257"/>
      <c r="M7" s="258"/>
      <c r="N7" s="256"/>
      <c r="O7" s="257"/>
      <c r="P7" s="258"/>
      <c r="Q7" s="240"/>
      <c r="R7" s="249"/>
      <c r="S7" s="241"/>
      <c r="T7" s="240"/>
      <c r="U7" s="249"/>
      <c r="V7" s="241"/>
      <c r="W7" s="240"/>
      <c r="X7" s="249"/>
      <c r="Y7" s="241"/>
      <c r="AA7" s="256"/>
      <c r="AB7" s="257"/>
      <c r="AC7" s="258"/>
      <c r="AD7" s="240"/>
      <c r="AE7" s="249"/>
      <c r="AF7" s="249"/>
      <c r="AG7" s="241"/>
      <c r="AI7" s="245" t="s">
        <v>435</v>
      </c>
      <c r="AJ7" s="246"/>
      <c r="AK7" s="246"/>
      <c r="AL7" s="246"/>
      <c r="AM7" s="246"/>
      <c r="AN7" s="247"/>
      <c r="AO7" s="271" t="s">
        <v>746</v>
      </c>
      <c r="AP7" s="272"/>
      <c r="AQ7" s="273"/>
      <c r="AR7" s="271" t="s">
        <v>747</v>
      </c>
      <c r="AS7" s="272"/>
      <c r="AT7" s="273"/>
      <c r="AU7" s="271" t="s">
        <v>748</v>
      </c>
      <c r="AV7" s="272"/>
      <c r="AW7" s="273"/>
      <c r="AY7" s="245" t="s">
        <v>439</v>
      </c>
      <c r="AZ7" s="247"/>
      <c r="BA7" s="240"/>
      <c r="BB7" s="241"/>
    </row>
    <row r="8" spans="2:54" ht="16.5">
      <c r="B8" s="31" t="s">
        <v>409</v>
      </c>
      <c r="C8" s="40" t="s">
        <v>417</v>
      </c>
      <c r="D8" s="41" t="s">
        <v>418</v>
      </c>
      <c r="E8" s="31" t="s">
        <v>409</v>
      </c>
      <c r="F8" s="40" t="s">
        <v>417</v>
      </c>
      <c r="G8" s="40" t="s">
        <v>418</v>
      </c>
      <c r="H8" s="31" t="s">
        <v>409</v>
      </c>
      <c r="I8" s="40" t="s">
        <v>417</v>
      </c>
      <c r="J8" s="40" t="s">
        <v>418</v>
      </c>
      <c r="K8" s="31" t="s">
        <v>409</v>
      </c>
      <c r="L8" s="40" t="s">
        <v>417</v>
      </c>
      <c r="M8" s="40" t="s">
        <v>418</v>
      </c>
      <c r="N8" s="31" t="s">
        <v>409</v>
      </c>
      <c r="O8" s="40" t="s">
        <v>417</v>
      </c>
      <c r="P8" s="40" t="s">
        <v>418</v>
      </c>
      <c r="Q8" s="35" t="s">
        <v>409</v>
      </c>
      <c r="R8" s="51" t="s">
        <v>417</v>
      </c>
      <c r="S8" s="52" t="s">
        <v>418</v>
      </c>
      <c r="T8" s="35" t="s">
        <v>409</v>
      </c>
      <c r="U8" s="51" t="s">
        <v>417</v>
      </c>
      <c r="V8" s="51" t="s">
        <v>418</v>
      </c>
      <c r="W8" s="35" t="s">
        <v>409</v>
      </c>
      <c r="X8" s="51" t="s">
        <v>417</v>
      </c>
      <c r="Y8" s="52" t="s">
        <v>418</v>
      </c>
      <c r="AA8" s="65" t="s">
        <v>428</v>
      </c>
      <c r="AB8" s="32" t="s">
        <v>410</v>
      </c>
      <c r="AC8" s="40" t="s">
        <v>429</v>
      </c>
      <c r="AD8" s="74" t="s">
        <v>428</v>
      </c>
      <c r="AE8" s="36" t="s">
        <v>430</v>
      </c>
      <c r="AF8" s="51" t="s">
        <v>431</v>
      </c>
      <c r="AG8" s="52" t="s">
        <v>432</v>
      </c>
      <c r="AI8" s="65" t="s">
        <v>428</v>
      </c>
      <c r="AJ8" s="32" t="s">
        <v>410</v>
      </c>
      <c r="AK8" s="41" t="s">
        <v>431</v>
      </c>
      <c r="AL8" s="65" t="s">
        <v>428</v>
      </c>
      <c r="AM8" s="32" t="s">
        <v>487</v>
      </c>
      <c r="AN8" s="40" t="s">
        <v>432</v>
      </c>
      <c r="AO8" s="35" t="s">
        <v>430</v>
      </c>
      <c r="AP8" s="51" t="s">
        <v>431</v>
      </c>
      <c r="AQ8" s="52" t="s">
        <v>432</v>
      </c>
      <c r="AR8" s="35" t="s">
        <v>430</v>
      </c>
      <c r="AS8" s="51" t="s">
        <v>431</v>
      </c>
      <c r="AT8" s="52" t="s">
        <v>432</v>
      </c>
      <c r="AU8" s="35" t="s">
        <v>430</v>
      </c>
      <c r="AV8" s="51" t="s">
        <v>431</v>
      </c>
      <c r="AW8" s="52" t="s">
        <v>432</v>
      </c>
      <c r="AY8" s="31" t="s">
        <v>410</v>
      </c>
      <c r="AZ8" s="32" t="s">
        <v>441</v>
      </c>
      <c r="BA8" s="35" t="s">
        <v>410</v>
      </c>
      <c r="BB8" s="85" t="s">
        <v>441</v>
      </c>
    </row>
    <row r="9" spans="2:54" ht="15" thickBot="1">
      <c r="B9" s="42"/>
      <c r="C9" s="43"/>
      <c r="D9" s="44"/>
      <c r="E9" s="23"/>
      <c r="F9" s="47"/>
      <c r="G9" s="33"/>
      <c r="H9" s="5"/>
      <c r="I9" s="43"/>
      <c r="J9" s="11"/>
      <c r="K9" s="42"/>
      <c r="L9" s="43"/>
      <c r="M9" s="11"/>
      <c r="N9" s="5"/>
      <c r="O9" s="43"/>
      <c r="P9" s="11"/>
      <c r="Q9" s="53">
        <v>200</v>
      </c>
      <c r="R9" s="54">
        <f>1/Q9</f>
        <v>5.0000000000000001E-3</v>
      </c>
      <c r="S9" s="55">
        <v>113.825339746376</v>
      </c>
      <c r="T9" s="53">
        <v>270</v>
      </c>
      <c r="U9" s="54">
        <f>1/T9</f>
        <v>3.7037037037037038E-3</v>
      </c>
      <c r="V9" s="38">
        <v>4994.893</v>
      </c>
      <c r="W9" s="53">
        <v>200</v>
      </c>
      <c r="X9" s="54">
        <f>1/W9</f>
        <v>5.0000000000000001E-3</v>
      </c>
      <c r="Y9" s="60">
        <v>11.4457</v>
      </c>
      <c r="AA9" s="5"/>
      <c r="AB9" s="27"/>
      <c r="AC9" s="71"/>
      <c r="AD9" s="14">
        <v>283.14999999999998</v>
      </c>
      <c r="AE9" s="54">
        <v>0</v>
      </c>
      <c r="AF9" s="75">
        <v>40.49606</v>
      </c>
      <c r="AG9" s="60">
        <v>40.49606</v>
      </c>
      <c r="AI9" s="5"/>
      <c r="AJ9" s="67"/>
      <c r="AK9" s="8"/>
      <c r="AL9" s="5"/>
      <c r="AM9" s="67"/>
      <c r="AN9" s="72"/>
      <c r="AO9" s="86">
        <v>1</v>
      </c>
      <c r="AP9" s="75">
        <v>33.528336000000003</v>
      </c>
      <c r="AQ9" s="60">
        <v>33.528336000000003</v>
      </c>
      <c r="AR9" s="86">
        <v>1</v>
      </c>
      <c r="AS9" s="79">
        <v>226.45739</v>
      </c>
      <c r="AT9" s="61">
        <v>226.45739</v>
      </c>
      <c r="AU9" s="86">
        <v>1</v>
      </c>
      <c r="AV9" s="79">
        <v>676.35443999999995</v>
      </c>
      <c r="AW9" s="61">
        <v>676.35443999999995</v>
      </c>
      <c r="AY9" s="9"/>
      <c r="AZ9" s="72"/>
      <c r="BA9" s="86">
        <v>1</v>
      </c>
      <c r="BB9" s="87">
        <v>0</v>
      </c>
    </row>
    <row r="10" spans="2:54">
      <c r="B10" s="42"/>
      <c r="C10" s="43"/>
      <c r="D10" s="44"/>
      <c r="H10" s="5"/>
      <c r="I10" s="43"/>
      <c r="J10" s="49"/>
      <c r="K10" s="42"/>
      <c r="L10" s="43"/>
      <c r="M10" s="11"/>
      <c r="N10" s="5"/>
      <c r="O10" s="43"/>
      <c r="P10" s="11"/>
      <c r="Q10" s="53">
        <v>201.02500000000001</v>
      </c>
      <c r="R10" s="54">
        <f t="shared" ref="R10:R73" si="0">1/Q10</f>
        <v>4.9745056585001864E-3</v>
      </c>
      <c r="S10" s="55">
        <v>126.91556828756799</v>
      </c>
      <c r="T10" s="53">
        <v>270.666666666666</v>
      </c>
      <c r="U10" s="54">
        <f t="shared" ref="U10:U73" si="1">1/T10</f>
        <v>3.6945812807881863E-3</v>
      </c>
      <c r="V10" s="38">
        <v>5197.0959999999995</v>
      </c>
      <c r="W10" s="53">
        <v>201</v>
      </c>
      <c r="X10" s="54">
        <f t="shared" ref="X10:X73" si="2">1/W10</f>
        <v>4.9751243781094526E-3</v>
      </c>
      <c r="Y10" s="60">
        <v>12.950839999999999</v>
      </c>
      <c r="AA10" s="5"/>
      <c r="AB10" s="27"/>
      <c r="AC10" s="71"/>
      <c r="AD10" s="14">
        <v>283.14999999999998</v>
      </c>
      <c r="AE10" s="54">
        <v>5.0000000000000001E-3</v>
      </c>
      <c r="AF10" s="75">
        <v>40.379215000000002</v>
      </c>
      <c r="AG10" s="60">
        <v>40.224559999999997</v>
      </c>
      <c r="AI10" s="5"/>
      <c r="AJ10" s="67"/>
      <c r="AK10" s="8"/>
      <c r="AL10" s="5"/>
      <c r="AM10" s="67"/>
      <c r="AN10" s="72"/>
      <c r="AO10" s="86">
        <v>0.995</v>
      </c>
      <c r="AP10" s="75">
        <v>53.066535000000002</v>
      </c>
      <c r="AQ10" s="60">
        <v>33.697426</v>
      </c>
      <c r="AR10" s="86">
        <v>0.995</v>
      </c>
      <c r="AS10" s="79">
        <v>263.20303000000001</v>
      </c>
      <c r="AT10" s="61">
        <v>227.62298000000001</v>
      </c>
      <c r="AU10" s="86">
        <v>0.995</v>
      </c>
      <c r="AV10" s="79">
        <v>727.55093999999997</v>
      </c>
      <c r="AW10" s="61">
        <v>679.97974999999997</v>
      </c>
      <c r="AY10" s="83"/>
      <c r="AZ10" s="72"/>
      <c r="BA10" s="88">
        <v>0.99</v>
      </c>
      <c r="BB10" s="60">
        <v>23.968250000000001</v>
      </c>
    </row>
    <row r="11" spans="2:54">
      <c r="B11" s="42"/>
      <c r="C11" s="43"/>
      <c r="D11" s="8"/>
      <c r="H11" s="5"/>
      <c r="I11" s="43"/>
      <c r="J11" s="49"/>
      <c r="K11" s="42"/>
      <c r="L11" s="43"/>
      <c r="M11" s="11"/>
      <c r="N11" s="5"/>
      <c r="O11" s="43"/>
      <c r="P11" s="11"/>
      <c r="Q11" s="53">
        <v>202.05</v>
      </c>
      <c r="R11" s="54">
        <f t="shared" si="0"/>
        <v>4.9492699826775548E-3</v>
      </c>
      <c r="S11" s="55">
        <v>141.32792020862499</v>
      </c>
      <c r="T11" s="53">
        <v>271.33333333333297</v>
      </c>
      <c r="U11" s="54">
        <f t="shared" si="1"/>
        <v>3.6855036855036904E-3</v>
      </c>
      <c r="V11" s="38">
        <v>5406.1589999999997</v>
      </c>
      <c r="W11" s="53">
        <v>202</v>
      </c>
      <c r="X11" s="54">
        <f t="shared" si="2"/>
        <v>4.9504950495049506E-3</v>
      </c>
      <c r="Y11" s="60">
        <v>14.632770000000001</v>
      </c>
      <c r="AA11" s="5"/>
      <c r="AB11" s="27"/>
      <c r="AC11" s="71"/>
      <c r="AD11" s="14">
        <v>283.14999999999998</v>
      </c>
      <c r="AE11" s="76">
        <v>0.01</v>
      </c>
      <c r="AF11" s="75">
        <v>40.262486000000003</v>
      </c>
      <c r="AG11" s="60">
        <v>39.952731999999997</v>
      </c>
      <c r="AI11" s="5"/>
      <c r="AJ11" s="67"/>
      <c r="AK11" s="8"/>
      <c r="AL11" s="5"/>
      <c r="AM11" s="67"/>
      <c r="AN11" s="72"/>
      <c r="AO11" s="86">
        <v>0.99</v>
      </c>
      <c r="AP11" s="75">
        <v>72.543016000000009</v>
      </c>
      <c r="AQ11" s="60">
        <v>33.868223</v>
      </c>
      <c r="AR11" s="86">
        <v>0.99</v>
      </c>
      <c r="AS11" s="79">
        <v>299.89490000000001</v>
      </c>
      <c r="AT11" s="61">
        <v>228.80048000000002</v>
      </c>
      <c r="AU11" s="86">
        <v>0.99</v>
      </c>
      <c r="AV11" s="79">
        <v>778.72043999999994</v>
      </c>
      <c r="AW11" s="61">
        <v>683.6430600000001</v>
      </c>
      <c r="AY11" s="83"/>
      <c r="AZ11" s="72"/>
      <c r="BA11" s="88">
        <v>0.98</v>
      </c>
      <c r="BB11" s="60">
        <v>47.717269999999999</v>
      </c>
    </row>
    <row r="12" spans="2:54">
      <c r="B12" s="42"/>
      <c r="C12" s="43"/>
      <c r="D12" s="8"/>
      <c r="H12" s="5"/>
      <c r="I12" s="43"/>
      <c r="J12" s="49"/>
      <c r="K12" s="42"/>
      <c r="L12" s="43"/>
      <c r="M12" s="11"/>
      <c r="N12" s="5"/>
      <c r="O12" s="43"/>
      <c r="P12" s="11"/>
      <c r="Q12" s="53">
        <v>203.07499999999999</v>
      </c>
      <c r="R12" s="54">
        <f t="shared" si="0"/>
        <v>4.9242890557675738E-3</v>
      </c>
      <c r="S12" s="55">
        <v>157.176268370532</v>
      </c>
      <c r="T12" s="53">
        <v>272</v>
      </c>
      <c r="U12" s="54">
        <f t="shared" si="1"/>
        <v>3.6764705882352941E-3</v>
      </c>
      <c r="V12" s="38">
        <v>5622.2640000000001</v>
      </c>
      <c r="W12" s="53">
        <v>203</v>
      </c>
      <c r="X12" s="54">
        <f t="shared" si="2"/>
        <v>4.9261083743842365E-3</v>
      </c>
      <c r="Y12" s="60">
        <v>16.509620000000002</v>
      </c>
      <c r="AA12" s="5"/>
      <c r="AB12" s="67"/>
      <c r="AC12" s="71"/>
      <c r="AD12" s="14">
        <v>283.14999999999998</v>
      </c>
      <c r="AE12" s="76">
        <v>1.4999999999999999E-2</v>
      </c>
      <c r="AF12" s="75">
        <v>40.145862999999999</v>
      </c>
      <c r="AG12" s="60">
        <v>39.680588</v>
      </c>
      <c r="AI12" s="5"/>
      <c r="AJ12" s="67"/>
      <c r="AK12" s="8"/>
      <c r="AL12" s="5"/>
      <c r="AM12" s="67"/>
      <c r="AN12" s="72"/>
      <c r="AO12" s="86">
        <v>0.98499999999999999</v>
      </c>
      <c r="AP12" s="75">
        <v>91.957170000000005</v>
      </c>
      <c r="AQ12" s="60">
        <v>34.040754</v>
      </c>
      <c r="AR12" s="86">
        <v>0.98499999999999999</v>
      </c>
      <c r="AS12" s="79">
        <v>336.53219999999999</v>
      </c>
      <c r="AT12" s="61">
        <v>229.99006</v>
      </c>
      <c r="AU12" s="86">
        <v>0.98499999999999999</v>
      </c>
      <c r="AV12" s="79">
        <v>829.86219999999992</v>
      </c>
      <c r="AW12" s="61">
        <v>687.34500000000003</v>
      </c>
      <c r="AY12" s="83"/>
      <c r="AZ12" s="72"/>
      <c r="BA12" s="88">
        <v>0.97</v>
      </c>
      <c r="BB12" s="60">
        <v>71.241470000000007</v>
      </c>
    </row>
    <row r="13" spans="2:54">
      <c r="B13" s="42"/>
      <c r="C13" s="43"/>
      <c r="D13" s="8"/>
      <c r="H13" s="5"/>
      <c r="I13" s="43"/>
      <c r="J13" s="49"/>
      <c r="K13" s="42"/>
      <c r="L13" s="43"/>
      <c r="M13" s="11"/>
      <c r="N13" s="5"/>
      <c r="O13" s="43"/>
      <c r="P13" s="11"/>
      <c r="Q13" s="53">
        <v>204.1</v>
      </c>
      <c r="R13" s="54">
        <f t="shared" si="0"/>
        <v>4.8995590396864281E-3</v>
      </c>
      <c r="S13" s="55">
        <v>174.58243756407799</v>
      </c>
      <c r="T13" s="53">
        <v>272.666666666666</v>
      </c>
      <c r="U13" s="54">
        <f t="shared" si="1"/>
        <v>3.6674816625916961E-3</v>
      </c>
      <c r="V13" s="38">
        <v>5845.5969999999998</v>
      </c>
      <c r="W13" s="53">
        <v>204</v>
      </c>
      <c r="X13" s="54">
        <f t="shared" si="2"/>
        <v>4.9019607843137254E-3</v>
      </c>
      <c r="Y13" s="60">
        <v>18.601150000000001</v>
      </c>
      <c r="AA13" s="5"/>
      <c r="AB13" s="67"/>
      <c r="AC13" s="71"/>
      <c r="AD13" s="14">
        <v>283.14999999999998</v>
      </c>
      <c r="AE13" s="76">
        <v>0.02</v>
      </c>
      <c r="AF13" s="75">
        <v>40.029350000000001</v>
      </c>
      <c r="AG13" s="60">
        <v>39.408140000000003</v>
      </c>
      <c r="AI13" s="5"/>
      <c r="AJ13" s="67"/>
      <c r="AK13" s="8"/>
      <c r="AL13" s="5"/>
      <c r="AM13" s="67"/>
      <c r="AN13" s="72"/>
      <c r="AO13" s="86">
        <v>0.98</v>
      </c>
      <c r="AP13" s="79">
        <v>111.30841000000001</v>
      </c>
      <c r="AQ13" s="60">
        <v>34.215042999999994</v>
      </c>
      <c r="AR13" s="86">
        <v>0.98</v>
      </c>
      <c r="AS13" s="79">
        <v>373.11405999999999</v>
      </c>
      <c r="AT13" s="61">
        <v>231.19192000000001</v>
      </c>
      <c r="AU13" s="86">
        <v>0.98</v>
      </c>
      <c r="AV13" s="79">
        <v>880.97550000000001</v>
      </c>
      <c r="AW13" s="61">
        <v>691.08619999999996</v>
      </c>
      <c r="AY13" s="83"/>
      <c r="AZ13" s="72"/>
      <c r="BA13" s="88">
        <v>0.96</v>
      </c>
      <c r="BB13" s="60">
        <v>94.535210000000006</v>
      </c>
    </row>
    <row r="14" spans="2:54">
      <c r="B14" s="42"/>
      <c r="C14" s="43"/>
      <c r="D14" s="8"/>
      <c r="H14" s="5"/>
      <c r="I14" s="43"/>
      <c r="J14" s="49"/>
      <c r="K14" s="42"/>
      <c r="L14" s="43"/>
      <c r="M14" s="11"/>
      <c r="N14" s="5"/>
      <c r="O14" s="43"/>
      <c r="P14" s="11"/>
      <c r="Q14" s="53">
        <v>205.125</v>
      </c>
      <c r="R14" s="54">
        <f t="shared" si="0"/>
        <v>4.8750761730652044E-3</v>
      </c>
      <c r="S14" s="55">
        <v>193.67660910843699</v>
      </c>
      <c r="T14" s="53">
        <v>273.33333333333297</v>
      </c>
      <c r="U14" s="54">
        <f t="shared" si="1"/>
        <v>3.6585365853658586E-3</v>
      </c>
      <c r="V14" s="38">
        <v>6076.3490000000002</v>
      </c>
      <c r="W14" s="53">
        <v>205</v>
      </c>
      <c r="X14" s="54">
        <f t="shared" si="2"/>
        <v>4.8780487804878049E-3</v>
      </c>
      <c r="Y14" s="60">
        <v>20.92877</v>
      </c>
      <c r="AA14" s="5"/>
      <c r="AB14" s="67"/>
      <c r="AC14" s="71"/>
      <c r="AD14" s="14">
        <v>283.14999999999998</v>
      </c>
      <c r="AE14" s="76">
        <v>2.5000000000000001E-2</v>
      </c>
      <c r="AF14" s="75">
        <v>39.912950000000002</v>
      </c>
      <c r="AG14" s="60">
        <v>39.135387000000001</v>
      </c>
      <c r="AI14" s="5"/>
      <c r="AJ14" s="67"/>
      <c r="AK14" s="8"/>
      <c r="AL14" s="5"/>
      <c r="AM14" s="67"/>
      <c r="AN14" s="72"/>
      <c r="AO14" s="86">
        <v>0.97499999999999998</v>
      </c>
      <c r="AP14" s="79">
        <v>130.59611000000001</v>
      </c>
      <c r="AQ14" s="60">
        <v>34.391120000000001</v>
      </c>
      <c r="AR14" s="86">
        <v>0.97499999999999998</v>
      </c>
      <c r="AS14" s="79">
        <v>409.6397</v>
      </c>
      <c r="AT14" s="61">
        <v>232.40623000000002</v>
      </c>
      <c r="AU14" s="86">
        <v>0.97499999999999998</v>
      </c>
      <c r="AV14" s="79">
        <v>932.05959999999993</v>
      </c>
      <c r="AW14" s="61">
        <v>694.86725000000001</v>
      </c>
      <c r="AY14" s="83"/>
      <c r="AZ14" s="72"/>
      <c r="BA14" s="88">
        <v>0.95</v>
      </c>
      <c r="BB14" s="61">
        <v>117.5928</v>
      </c>
    </row>
    <row r="15" spans="2:54">
      <c r="B15" s="42"/>
      <c r="C15" s="43"/>
      <c r="D15" s="8"/>
      <c r="H15" s="5"/>
      <c r="I15" s="43"/>
      <c r="J15" s="49"/>
      <c r="K15" s="42"/>
      <c r="L15" s="43"/>
      <c r="M15" s="11"/>
      <c r="N15" s="5"/>
      <c r="O15" s="43"/>
      <c r="P15" s="11"/>
      <c r="Q15" s="53">
        <v>206.15</v>
      </c>
      <c r="R15" s="54">
        <f t="shared" si="0"/>
        <v>4.8508367693427118E-3</v>
      </c>
      <c r="S15" s="55">
        <v>214.597735724599</v>
      </c>
      <c r="T15" s="53">
        <v>274</v>
      </c>
      <c r="U15" s="54">
        <f t="shared" si="1"/>
        <v>3.6496350364963502E-3</v>
      </c>
      <c r="V15" s="38">
        <v>6314.7110000000002</v>
      </c>
      <c r="W15" s="53">
        <v>206</v>
      </c>
      <c r="X15" s="54">
        <f t="shared" si="2"/>
        <v>4.8543689320388345E-3</v>
      </c>
      <c r="Y15" s="60">
        <v>23.515699999999999</v>
      </c>
      <c r="AA15" s="5"/>
      <c r="AB15" s="67"/>
      <c r="AC15" s="71"/>
      <c r="AD15" s="14">
        <v>283.14999999999998</v>
      </c>
      <c r="AE15" s="76">
        <v>0.03</v>
      </c>
      <c r="AF15" s="75">
        <v>39.796658000000001</v>
      </c>
      <c r="AG15" s="60">
        <v>38.862360000000002</v>
      </c>
      <c r="AI15" s="5"/>
      <c r="AJ15" s="67"/>
      <c r="AK15" s="8"/>
      <c r="AL15" s="5"/>
      <c r="AM15" s="67"/>
      <c r="AN15" s="72"/>
      <c r="AO15" s="86">
        <v>0.97</v>
      </c>
      <c r="AP15" s="79">
        <v>149.81967</v>
      </c>
      <c r="AQ15" s="60">
        <v>34.569016000000005</v>
      </c>
      <c r="AR15" s="86">
        <v>0.97</v>
      </c>
      <c r="AS15" s="79">
        <v>446.10825</v>
      </c>
      <c r="AT15" s="61">
        <v>233.63320000000002</v>
      </c>
      <c r="AU15" s="86">
        <v>0.97</v>
      </c>
      <c r="AV15" s="79">
        <v>983.11390000000006</v>
      </c>
      <c r="AW15" s="61">
        <v>698.68880000000001</v>
      </c>
      <c r="AY15" s="83"/>
      <c r="AZ15" s="72"/>
      <c r="BA15" s="88">
        <v>0.94</v>
      </c>
      <c r="BB15" s="61">
        <v>140.40870000000001</v>
      </c>
    </row>
    <row r="16" spans="2:54">
      <c r="B16" s="42"/>
      <c r="C16" s="43"/>
      <c r="D16" s="45"/>
      <c r="H16" s="5"/>
      <c r="I16" s="43"/>
      <c r="J16" s="49"/>
      <c r="K16" s="42"/>
      <c r="L16" s="43"/>
      <c r="M16" s="11"/>
      <c r="N16" s="5"/>
      <c r="O16" s="43"/>
      <c r="P16" s="11"/>
      <c r="Q16" s="53">
        <v>207.17500000000001</v>
      </c>
      <c r="R16" s="54">
        <f t="shared" si="0"/>
        <v>4.8268372149149266E-3</v>
      </c>
      <c r="S16" s="55">
        <v>237.49396643534701</v>
      </c>
      <c r="T16" s="53">
        <v>274.666666666666</v>
      </c>
      <c r="U16" s="54">
        <f t="shared" si="1"/>
        <v>3.640776699029135E-3</v>
      </c>
      <c r="V16" s="38">
        <v>6560.8789999999999</v>
      </c>
      <c r="W16" s="53">
        <v>207</v>
      </c>
      <c r="X16" s="54">
        <f t="shared" si="2"/>
        <v>4.830917874396135E-3</v>
      </c>
      <c r="Y16" s="60">
        <v>26.387080000000001</v>
      </c>
      <c r="AA16" s="5"/>
      <c r="AB16" s="67"/>
      <c r="AC16" s="71"/>
      <c r="AD16" s="14">
        <v>283.14999999999998</v>
      </c>
      <c r="AE16" s="76">
        <v>3.5000000000000003E-2</v>
      </c>
      <c r="AF16" s="75">
        <v>39.680477000000003</v>
      </c>
      <c r="AG16" s="60">
        <v>38.589060000000003</v>
      </c>
      <c r="AI16" s="5"/>
      <c r="AJ16" s="67"/>
      <c r="AK16" s="8"/>
      <c r="AL16" s="5"/>
      <c r="AM16" s="67"/>
      <c r="AN16" s="72"/>
      <c r="AO16" s="86">
        <v>0.96499999999999997</v>
      </c>
      <c r="AP16" s="79">
        <v>168.9785</v>
      </c>
      <c r="AQ16" s="60">
        <v>34.748753999999998</v>
      </c>
      <c r="AR16" s="86">
        <v>0.96499999999999997</v>
      </c>
      <c r="AS16" s="79">
        <v>482.51888000000002</v>
      </c>
      <c r="AT16" s="61">
        <v>234.87302</v>
      </c>
      <c r="AU16" s="86">
        <v>0.96499999999999997</v>
      </c>
      <c r="AV16" s="150">
        <v>1034.13744</v>
      </c>
      <c r="AW16" s="61">
        <v>702.55156000000011</v>
      </c>
      <c r="AY16" s="83"/>
      <c r="AZ16" s="72"/>
      <c r="BA16" s="88">
        <v>0.93</v>
      </c>
      <c r="BB16" s="61">
        <v>162.9769</v>
      </c>
    </row>
    <row r="17" spans="2:54" ht="15" thickBot="1">
      <c r="B17" s="42"/>
      <c r="C17" s="43"/>
      <c r="D17" s="45"/>
      <c r="H17" s="5"/>
      <c r="I17" s="43"/>
      <c r="J17" s="49"/>
      <c r="K17" s="42"/>
      <c r="L17" s="43"/>
      <c r="M17" s="11"/>
      <c r="N17" s="5"/>
      <c r="O17" s="43"/>
      <c r="P17" s="11"/>
      <c r="Q17" s="53">
        <v>208.2</v>
      </c>
      <c r="R17" s="54">
        <f t="shared" si="0"/>
        <v>4.8030739673390974E-3</v>
      </c>
      <c r="S17" s="55">
        <v>262.523081087533</v>
      </c>
      <c r="T17" s="53">
        <v>275.33333333333297</v>
      </c>
      <c r="U17" s="54">
        <f t="shared" si="1"/>
        <v>3.6319612590799081E-3</v>
      </c>
      <c r="V17" s="38">
        <v>6815.0540000000001</v>
      </c>
      <c r="W17" s="53">
        <v>208</v>
      </c>
      <c r="X17" s="54">
        <f t="shared" si="2"/>
        <v>4.807692307692308E-3</v>
      </c>
      <c r="Y17" s="60">
        <v>29.5701</v>
      </c>
      <c r="AA17" s="5"/>
      <c r="AB17" s="67"/>
      <c r="AC17" s="71"/>
      <c r="AD17" s="14">
        <v>283.14999999999998</v>
      </c>
      <c r="AE17" s="76">
        <v>0.04</v>
      </c>
      <c r="AF17" s="75">
        <v>39.564407000000003</v>
      </c>
      <c r="AG17" s="60">
        <v>38.315525000000001</v>
      </c>
      <c r="AI17" s="5"/>
      <c r="AJ17" s="67"/>
      <c r="AK17" s="8"/>
      <c r="AL17" s="5"/>
      <c r="AM17" s="67"/>
      <c r="AN17" s="72"/>
      <c r="AO17" s="86">
        <v>0.96</v>
      </c>
      <c r="AP17" s="79">
        <v>188.07196999999999</v>
      </c>
      <c r="AQ17" s="60">
        <v>34.930363</v>
      </c>
      <c r="AR17" s="86">
        <v>0.96</v>
      </c>
      <c r="AS17" s="79">
        <v>518.87078000000008</v>
      </c>
      <c r="AT17" s="61">
        <v>236.1259</v>
      </c>
      <c r="AU17" s="86">
        <v>0.96</v>
      </c>
      <c r="AV17" s="150">
        <v>1085.1296</v>
      </c>
      <c r="AW17" s="61">
        <v>706.45609999999999</v>
      </c>
      <c r="AY17" s="84"/>
      <c r="AZ17" s="73"/>
      <c r="BA17" s="88">
        <v>0.92</v>
      </c>
      <c r="BB17" s="61">
        <v>185.29179999999999</v>
      </c>
    </row>
    <row r="18" spans="2:54" ht="15" thickBot="1">
      <c r="B18" s="42"/>
      <c r="C18" s="43"/>
      <c r="D18" s="45"/>
      <c r="H18" s="23"/>
      <c r="I18" s="47"/>
      <c r="J18" s="50"/>
      <c r="K18" s="42"/>
      <c r="L18" s="43"/>
      <c r="M18" s="11"/>
      <c r="N18" s="5"/>
      <c r="O18" s="43"/>
      <c r="P18" s="11"/>
      <c r="Q18" s="53">
        <v>209.22499999999999</v>
      </c>
      <c r="R18" s="54">
        <f t="shared" si="0"/>
        <v>4.7795435535906323E-3</v>
      </c>
      <c r="S18" s="55">
        <v>289.852934119861</v>
      </c>
      <c r="T18" s="53">
        <v>276</v>
      </c>
      <c r="U18" s="54">
        <f t="shared" si="1"/>
        <v>3.6231884057971015E-3</v>
      </c>
      <c r="V18" s="38">
        <v>7077.4380000000001</v>
      </c>
      <c r="W18" s="53">
        <v>209</v>
      </c>
      <c r="X18" s="54">
        <f t="shared" si="2"/>
        <v>4.7846889952153108E-3</v>
      </c>
      <c r="Y18" s="60">
        <v>33.09413</v>
      </c>
      <c r="AA18" s="5"/>
      <c r="AB18" s="67"/>
      <c r="AC18" s="71"/>
      <c r="AD18" s="14">
        <v>283.14999999999998</v>
      </c>
      <c r="AE18" s="76">
        <v>4.4999999999999998E-2</v>
      </c>
      <c r="AF18" s="75">
        <v>39.448450000000001</v>
      </c>
      <c r="AG18" s="60">
        <v>38.041767</v>
      </c>
      <c r="AI18" s="5"/>
      <c r="AJ18" s="67"/>
      <c r="AK18" s="8"/>
      <c r="AL18" s="5"/>
      <c r="AM18" s="67"/>
      <c r="AN18" s="72"/>
      <c r="AO18" s="86">
        <v>0.95499999999999996</v>
      </c>
      <c r="AP18" s="79">
        <v>207.09950000000001</v>
      </c>
      <c r="AQ18" s="60">
        <v>35.113875</v>
      </c>
      <c r="AR18" s="86">
        <v>0.95499999999999996</v>
      </c>
      <c r="AS18" s="79">
        <v>555.16309999999999</v>
      </c>
      <c r="AT18" s="61">
        <v>237.39204999999998</v>
      </c>
      <c r="AU18" s="86">
        <v>0.95499999999999996</v>
      </c>
      <c r="AV18" s="150">
        <v>1136.0898999999999</v>
      </c>
      <c r="AW18" s="61">
        <v>710.40324999999996</v>
      </c>
      <c r="BA18" s="88">
        <v>0.91</v>
      </c>
      <c r="BB18" s="61">
        <v>207.3476</v>
      </c>
    </row>
    <row r="19" spans="2:54">
      <c r="B19" s="42"/>
      <c r="C19" s="43"/>
      <c r="D19" s="45"/>
      <c r="K19" s="42"/>
      <c r="L19" s="43"/>
      <c r="M19" s="11"/>
      <c r="N19" s="5"/>
      <c r="O19" s="43"/>
      <c r="P19" s="11"/>
      <c r="Q19" s="53">
        <v>210.25</v>
      </c>
      <c r="R19" s="54">
        <f t="shared" si="0"/>
        <v>4.7562425683709865E-3</v>
      </c>
      <c r="S19" s="55">
        <v>319.66190713132198</v>
      </c>
      <c r="T19" s="53">
        <v>276.666666666666</v>
      </c>
      <c r="U19" s="54">
        <f t="shared" si="1"/>
        <v>3.61445783132531E-3</v>
      </c>
      <c r="V19" s="38">
        <v>7348.2370000000001</v>
      </c>
      <c r="W19" s="53">
        <v>210</v>
      </c>
      <c r="X19" s="54">
        <f t="shared" si="2"/>
        <v>4.7619047619047623E-3</v>
      </c>
      <c r="Y19" s="60">
        <v>36.990850000000002</v>
      </c>
      <c r="AA19" s="5"/>
      <c r="AB19" s="67"/>
      <c r="AC19" s="71"/>
      <c r="AD19" s="14">
        <v>283.14999999999998</v>
      </c>
      <c r="AE19" s="76">
        <v>0.05</v>
      </c>
      <c r="AF19" s="75">
        <v>39.332599999999999</v>
      </c>
      <c r="AG19" s="60">
        <v>37.767814999999999</v>
      </c>
      <c r="AI19" s="5"/>
      <c r="AJ19" s="67"/>
      <c r="AK19" s="8"/>
      <c r="AL19" s="5"/>
      <c r="AM19" s="67"/>
      <c r="AN19" s="72"/>
      <c r="AO19" s="86">
        <v>0.95</v>
      </c>
      <c r="AP19" s="79">
        <v>226.06045</v>
      </c>
      <c r="AQ19" s="60">
        <v>35.299320000000002</v>
      </c>
      <c r="AR19" s="86">
        <v>0.95</v>
      </c>
      <c r="AS19" s="79">
        <v>591.39499999999998</v>
      </c>
      <c r="AT19" s="61">
        <v>238.67167000000001</v>
      </c>
      <c r="AU19" s="86">
        <v>0.95</v>
      </c>
      <c r="AV19" s="150">
        <v>1187.0171</v>
      </c>
      <c r="AW19" s="61">
        <v>714.39359999999999</v>
      </c>
      <c r="BA19" s="88">
        <v>0.9</v>
      </c>
      <c r="BB19" s="61">
        <v>229.13829999999999</v>
      </c>
    </row>
    <row r="20" spans="2:54">
      <c r="B20" s="42"/>
      <c r="C20" s="43"/>
      <c r="D20" s="45"/>
      <c r="K20" s="42"/>
      <c r="L20" s="43"/>
      <c r="M20" s="11"/>
      <c r="N20" s="5"/>
      <c r="O20" s="43"/>
      <c r="P20" s="11"/>
      <c r="Q20" s="53">
        <v>211.27500000000001</v>
      </c>
      <c r="R20" s="54">
        <f t="shared" si="0"/>
        <v>4.7331676724647973E-3</v>
      </c>
      <c r="S20" s="55">
        <v>352.13936983404602</v>
      </c>
      <c r="T20" s="53">
        <v>277.33333333333297</v>
      </c>
      <c r="U20" s="54">
        <f t="shared" si="1"/>
        <v>3.6057692307692353E-3</v>
      </c>
      <c r="V20" s="38">
        <v>7627.66</v>
      </c>
      <c r="W20" s="53">
        <v>211</v>
      </c>
      <c r="X20" s="54">
        <f t="shared" si="2"/>
        <v>4.7393364928909956E-3</v>
      </c>
      <c r="Y20" s="60">
        <v>41.294379999999997</v>
      </c>
      <c r="AA20" s="5"/>
      <c r="AB20" s="67"/>
      <c r="AC20" s="71"/>
      <c r="AD20" s="14">
        <v>283.14999999999998</v>
      </c>
      <c r="AE20" s="76">
        <v>5.5E-2</v>
      </c>
      <c r="AF20" s="75">
        <v>39.216858000000002</v>
      </c>
      <c r="AG20" s="60">
        <v>37.493699999999997</v>
      </c>
      <c r="AI20" s="5"/>
      <c r="AJ20" s="67"/>
      <c r="AK20" s="8"/>
      <c r="AL20" s="5"/>
      <c r="AM20" s="67"/>
      <c r="AN20" s="72"/>
      <c r="AO20" s="86">
        <v>0.94499999999999995</v>
      </c>
      <c r="AP20" s="79">
        <v>244.95425</v>
      </c>
      <c r="AQ20" s="60">
        <v>35.486722999999998</v>
      </c>
      <c r="AR20" s="86">
        <v>0.94499999999999995</v>
      </c>
      <c r="AS20" s="79">
        <v>627.56560000000002</v>
      </c>
      <c r="AT20" s="61">
        <v>239.96498</v>
      </c>
      <c r="AU20" s="86">
        <v>0.94499999999999995</v>
      </c>
      <c r="AV20" s="150">
        <v>1237.9108999999999</v>
      </c>
      <c r="AW20" s="61">
        <v>718.42793999999992</v>
      </c>
      <c r="BA20" s="88">
        <v>0.89</v>
      </c>
      <c r="BB20" s="61">
        <v>250.65809999999999</v>
      </c>
    </row>
    <row r="21" spans="2:54">
      <c r="B21" s="42"/>
      <c r="C21" s="43"/>
      <c r="D21" s="45"/>
      <c r="K21" s="42"/>
      <c r="L21" s="43"/>
      <c r="M21" s="11"/>
      <c r="N21" s="5"/>
      <c r="O21" s="43"/>
      <c r="P21" s="11"/>
      <c r="Q21" s="53">
        <v>212.3</v>
      </c>
      <c r="R21" s="54">
        <f t="shared" si="0"/>
        <v>4.7103155911446069E-3</v>
      </c>
      <c r="S21" s="55">
        <v>387.48614891703301</v>
      </c>
      <c r="T21" s="53">
        <v>278</v>
      </c>
      <c r="U21" s="54">
        <f t="shared" si="1"/>
        <v>3.5971223021582736E-3</v>
      </c>
      <c r="V21" s="38">
        <v>7915.9210000000003</v>
      </c>
      <c r="W21" s="53">
        <v>212</v>
      </c>
      <c r="X21" s="54">
        <f t="shared" si="2"/>
        <v>4.7169811320754715E-3</v>
      </c>
      <c r="Y21" s="60">
        <v>46.041460000000001</v>
      </c>
      <c r="AA21" s="5"/>
      <c r="AB21" s="67"/>
      <c r="AC21" s="71"/>
      <c r="AD21" s="14">
        <v>283.14999999999998</v>
      </c>
      <c r="AE21" s="76">
        <v>0.06</v>
      </c>
      <c r="AF21" s="75">
        <v>39.101227000000002</v>
      </c>
      <c r="AG21" s="60">
        <v>37.219448</v>
      </c>
      <c r="AI21" s="5"/>
      <c r="AJ21" s="67"/>
      <c r="AK21" s="8"/>
      <c r="AL21" s="5"/>
      <c r="AM21" s="67"/>
      <c r="AN21" s="72"/>
      <c r="AO21" s="86">
        <v>0.94</v>
      </c>
      <c r="AP21" s="79">
        <v>263.78025000000002</v>
      </c>
      <c r="AQ21" s="60">
        <v>35.676124999999999</v>
      </c>
      <c r="AR21" s="86">
        <v>0.94</v>
      </c>
      <c r="AS21" s="79">
        <v>663.67409999999995</v>
      </c>
      <c r="AT21" s="61">
        <v>241.27222</v>
      </c>
      <c r="AU21" s="86">
        <v>0.94</v>
      </c>
      <c r="AV21" s="150">
        <v>1288.7701999999999</v>
      </c>
      <c r="AW21" s="61">
        <v>722.50689999999997</v>
      </c>
      <c r="BA21" s="88">
        <v>0.88</v>
      </c>
      <c r="BB21" s="61">
        <v>271.90100000000001</v>
      </c>
    </row>
    <row r="22" spans="2:54">
      <c r="B22" s="42"/>
      <c r="C22" s="43"/>
      <c r="D22" s="45"/>
      <c r="K22" s="42"/>
      <c r="L22" s="43"/>
      <c r="M22" s="11"/>
      <c r="N22" s="5"/>
      <c r="O22" s="43"/>
      <c r="P22" s="11"/>
      <c r="Q22" s="53">
        <v>213.32499999999999</v>
      </c>
      <c r="R22" s="54">
        <f t="shared" si="0"/>
        <v>4.6876831126215872E-3</v>
      </c>
      <c r="S22" s="55">
        <v>425.91500422333399</v>
      </c>
      <c r="T22" s="53">
        <v>278.666666666666</v>
      </c>
      <c r="U22" s="54">
        <f t="shared" si="1"/>
        <v>3.588516746411492E-3</v>
      </c>
      <c r="V22" s="38">
        <v>8213.2369999999992</v>
      </c>
      <c r="W22" s="53">
        <v>213</v>
      </c>
      <c r="X22" s="54">
        <f t="shared" si="2"/>
        <v>4.6948356807511738E-3</v>
      </c>
      <c r="Y22" s="60">
        <v>51.271590000000003</v>
      </c>
      <c r="AA22" s="5"/>
      <c r="AB22" s="67"/>
      <c r="AC22" s="71"/>
      <c r="AD22" s="14">
        <v>283.14999999999998</v>
      </c>
      <c r="AE22" s="76">
        <v>6.5000000000000002E-2</v>
      </c>
      <c r="AF22" s="75">
        <v>38.985706</v>
      </c>
      <c r="AG22" s="60">
        <v>36.945099999999996</v>
      </c>
      <c r="AI22" s="5"/>
      <c r="AJ22" s="67"/>
      <c r="AK22" s="8"/>
      <c r="AL22" s="5"/>
      <c r="AM22" s="67"/>
      <c r="AN22" s="72"/>
      <c r="AO22" s="86">
        <v>0.93500000000000005</v>
      </c>
      <c r="AP22" s="79">
        <v>282.53788000000003</v>
      </c>
      <c r="AQ22" s="60">
        <v>35.867550000000001</v>
      </c>
      <c r="AR22" s="86">
        <v>0.93500000000000005</v>
      </c>
      <c r="AS22" s="79">
        <v>699.71960000000001</v>
      </c>
      <c r="AT22" s="61">
        <v>242.59357999999997</v>
      </c>
      <c r="AU22" s="86">
        <v>0.93500000000000005</v>
      </c>
      <c r="AV22" s="150">
        <v>1339.5946000000001</v>
      </c>
      <c r="AW22" s="61">
        <v>726.63130000000001</v>
      </c>
      <c r="BA22" s="88">
        <v>0.87</v>
      </c>
      <c r="BB22" s="61">
        <v>292.86099999999999</v>
      </c>
    </row>
    <row r="23" spans="2:54">
      <c r="B23" s="42"/>
      <c r="C23" s="43"/>
      <c r="D23" s="45"/>
      <c r="K23" s="42"/>
      <c r="L23" s="43"/>
      <c r="M23" s="11"/>
      <c r="N23" s="5"/>
      <c r="O23" s="43"/>
      <c r="P23" s="11"/>
      <c r="Q23" s="53">
        <v>214.35</v>
      </c>
      <c r="R23" s="54">
        <f t="shared" si="0"/>
        <v>4.665267086540705E-3</v>
      </c>
      <c r="S23" s="55">
        <v>467.65111179327198</v>
      </c>
      <c r="T23" s="53">
        <v>279.33333333333297</v>
      </c>
      <c r="U23" s="54">
        <f t="shared" si="1"/>
        <v>3.5799522673031071E-3</v>
      </c>
      <c r="V23" s="38">
        <v>8519.8259999999991</v>
      </c>
      <c r="W23" s="53">
        <v>214</v>
      </c>
      <c r="X23" s="54">
        <f t="shared" si="2"/>
        <v>4.6728971962616819E-3</v>
      </c>
      <c r="Y23" s="60">
        <v>57.027180000000001</v>
      </c>
      <c r="AA23" s="5"/>
      <c r="AB23" s="67"/>
      <c r="AC23" s="71"/>
      <c r="AD23" s="14">
        <v>283.14999999999998</v>
      </c>
      <c r="AE23" s="76">
        <v>7.0000000000000007E-2</v>
      </c>
      <c r="AF23" s="75">
        <v>38.870292999999997</v>
      </c>
      <c r="AG23" s="60">
        <v>36.67069</v>
      </c>
      <c r="AI23" s="5"/>
      <c r="AJ23" s="67"/>
      <c r="AK23" s="8"/>
      <c r="AL23" s="5"/>
      <c r="AM23" s="67"/>
      <c r="AN23" s="72"/>
      <c r="AO23" s="86">
        <v>0.92999999999999994</v>
      </c>
      <c r="AP23" s="79">
        <v>301.22649999999999</v>
      </c>
      <c r="AQ23" s="60">
        <v>36.061030000000002</v>
      </c>
      <c r="AR23" s="86">
        <v>0.92999999999999994</v>
      </c>
      <c r="AS23" s="79">
        <v>735.70140000000004</v>
      </c>
      <c r="AT23" s="61">
        <v>243.92932999999999</v>
      </c>
      <c r="AU23" s="86">
        <v>0.92999999999999994</v>
      </c>
      <c r="AV23" s="150">
        <v>1390.3832</v>
      </c>
      <c r="AW23" s="61">
        <v>730.80190000000005</v>
      </c>
      <c r="BA23" s="88">
        <v>0.86</v>
      </c>
      <c r="BB23" s="61">
        <v>313.53190000000001</v>
      </c>
    </row>
    <row r="24" spans="2:54">
      <c r="B24" s="42"/>
      <c r="C24" s="43"/>
      <c r="D24" s="45"/>
      <c r="K24" s="42"/>
      <c r="L24" s="43"/>
      <c r="M24" s="11"/>
      <c r="N24" s="5"/>
      <c r="O24" s="43"/>
      <c r="P24" s="11"/>
      <c r="Q24" s="53">
        <v>215.375</v>
      </c>
      <c r="R24" s="54">
        <f t="shared" si="0"/>
        <v>4.6430644225188625E-3</v>
      </c>
      <c r="S24" s="55">
        <v>512.932553203167</v>
      </c>
      <c r="T24" s="53">
        <v>280</v>
      </c>
      <c r="U24" s="54">
        <f t="shared" si="1"/>
        <v>3.5714285714285713E-3</v>
      </c>
      <c r="V24" s="38">
        <v>8835.9140000000007</v>
      </c>
      <c r="W24" s="53">
        <v>215</v>
      </c>
      <c r="X24" s="54">
        <f t="shared" si="2"/>
        <v>4.6511627906976744E-3</v>
      </c>
      <c r="Y24" s="60">
        <v>63.353700000000003</v>
      </c>
      <c r="AA24" s="5"/>
      <c r="AB24" s="67"/>
      <c r="AC24" s="71"/>
      <c r="AD24" s="14">
        <v>283.14999999999998</v>
      </c>
      <c r="AE24" s="76">
        <v>7.4999999999999997E-2</v>
      </c>
      <c r="AF24" s="75">
        <v>38.754986000000002</v>
      </c>
      <c r="AG24" s="60">
        <v>36.396259999999998</v>
      </c>
      <c r="AI24" s="5"/>
      <c r="AJ24" s="67"/>
      <c r="AK24" s="8"/>
      <c r="AL24" s="5"/>
      <c r="AM24" s="67"/>
      <c r="AN24" s="72"/>
      <c r="AO24" s="86">
        <v>0.92500000000000004</v>
      </c>
      <c r="AP24" s="79">
        <v>319.84553000000005</v>
      </c>
      <c r="AQ24" s="60">
        <v>36.256610000000002</v>
      </c>
      <c r="AR24" s="86">
        <v>0.92500000000000004</v>
      </c>
      <c r="AS24" s="79">
        <v>771.61840000000007</v>
      </c>
      <c r="AT24" s="61">
        <v>245.27967000000001</v>
      </c>
      <c r="AU24" s="86">
        <v>0.92500000000000004</v>
      </c>
      <c r="AV24" s="150">
        <v>1441.1353999999999</v>
      </c>
      <c r="AW24" s="61">
        <v>735.01943999999992</v>
      </c>
      <c r="BA24" s="88">
        <v>0.85</v>
      </c>
      <c r="BB24" s="61">
        <v>333.90780000000001</v>
      </c>
    </row>
    <row r="25" spans="2:54">
      <c r="B25" s="42"/>
      <c r="C25" s="43"/>
      <c r="D25" s="45"/>
      <c r="K25" s="42"/>
      <c r="L25" s="43"/>
      <c r="M25" s="11"/>
      <c r="N25" s="5"/>
      <c r="O25" s="43"/>
      <c r="P25" s="11"/>
      <c r="Q25" s="53">
        <v>216.4</v>
      </c>
      <c r="R25" s="54">
        <f t="shared" si="0"/>
        <v>4.6210720887245836E-3</v>
      </c>
      <c r="S25" s="55">
        <v>562.01081054030101</v>
      </c>
      <c r="T25" s="53">
        <v>280.666666666666</v>
      </c>
      <c r="U25" s="54">
        <f t="shared" si="1"/>
        <v>3.5629453681710298E-3</v>
      </c>
      <c r="V25" s="38">
        <v>9161.7250000000004</v>
      </c>
      <c r="W25" s="53">
        <v>216</v>
      </c>
      <c r="X25" s="54">
        <f t="shared" si="2"/>
        <v>4.6296296296296294E-3</v>
      </c>
      <c r="Y25" s="60">
        <v>70.299890000000005</v>
      </c>
      <c r="AA25" s="5"/>
      <c r="AB25" s="67"/>
      <c r="AC25" s="71"/>
      <c r="AD25" s="14">
        <v>283.14999999999998</v>
      </c>
      <c r="AE25" s="76">
        <v>0.08</v>
      </c>
      <c r="AF25" s="75">
        <v>38.639786000000001</v>
      </c>
      <c r="AG25" s="60">
        <v>36.121845</v>
      </c>
      <c r="AI25" s="5"/>
      <c r="AJ25" s="67"/>
      <c r="AK25" s="8"/>
      <c r="AL25" s="5"/>
      <c r="AM25" s="67"/>
      <c r="AN25" s="72"/>
      <c r="AO25" s="86">
        <v>0.92</v>
      </c>
      <c r="AP25" s="79">
        <v>338.39438000000001</v>
      </c>
      <c r="AQ25" s="60">
        <v>36.45431</v>
      </c>
      <c r="AR25" s="86">
        <v>0.92</v>
      </c>
      <c r="AS25" s="79">
        <v>807.46990000000005</v>
      </c>
      <c r="AT25" s="61">
        <v>246.64485999999999</v>
      </c>
      <c r="AU25" s="86">
        <v>0.92</v>
      </c>
      <c r="AV25" s="150">
        <v>1491.8501999999999</v>
      </c>
      <c r="AW25" s="61">
        <v>739.28475000000003</v>
      </c>
      <c r="BA25" s="88">
        <v>0.84</v>
      </c>
      <c r="BB25" s="61">
        <v>353.98230000000001</v>
      </c>
    </row>
    <row r="26" spans="2:54">
      <c r="B26" s="42"/>
      <c r="C26" s="43"/>
      <c r="D26" s="45"/>
      <c r="K26" s="42"/>
      <c r="L26" s="43"/>
      <c r="M26" s="11"/>
      <c r="N26" s="5"/>
      <c r="O26" s="43"/>
      <c r="P26" s="11"/>
      <c r="Q26" s="53">
        <v>217.42500000000001</v>
      </c>
      <c r="R26" s="54">
        <f t="shared" si="0"/>
        <v>4.5992871104978727E-3</v>
      </c>
      <c r="S26" s="55">
        <v>615.151266495291</v>
      </c>
      <c r="T26" s="53">
        <v>281.33333333333297</v>
      </c>
      <c r="U26" s="54">
        <f t="shared" si="1"/>
        <v>3.5545023696682511E-3</v>
      </c>
      <c r="V26" s="38">
        <v>9497.4920000000002</v>
      </c>
      <c r="W26" s="53">
        <v>217</v>
      </c>
      <c r="X26" s="54">
        <f t="shared" si="2"/>
        <v>4.608294930875576E-3</v>
      </c>
      <c r="Y26" s="60">
        <v>77.917910000000006</v>
      </c>
      <c r="AA26" s="5"/>
      <c r="AB26" s="67"/>
      <c r="AC26" s="71"/>
      <c r="AD26" s="14">
        <v>283.14999999999998</v>
      </c>
      <c r="AE26" s="76">
        <v>8.5000000000000006E-2</v>
      </c>
      <c r="AF26" s="75">
        <v>38.524692999999999</v>
      </c>
      <c r="AG26" s="60">
        <v>35.847499999999997</v>
      </c>
      <c r="AI26" s="5"/>
      <c r="AJ26" s="67"/>
      <c r="AK26" s="8"/>
      <c r="AL26" s="5"/>
      <c r="AM26" s="67"/>
      <c r="AN26" s="72"/>
      <c r="AO26" s="86">
        <v>0.91500000000000004</v>
      </c>
      <c r="AP26" s="79">
        <v>356.87238000000002</v>
      </c>
      <c r="AQ26" s="60">
        <v>36.654170000000001</v>
      </c>
      <c r="AR26" s="86">
        <v>0.91500000000000004</v>
      </c>
      <c r="AS26" s="79">
        <v>843.255</v>
      </c>
      <c r="AT26" s="61">
        <v>248.02514000000002</v>
      </c>
      <c r="AU26" s="86">
        <v>0.91500000000000004</v>
      </c>
      <c r="AV26" s="150">
        <v>1542.5271</v>
      </c>
      <c r="AW26" s="61">
        <v>743.59870000000001</v>
      </c>
      <c r="BA26" s="88">
        <v>0.83</v>
      </c>
      <c r="BB26" s="61">
        <v>373.74930000000001</v>
      </c>
    </row>
    <row r="27" spans="2:54" ht="15" thickBot="1">
      <c r="B27" s="42"/>
      <c r="C27" s="43"/>
      <c r="D27" s="45"/>
      <c r="K27" s="46"/>
      <c r="L27" s="47"/>
      <c r="M27" s="33"/>
      <c r="N27" s="5"/>
      <c r="O27" s="43"/>
      <c r="P27" s="11"/>
      <c r="Q27" s="53">
        <v>218.45</v>
      </c>
      <c r="R27" s="54">
        <f t="shared" si="0"/>
        <v>4.5777065690089267E-3</v>
      </c>
      <c r="S27" s="55">
        <v>672.63370885641405</v>
      </c>
      <c r="T27" s="53">
        <v>282</v>
      </c>
      <c r="U27" s="54">
        <f t="shared" si="1"/>
        <v>3.5460992907801418E-3</v>
      </c>
      <c r="V27" s="38">
        <v>9843.4480000000003</v>
      </c>
      <c r="W27" s="53">
        <v>218</v>
      </c>
      <c r="X27" s="54">
        <f t="shared" si="2"/>
        <v>4.5871559633027525E-3</v>
      </c>
      <c r="Y27" s="60">
        <v>86.263530000000003</v>
      </c>
      <c r="AA27" s="5"/>
      <c r="AB27" s="67"/>
      <c r="AC27" s="71"/>
      <c r="AD27" s="14">
        <v>283.14999999999998</v>
      </c>
      <c r="AE27" s="76">
        <v>0.09</v>
      </c>
      <c r="AF27" s="75">
        <v>38.409702000000003</v>
      </c>
      <c r="AG27" s="60">
        <v>35.573264999999999</v>
      </c>
      <c r="AI27" s="5"/>
      <c r="AJ27" s="67"/>
      <c r="AK27" s="8"/>
      <c r="AL27" s="5"/>
      <c r="AM27" s="67"/>
      <c r="AN27" s="72"/>
      <c r="AO27" s="86">
        <v>0.91</v>
      </c>
      <c r="AP27" s="79">
        <v>375.27896999999996</v>
      </c>
      <c r="AQ27" s="60">
        <v>36.856230000000004</v>
      </c>
      <c r="AR27" s="86">
        <v>0.91</v>
      </c>
      <c r="AS27" s="79">
        <v>878.97280000000001</v>
      </c>
      <c r="AT27" s="61">
        <v>249.42078000000001</v>
      </c>
      <c r="AU27" s="86">
        <v>0.91</v>
      </c>
      <c r="AV27" s="150">
        <v>1593.1651999999999</v>
      </c>
      <c r="AW27" s="61">
        <v>747.96206000000006</v>
      </c>
      <c r="BA27" s="88">
        <v>0.82</v>
      </c>
      <c r="BB27" s="61">
        <v>393.20240000000001</v>
      </c>
    </row>
    <row r="28" spans="2:54" ht="15" thickBot="1">
      <c r="B28" s="46"/>
      <c r="C28" s="47"/>
      <c r="D28" s="48"/>
      <c r="N28" s="5"/>
      <c r="O28" s="43"/>
      <c r="P28" s="11"/>
      <c r="Q28" s="53">
        <v>219.47499999999999</v>
      </c>
      <c r="R28" s="54">
        <f t="shared" si="0"/>
        <v>4.5563275999544366E-3</v>
      </c>
      <c r="S28" s="55">
        <v>734.75283880257803</v>
      </c>
      <c r="T28" s="53">
        <v>282.666666666666</v>
      </c>
      <c r="U28" s="54">
        <f t="shared" si="1"/>
        <v>3.5377358490566121E-3</v>
      </c>
      <c r="V28" s="38">
        <v>10199.83</v>
      </c>
      <c r="W28" s="53">
        <v>219</v>
      </c>
      <c r="X28" s="54">
        <f t="shared" si="2"/>
        <v>4.5662100456621002E-3</v>
      </c>
      <c r="Y28" s="60">
        <v>95.396299999999997</v>
      </c>
      <c r="AA28" s="5"/>
      <c r="AB28" s="67"/>
      <c r="AC28" s="71"/>
      <c r="AD28" s="14">
        <v>283.14999999999998</v>
      </c>
      <c r="AE28" s="76">
        <v>9.5000000000000001E-2</v>
      </c>
      <c r="AF28" s="75">
        <v>38.294809999999998</v>
      </c>
      <c r="AG28" s="60">
        <v>35.299190000000003</v>
      </c>
      <c r="AI28" s="5"/>
      <c r="AJ28" s="67"/>
      <c r="AK28" s="8"/>
      <c r="AL28" s="5"/>
      <c r="AM28" s="67"/>
      <c r="AN28" s="72"/>
      <c r="AO28" s="86">
        <v>0.90500000000000003</v>
      </c>
      <c r="AP28" s="79">
        <v>393.61356000000001</v>
      </c>
      <c r="AQ28" s="60">
        <v>37.060519999999997</v>
      </c>
      <c r="AR28" s="86">
        <v>0.90500000000000003</v>
      </c>
      <c r="AS28" s="79">
        <v>914.62256000000002</v>
      </c>
      <c r="AT28" s="61">
        <v>250.83202</v>
      </c>
      <c r="AU28" s="86">
        <v>0.90500000000000003</v>
      </c>
      <c r="AV28" s="150">
        <v>1643.7638999999999</v>
      </c>
      <c r="AW28" s="61">
        <v>752.37569999999994</v>
      </c>
      <c r="BA28" s="88">
        <v>0.81</v>
      </c>
      <c r="BB28" s="61">
        <v>412.33539999999999</v>
      </c>
    </row>
    <row r="29" spans="2:54">
      <c r="N29" s="5"/>
      <c r="O29" s="43"/>
      <c r="P29" s="11"/>
      <c r="Q29" s="53">
        <v>220.5</v>
      </c>
      <c r="R29" s="54">
        <f t="shared" si="0"/>
        <v>4.5351473922902496E-3</v>
      </c>
      <c r="S29" s="55">
        <v>801.81878232347594</v>
      </c>
      <c r="T29" s="53">
        <v>283.33333333333297</v>
      </c>
      <c r="U29" s="54">
        <f t="shared" si="1"/>
        <v>3.5294117647058868E-3</v>
      </c>
      <c r="V29" s="38">
        <v>10566.88</v>
      </c>
      <c r="W29" s="53">
        <v>220</v>
      </c>
      <c r="X29" s="54">
        <f t="shared" si="2"/>
        <v>4.5454545454545452E-3</v>
      </c>
      <c r="Y29" s="61">
        <v>105.3798</v>
      </c>
      <c r="AA29" s="5"/>
      <c r="AB29" s="68"/>
      <c r="AC29" s="71"/>
      <c r="AD29" s="14">
        <v>283.14999999999998</v>
      </c>
      <c r="AE29" s="77">
        <v>0.1</v>
      </c>
      <c r="AF29" s="75">
        <v>38.180027000000003</v>
      </c>
      <c r="AG29" s="60">
        <v>35.025329999999997</v>
      </c>
      <c r="AI29" s="5"/>
      <c r="AJ29" s="67"/>
      <c r="AK29" s="8"/>
      <c r="AL29" s="5"/>
      <c r="AM29" s="67"/>
      <c r="AN29" s="72"/>
      <c r="AO29" s="86">
        <v>0.9</v>
      </c>
      <c r="AP29" s="79">
        <v>411.87549999999999</v>
      </c>
      <c r="AQ29" s="60">
        <v>37.267082000000002</v>
      </c>
      <c r="AR29" s="86">
        <v>0.9</v>
      </c>
      <c r="AS29" s="79">
        <v>950.20330000000001</v>
      </c>
      <c r="AT29" s="61">
        <v>252.25910999999999</v>
      </c>
      <c r="AU29" s="86">
        <v>0.9</v>
      </c>
      <c r="AV29" s="150">
        <v>1694.3224</v>
      </c>
      <c r="AW29" s="61">
        <v>756.84050000000002</v>
      </c>
      <c r="BA29" s="88">
        <v>0.8</v>
      </c>
      <c r="BB29" s="61">
        <v>431.14159999999998</v>
      </c>
    </row>
    <row r="30" spans="2:54">
      <c r="N30" s="5"/>
      <c r="O30" s="43"/>
      <c r="P30" s="11"/>
      <c r="Q30" s="53">
        <v>221.52500000000001</v>
      </c>
      <c r="R30" s="54">
        <f t="shared" si="0"/>
        <v>4.5141631869992102E-3</v>
      </c>
      <c r="S30" s="55">
        <v>874.15760406177196</v>
      </c>
      <c r="T30" s="53">
        <v>284</v>
      </c>
      <c r="U30" s="54">
        <f t="shared" si="1"/>
        <v>3.5211267605633804E-3</v>
      </c>
      <c r="V30" s="38">
        <v>10944.84</v>
      </c>
      <c r="W30" s="53">
        <v>221</v>
      </c>
      <c r="X30" s="54">
        <f t="shared" si="2"/>
        <v>4.5248868778280547E-3</v>
      </c>
      <c r="Y30" s="61">
        <v>116.2817</v>
      </c>
      <c r="AA30" s="5"/>
      <c r="AB30" s="67"/>
      <c r="AC30" s="71"/>
      <c r="AD30" s="14">
        <v>283.14999999999998</v>
      </c>
      <c r="AE30" s="77">
        <v>0.105</v>
      </c>
      <c r="AF30" s="75">
        <v>38.065339999999999</v>
      </c>
      <c r="AG30" s="60">
        <v>34.751736000000001</v>
      </c>
      <c r="AI30" s="5"/>
      <c r="AJ30" s="67"/>
      <c r="AK30" s="8"/>
      <c r="AL30" s="5"/>
      <c r="AM30" s="67"/>
      <c r="AN30" s="72"/>
      <c r="AO30" s="86">
        <v>0.89500000000000002</v>
      </c>
      <c r="AP30" s="79">
        <v>430.06421999999998</v>
      </c>
      <c r="AQ30" s="60">
        <v>37.475953000000004</v>
      </c>
      <c r="AR30" s="86">
        <v>0.89500000000000002</v>
      </c>
      <c r="AS30" s="79">
        <v>985.71430000000009</v>
      </c>
      <c r="AT30" s="61">
        <v>253.70233999999999</v>
      </c>
      <c r="AU30" s="86">
        <v>0.89500000000000002</v>
      </c>
      <c r="AV30" s="150">
        <v>1744.8398999999999</v>
      </c>
      <c r="AW30" s="61">
        <v>761.35739999999998</v>
      </c>
      <c r="BA30" s="88">
        <v>0.79</v>
      </c>
      <c r="BB30" s="61">
        <v>449.61470000000003</v>
      </c>
    </row>
    <row r="31" spans="2:54">
      <c r="N31" s="5"/>
      <c r="O31" s="43"/>
      <c r="P31" s="11"/>
      <c r="Q31" s="53">
        <v>222.55</v>
      </c>
      <c r="R31" s="54">
        <f t="shared" si="0"/>
        <v>4.4933722758930573E-3</v>
      </c>
      <c r="S31" s="55">
        <v>952.11182290219494</v>
      </c>
      <c r="T31" s="53">
        <v>284.666666666666</v>
      </c>
      <c r="U31" s="54">
        <f t="shared" si="1"/>
        <v>3.5128805620608982E-3</v>
      </c>
      <c r="V31" s="38">
        <v>11333.96</v>
      </c>
      <c r="W31" s="53">
        <v>222</v>
      </c>
      <c r="X31" s="54">
        <f t="shared" si="2"/>
        <v>4.5045045045045045E-3</v>
      </c>
      <c r="Y31" s="61">
        <v>128.17420000000001</v>
      </c>
      <c r="AA31" s="5"/>
      <c r="AB31" s="27"/>
      <c r="AC31" s="71"/>
      <c r="AD31" s="14">
        <v>283.14999999999998</v>
      </c>
      <c r="AE31" s="77">
        <v>0.11</v>
      </c>
      <c r="AF31" s="75">
        <v>37.950752000000001</v>
      </c>
      <c r="AG31" s="60">
        <v>34.478465999999997</v>
      </c>
      <c r="AI31" s="5"/>
      <c r="AJ31" s="67"/>
      <c r="AK31" s="8"/>
      <c r="AL31" s="5"/>
      <c r="AM31" s="67"/>
      <c r="AN31" s="72"/>
      <c r="AO31" s="86">
        <v>0.89</v>
      </c>
      <c r="AP31" s="79">
        <v>448.17912000000001</v>
      </c>
      <c r="AQ31" s="60">
        <v>37.687168</v>
      </c>
      <c r="AR31" s="86">
        <v>0.89</v>
      </c>
      <c r="AS31" s="150">
        <v>1021.1545600000001</v>
      </c>
      <c r="AT31" s="61">
        <v>255.16200000000001</v>
      </c>
      <c r="AU31" s="86">
        <v>0.89</v>
      </c>
      <c r="AV31" s="150">
        <v>1795.3158000000001</v>
      </c>
      <c r="AW31" s="61">
        <v>765.92724999999996</v>
      </c>
      <c r="BA31" s="88">
        <v>0.78</v>
      </c>
      <c r="BB31" s="61">
        <v>467.74810000000002</v>
      </c>
    </row>
    <row r="32" spans="2:54">
      <c r="N32" s="5"/>
      <c r="O32" s="43"/>
      <c r="P32" s="11"/>
      <c r="Q32" s="53">
        <v>223.57499999999999</v>
      </c>
      <c r="R32" s="54">
        <f t="shared" si="0"/>
        <v>4.4727720004472775E-3</v>
      </c>
      <c r="S32" s="17">
        <v>1036.04092853356</v>
      </c>
      <c r="T32" s="53">
        <v>285.33333333333297</v>
      </c>
      <c r="U32" s="54">
        <f t="shared" si="1"/>
        <v>3.504672897196266E-3</v>
      </c>
      <c r="V32" s="38">
        <v>11734.49</v>
      </c>
      <c r="W32" s="53">
        <v>223</v>
      </c>
      <c r="X32" s="54">
        <f t="shared" si="2"/>
        <v>4.4843049327354259E-3</v>
      </c>
      <c r="Y32" s="61">
        <v>141.13390000000001</v>
      </c>
      <c r="AA32" s="5"/>
      <c r="AB32" s="27"/>
      <c r="AC32" s="71"/>
      <c r="AD32" s="14">
        <v>283.14999999999998</v>
      </c>
      <c r="AE32" s="77">
        <v>0.115</v>
      </c>
      <c r="AF32" s="75">
        <v>37.836258000000001</v>
      </c>
      <c r="AG32" s="60">
        <v>34.205573999999999</v>
      </c>
      <c r="AI32" s="5"/>
      <c r="AJ32" s="67"/>
      <c r="AK32" s="8"/>
      <c r="AL32" s="5"/>
      <c r="AM32" s="67"/>
      <c r="AN32" s="72"/>
      <c r="AO32" s="86">
        <v>0.88500000000000001</v>
      </c>
      <c r="AP32" s="79">
        <v>466.21959999999996</v>
      </c>
      <c r="AQ32" s="60">
        <v>37.900769999999994</v>
      </c>
      <c r="AR32" s="86">
        <v>0.88500000000000001</v>
      </c>
      <c r="AS32" s="150">
        <v>1056.5231999999999</v>
      </c>
      <c r="AT32" s="61">
        <v>256.63833999999997</v>
      </c>
      <c r="AU32" s="86">
        <v>0.88500000000000001</v>
      </c>
      <c r="AV32" s="150">
        <v>1845.7492</v>
      </c>
      <c r="AW32" s="61">
        <v>770.55100000000004</v>
      </c>
      <c r="BA32" s="88">
        <v>0.77</v>
      </c>
      <c r="BB32" s="61">
        <v>485.53500000000003</v>
      </c>
    </row>
    <row r="33" spans="14:54">
      <c r="N33" s="5"/>
      <c r="O33" s="43"/>
      <c r="P33" s="11"/>
      <c r="Q33" s="53">
        <v>224.6</v>
      </c>
      <c r="R33" s="54">
        <f t="shared" si="0"/>
        <v>4.4523597506678537E-3</v>
      </c>
      <c r="S33" s="17">
        <v>1126.32189837598</v>
      </c>
      <c r="T33" s="53">
        <v>286</v>
      </c>
      <c r="U33" s="54">
        <f t="shared" si="1"/>
        <v>3.4965034965034965E-3</v>
      </c>
      <c r="V33" s="38">
        <v>12146.69</v>
      </c>
      <c r="W33" s="53">
        <v>224</v>
      </c>
      <c r="X33" s="54">
        <f t="shared" si="2"/>
        <v>4.464285714285714E-3</v>
      </c>
      <c r="Y33" s="61">
        <v>155.2424</v>
      </c>
      <c r="AA33" s="5"/>
      <c r="AB33" s="67"/>
      <c r="AC33" s="71"/>
      <c r="AD33" s="14">
        <v>283.14999999999998</v>
      </c>
      <c r="AE33" s="77">
        <v>0.12</v>
      </c>
      <c r="AF33" s="75">
        <v>37.721862999999999</v>
      </c>
      <c r="AG33" s="60">
        <v>33.933124999999997</v>
      </c>
      <c r="AI33" s="5"/>
      <c r="AJ33" s="67"/>
      <c r="AK33" s="8"/>
      <c r="AL33" s="5"/>
      <c r="AM33" s="67"/>
      <c r="AN33" s="72"/>
      <c r="AO33" s="86">
        <v>0.88</v>
      </c>
      <c r="AP33" s="79">
        <v>484.18503000000004</v>
      </c>
      <c r="AQ33" s="60">
        <v>38.116800000000005</v>
      </c>
      <c r="AR33" s="86">
        <v>0.88</v>
      </c>
      <c r="AS33" s="150">
        <v>1091.8195000000001</v>
      </c>
      <c r="AT33" s="61">
        <v>258.13166000000001</v>
      </c>
      <c r="AU33" s="86">
        <v>0.88</v>
      </c>
      <c r="AV33" s="150">
        <v>1896.1396000000002</v>
      </c>
      <c r="AW33" s="61">
        <v>775.2296</v>
      </c>
      <c r="BA33" s="88">
        <v>0.76</v>
      </c>
      <c r="BB33" s="61">
        <v>502.96870000000001</v>
      </c>
    </row>
    <row r="34" spans="14:54">
      <c r="N34" s="5"/>
      <c r="O34" s="43"/>
      <c r="P34" s="11"/>
      <c r="Q34" s="53">
        <v>225.625</v>
      </c>
      <c r="R34" s="54">
        <f t="shared" si="0"/>
        <v>4.43213296398892E-3</v>
      </c>
      <c r="S34" s="17">
        <v>1223.34971405534</v>
      </c>
      <c r="T34" s="53">
        <v>286.666666666666</v>
      </c>
      <c r="U34" s="54">
        <f t="shared" si="1"/>
        <v>3.488372093023264E-3</v>
      </c>
      <c r="V34" s="38">
        <v>12570.81</v>
      </c>
      <c r="W34" s="53">
        <v>225</v>
      </c>
      <c r="X34" s="54">
        <f t="shared" si="2"/>
        <v>4.4444444444444444E-3</v>
      </c>
      <c r="Y34" s="61">
        <v>170.58619999999999</v>
      </c>
      <c r="AA34" s="5"/>
      <c r="AB34" s="67"/>
      <c r="AC34" s="71"/>
      <c r="AD34" s="14">
        <v>283.14999999999998</v>
      </c>
      <c r="AE34" s="77">
        <v>0.125</v>
      </c>
      <c r="AF34" s="75">
        <v>37.607559999999999</v>
      </c>
      <c r="AG34" s="60">
        <v>33.661175</v>
      </c>
      <c r="AI34" s="5"/>
      <c r="AJ34" s="67"/>
      <c r="AK34" s="8"/>
      <c r="AL34" s="5"/>
      <c r="AM34" s="67"/>
      <c r="AN34" s="72"/>
      <c r="AO34" s="86">
        <v>0.875</v>
      </c>
      <c r="AP34" s="79">
        <v>502.07484000000005</v>
      </c>
      <c r="AQ34" s="60">
        <v>38.335300000000004</v>
      </c>
      <c r="AR34" s="86">
        <v>0.875</v>
      </c>
      <c r="AS34" s="150">
        <v>1127.0425</v>
      </c>
      <c r="AT34" s="61">
        <v>259.64224999999999</v>
      </c>
      <c r="AU34" s="86">
        <v>0.875</v>
      </c>
      <c r="AV34" s="150">
        <v>1946.4861000000001</v>
      </c>
      <c r="AW34" s="61">
        <v>779.96410000000003</v>
      </c>
      <c r="BA34" s="88">
        <v>0.75</v>
      </c>
      <c r="BB34" s="61">
        <v>520.04250000000002</v>
      </c>
    </row>
    <row r="35" spans="14:54">
      <c r="N35" s="5"/>
      <c r="O35" s="43"/>
      <c r="P35" s="11"/>
      <c r="Q35" s="53">
        <v>226.65</v>
      </c>
      <c r="R35" s="54">
        <f t="shared" si="0"/>
        <v>4.412089124200309E-3</v>
      </c>
      <c r="S35" s="17">
        <v>1327.5378766692299</v>
      </c>
      <c r="T35" s="53">
        <v>287.33333333333297</v>
      </c>
      <c r="U35" s="54">
        <f t="shared" si="1"/>
        <v>3.4802784222737861E-3</v>
      </c>
      <c r="V35" s="38">
        <v>13007.12</v>
      </c>
      <c r="W35" s="53">
        <v>226</v>
      </c>
      <c r="X35" s="54">
        <f t="shared" si="2"/>
        <v>4.4247787610619468E-3</v>
      </c>
      <c r="Y35" s="61">
        <v>187.25720000000001</v>
      </c>
      <c r="AA35" s="5"/>
      <c r="AB35" s="67"/>
      <c r="AC35" s="71"/>
      <c r="AD35" s="14">
        <v>283.14999999999998</v>
      </c>
      <c r="AE35" s="77">
        <v>0.13</v>
      </c>
      <c r="AF35" s="75">
        <v>37.493347</v>
      </c>
      <c r="AG35" s="60">
        <v>33.389792999999997</v>
      </c>
      <c r="AI35" s="5"/>
      <c r="AJ35" s="67"/>
      <c r="AK35" s="8"/>
      <c r="AL35" s="5"/>
      <c r="AM35" s="67"/>
      <c r="AN35" s="72"/>
      <c r="AO35" s="86">
        <v>0.87</v>
      </c>
      <c r="AP35" s="79">
        <v>519.88846999999998</v>
      </c>
      <c r="AQ35" s="60">
        <v>38.556309999999996</v>
      </c>
      <c r="AR35" s="86">
        <v>0.87</v>
      </c>
      <c r="AS35" s="150">
        <v>1162.1913999999999</v>
      </c>
      <c r="AT35" s="61">
        <v>261.17042000000004</v>
      </c>
      <c r="AU35" s="86">
        <v>0.87</v>
      </c>
      <c r="AV35" s="150">
        <v>1996.788</v>
      </c>
      <c r="AW35" s="61">
        <v>784.75556000000006</v>
      </c>
      <c r="BA35" s="88">
        <v>0.74</v>
      </c>
      <c r="BB35" s="61">
        <v>536.74940000000004</v>
      </c>
    </row>
    <row r="36" spans="14:54" ht="15" thickBot="1">
      <c r="N36" s="23"/>
      <c r="O36" s="47"/>
      <c r="P36" s="33"/>
      <c r="Q36" s="53">
        <v>227.67500000000001</v>
      </c>
      <c r="R36" s="54">
        <f t="shared" si="0"/>
        <v>4.3922257604040848E-3</v>
      </c>
      <c r="S36" s="17">
        <v>1439.3189202204401</v>
      </c>
      <c r="T36" s="53">
        <v>288</v>
      </c>
      <c r="U36" s="54">
        <f t="shared" si="1"/>
        <v>3.472222222222222E-3</v>
      </c>
      <c r="V36" s="38">
        <v>13455.88</v>
      </c>
      <c r="W36" s="53">
        <v>227</v>
      </c>
      <c r="X36" s="54">
        <f t="shared" si="2"/>
        <v>4.4052863436123352E-3</v>
      </c>
      <c r="Y36" s="61">
        <v>205.3526</v>
      </c>
      <c r="AA36" s="5"/>
      <c r="AB36" s="67"/>
      <c r="AC36" s="71"/>
      <c r="AD36" s="14">
        <v>283.14999999999998</v>
      </c>
      <c r="AE36" s="77">
        <v>0.13500000000000001</v>
      </c>
      <c r="AF36" s="75">
        <v>37.379223000000003</v>
      </c>
      <c r="AG36" s="60">
        <v>33.119038000000003</v>
      </c>
      <c r="AI36" s="5"/>
      <c r="AJ36" s="67"/>
      <c r="AK36" s="8"/>
      <c r="AL36" s="5"/>
      <c r="AM36" s="67"/>
      <c r="AN36" s="72"/>
      <c r="AO36" s="86">
        <v>0.86499999999999999</v>
      </c>
      <c r="AP36" s="79">
        <v>537.62525000000005</v>
      </c>
      <c r="AQ36" s="60">
        <v>38.779874999999997</v>
      </c>
      <c r="AR36" s="86">
        <v>0.86499999999999999</v>
      </c>
      <c r="AS36" s="150">
        <v>1197.2652</v>
      </c>
      <c r="AT36" s="61">
        <v>262.71646999999996</v>
      </c>
      <c r="AU36" s="86">
        <v>0.86499999999999999</v>
      </c>
      <c r="AV36" s="150">
        <v>2047.0448000000001</v>
      </c>
      <c r="AW36" s="61">
        <v>789.60490000000004</v>
      </c>
      <c r="BA36" s="88">
        <v>0.73</v>
      </c>
      <c r="BB36" s="61">
        <v>553.08240000000001</v>
      </c>
    </row>
    <row r="37" spans="14:54">
      <c r="Q37" s="53">
        <v>228.7</v>
      </c>
      <c r="R37" s="54">
        <f t="shared" si="0"/>
        <v>4.3725404459991259E-3</v>
      </c>
      <c r="S37" s="17">
        <v>1559.14492233541</v>
      </c>
      <c r="T37" s="53">
        <v>288.666666666666</v>
      </c>
      <c r="U37" s="54">
        <f t="shared" si="1"/>
        <v>3.464203233256359E-3</v>
      </c>
      <c r="V37" s="38">
        <v>13917.36</v>
      </c>
      <c r="W37" s="53">
        <v>228</v>
      </c>
      <c r="X37" s="54">
        <f t="shared" si="2"/>
        <v>4.3859649122807015E-3</v>
      </c>
      <c r="Y37" s="61">
        <v>224.97540000000001</v>
      </c>
      <c r="AA37" s="5"/>
      <c r="AB37" s="67"/>
      <c r="AC37" s="71"/>
      <c r="AD37" s="14">
        <v>283.14999999999998</v>
      </c>
      <c r="AE37" s="77">
        <v>0.14000000000000001</v>
      </c>
      <c r="AF37" s="75">
        <v>37.265186</v>
      </c>
      <c r="AG37" s="60">
        <v>32.848976</v>
      </c>
      <c r="AI37" s="5"/>
      <c r="AJ37" s="67"/>
      <c r="AK37" s="8"/>
      <c r="AL37" s="5"/>
      <c r="AM37" s="67"/>
      <c r="AN37" s="72"/>
      <c r="AO37" s="86">
        <v>0.86</v>
      </c>
      <c r="AP37" s="79">
        <v>555.28469999999993</v>
      </c>
      <c r="AQ37" s="60">
        <v>39.006042999999998</v>
      </c>
      <c r="AR37" s="86">
        <v>0.86</v>
      </c>
      <c r="AS37" s="150">
        <v>1232.2631999999999</v>
      </c>
      <c r="AT37" s="61">
        <v>264.28071999999997</v>
      </c>
      <c r="AU37" s="86">
        <v>0.86</v>
      </c>
      <c r="AV37" s="150">
        <v>2097.2552000000001</v>
      </c>
      <c r="AW37" s="61">
        <v>794.51310000000001</v>
      </c>
      <c r="BA37" s="88">
        <v>0.72</v>
      </c>
      <c r="BB37" s="61">
        <v>569.03440000000001</v>
      </c>
    </row>
    <row r="38" spans="14:54">
      <c r="Q38" s="53">
        <v>229.72499999999999</v>
      </c>
      <c r="R38" s="54">
        <f t="shared" si="0"/>
        <v>4.3530307976928934E-3</v>
      </c>
      <c r="S38" s="17">
        <v>1687.48801167852</v>
      </c>
      <c r="T38" s="53">
        <v>289.33333333333297</v>
      </c>
      <c r="U38" s="54">
        <f t="shared" si="1"/>
        <v>3.4562211981566861E-3</v>
      </c>
      <c r="V38" s="38">
        <v>14391.84</v>
      </c>
      <c r="W38" s="53">
        <v>229</v>
      </c>
      <c r="X38" s="54">
        <f t="shared" si="2"/>
        <v>4.3668122270742356E-3</v>
      </c>
      <c r="Y38" s="61">
        <v>246.2346</v>
      </c>
      <c r="AA38" s="5"/>
      <c r="AB38" s="67"/>
      <c r="AC38" s="71"/>
      <c r="AD38" s="14">
        <v>283.14999999999998</v>
      </c>
      <c r="AE38" s="77">
        <v>0.14499999999999999</v>
      </c>
      <c r="AF38" s="75">
        <v>37.151237000000002</v>
      </c>
      <c r="AG38" s="60">
        <v>32.579678000000001</v>
      </c>
      <c r="AI38" s="5"/>
      <c r="AJ38" s="67"/>
      <c r="AK38" s="8"/>
      <c r="AL38" s="5"/>
      <c r="AM38" s="67"/>
      <c r="AN38" s="72"/>
      <c r="AO38" s="86">
        <v>0.85499999999999998</v>
      </c>
      <c r="AP38" s="79">
        <v>572.86609999999996</v>
      </c>
      <c r="AQ38" s="60">
        <v>39.234850000000002</v>
      </c>
      <c r="AR38" s="86">
        <v>0.85499999999999998</v>
      </c>
      <c r="AS38" s="150">
        <v>1267.1845000000001</v>
      </c>
      <c r="AT38" s="61">
        <v>265.86349999999999</v>
      </c>
      <c r="AU38" s="86">
        <v>0.85499999999999998</v>
      </c>
      <c r="AV38" s="150">
        <v>2147.4192000000003</v>
      </c>
      <c r="AW38" s="61">
        <v>799.48143999999991</v>
      </c>
      <c r="BA38" s="88">
        <v>0.71</v>
      </c>
      <c r="BB38" s="61">
        <v>584.59829999999999</v>
      </c>
    </row>
    <row r="39" spans="14:54">
      <c r="Q39" s="53">
        <v>230.75</v>
      </c>
      <c r="R39" s="54">
        <f t="shared" si="0"/>
        <v>4.3336944745395447E-3</v>
      </c>
      <c r="S39" s="17">
        <v>1824.84087116552</v>
      </c>
      <c r="T39" s="53">
        <v>290</v>
      </c>
      <c r="U39" s="54">
        <f t="shared" si="1"/>
        <v>3.4482758620689655E-3</v>
      </c>
      <c r="V39" s="38">
        <v>14879.59</v>
      </c>
      <c r="W39" s="53">
        <v>230</v>
      </c>
      <c r="X39" s="54">
        <f t="shared" si="2"/>
        <v>4.3478260869565218E-3</v>
      </c>
      <c r="Y39" s="61">
        <v>269.24529999999999</v>
      </c>
      <c r="AA39" s="5"/>
      <c r="AB39" s="67"/>
      <c r="AC39" s="71"/>
      <c r="AD39" s="14">
        <v>283.14999999999998</v>
      </c>
      <c r="AE39" s="77">
        <v>0.15</v>
      </c>
      <c r="AF39" s="75">
        <v>37.037370000000003</v>
      </c>
      <c r="AG39" s="60">
        <v>32.311202999999999</v>
      </c>
      <c r="AI39" s="5"/>
      <c r="AJ39" s="67"/>
      <c r="AK39" s="8"/>
      <c r="AL39" s="5"/>
      <c r="AM39" s="67"/>
      <c r="AN39" s="72"/>
      <c r="AO39" s="86">
        <v>0.85</v>
      </c>
      <c r="AP39" s="79">
        <v>590.3690600000001</v>
      </c>
      <c r="AQ39" s="60">
        <v>39.466355</v>
      </c>
      <c r="AR39" s="86">
        <v>0.85</v>
      </c>
      <c r="AS39" s="150">
        <v>1302.0282</v>
      </c>
      <c r="AT39" s="61">
        <v>267.46515999999997</v>
      </c>
      <c r="AU39" s="86">
        <v>0.85</v>
      </c>
      <c r="AV39" s="150">
        <v>2197.5357999999997</v>
      </c>
      <c r="AW39" s="61">
        <v>804.51093999999989</v>
      </c>
      <c r="BA39" s="88">
        <v>0.7</v>
      </c>
      <c r="BB39" s="61">
        <v>599.76660000000004</v>
      </c>
    </row>
    <row r="40" spans="14:54">
      <c r="Q40" s="53">
        <v>231.77500000000001</v>
      </c>
      <c r="R40" s="54">
        <f t="shared" si="0"/>
        <v>4.3145291770035595E-3</v>
      </c>
      <c r="S40" s="17">
        <v>1971.71723636662</v>
      </c>
      <c r="T40" s="53">
        <v>290.666666666666</v>
      </c>
      <c r="U40" s="54">
        <f t="shared" si="1"/>
        <v>3.4403669724770722E-3</v>
      </c>
      <c r="V40" s="38">
        <v>15380.89</v>
      </c>
      <c r="W40" s="53">
        <v>231</v>
      </c>
      <c r="X40" s="54">
        <f t="shared" si="2"/>
        <v>4.329004329004329E-3</v>
      </c>
      <c r="Y40" s="61">
        <v>294.12909999999999</v>
      </c>
      <c r="AA40" s="5"/>
      <c r="AB40" s="67"/>
      <c r="AC40" s="11"/>
      <c r="AD40" s="14">
        <v>283.14999999999998</v>
      </c>
      <c r="AE40" s="77">
        <v>0.155</v>
      </c>
      <c r="AF40" s="75">
        <v>36.923580000000001</v>
      </c>
      <c r="AG40" s="60">
        <v>32.043624999999999</v>
      </c>
      <c r="AI40" s="5"/>
      <c r="AJ40" s="67"/>
      <c r="AK40" s="8"/>
      <c r="AL40" s="5"/>
      <c r="AM40" s="67"/>
      <c r="AN40" s="72"/>
      <c r="AO40" s="86">
        <v>0.84499999999999997</v>
      </c>
      <c r="AP40" s="79">
        <v>607.79280000000006</v>
      </c>
      <c r="AQ40" s="60">
        <v>39.700597999999999</v>
      </c>
      <c r="AR40" s="86">
        <v>0.84499999999999997</v>
      </c>
      <c r="AS40" s="150">
        <v>1336.7935</v>
      </c>
      <c r="AT40" s="61">
        <v>269.08596999999997</v>
      </c>
      <c r="AU40" s="86">
        <v>0.84499999999999997</v>
      </c>
      <c r="AV40" s="150">
        <v>2247.6042000000002</v>
      </c>
      <c r="AW40" s="61">
        <v>809.60275000000001</v>
      </c>
      <c r="BA40" s="88">
        <v>0.69</v>
      </c>
      <c r="BB40" s="61">
        <v>614.53210000000001</v>
      </c>
    </row>
    <row r="41" spans="14:54">
      <c r="Q41" s="53">
        <v>232.8</v>
      </c>
      <c r="R41" s="54">
        <f t="shared" si="0"/>
        <v>4.2955326460481094E-3</v>
      </c>
      <c r="S41" s="17">
        <v>2128.6523883384398</v>
      </c>
      <c r="T41" s="53">
        <v>291.33333333333297</v>
      </c>
      <c r="U41" s="54">
        <f t="shared" si="1"/>
        <v>3.4324942791762055E-3</v>
      </c>
      <c r="V41" s="38">
        <v>15896.02</v>
      </c>
      <c r="W41" s="53">
        <v>232</v>
      </c>
      <c r="X41" s="54">
        <f t="shared" si="2"/>
        <v>4.3103448275862068E-3</v>
      </c>
      <c r="Y41" s="61">
        <v>321.01429999999999</v>
      </c>
      <c r="AA41" s="5"/>
      <c r="AB41" s="67"/>
      <c r="AC41" s="11"/>
      <c r="AD41" s="14">
        <v>283.14999999999998</v>
      </c>
      <c r="AE41" s="77">
        <v>0.16</v>
      </c>
      <c r="AF41" s="75">
        <v>36.809869999999997</v>
      </c>
      <c r="AG41" s="60">
        <v>31.777011999999999</v>
      </c>
      <c r="AI41" s="5"/>
      <c r="AJ41" s="67"/>
      <c r="AK41" s="8"/>
      <c r="AL41" s="5"/>
      <c r="AM41" s="67"/>
      <c r="AN41" s="72"/>
      <c r="AO41" s="86">
        <v>0.84</v>
      </c>
      <c r="AP41" s="79">
        <v>625.13689999999997</v>
      </c>
      <c r="AQ41" s="60">
        <v>39.937629999999999</v>
      </c>
      <c r="AR41" s="86">
        <v>0.84</v>
      </c>
      <c r="AS41" s="150">
        <v>1371.4794999999999</v>
      </c>
      <c r="AT41" s="61">
        <v>270.72634000000005</v>
      </c>
      <c r="AU41" s="86">
        <v>0.84</v>
      </c>
      <c r="AV41" s="150">
        <v>2297.6237999999998</v>
      </c>
      <c r="AW41" s="61">
        <v>814.75806</v>
      </c>
      <c r="BA41" s="88">
        <v>0.68</v>
      </c>
      <c r="BB41" s="61">
        <v>628.88720000000001</v>
      </c>
    </row>
    <row r="42" spans="14:54">
      <c r="Q42" s="53">
        <v>233.82499999999999</v>
      </c>
      <c r="R42" s="54">
        <f t="shared" si="0"/>
        <v>4.2767026622474074E-3</v>
      </c>
      <c r="S42" s="17">
        <v>2296.2036401042101</v>
      </c>
      <c r="T42" s="53">
        <v>292</v>
      </c>
      <c r="U42" s="54">
        <f t="shared" si="1"/>
        <v>3.4246575342465752E-3</v>
      </c>
      <c r="V42" s="38">
        <v>16425.28</v>
      </c>
      <c r="W42" s="53">
        <v>233</v>
      </c>
      <c r="X42" s="54">
        <f t="shared" si="2"/>
        <v>4.2918454935622317E-3</v>
      </c>
      <c r="Y42" s="61">
        <v>350.036</v>
      </c>
      <c r="AA42" s="5"/>
      <c r="AB42" s="67"/>
      <c r="AC42" s="11"/>
      <c r="AD42" s="14">
        <v>283.14999999999998</v>
      </c>
      <c r="AE42" s="77">
        <v>0.16500000000000001</v>
      </c>
      <c r="AF42" s="75">
        <v>36.696235999999999</v>
      </c>
      <c r="AG42" s="60">
        <v>31.511430000000001</v>
      </c>
      <c r="AI42" s="5"/>
      <c r="AJ42" s="67"/>
      <c r="AK42" s="8"/>
      <c r="AL42" s="5"/>
      <c r="AM42" s="67"/>
      <c r="AN42" s="72"/>
      <c r="AO42" s="86">
        <v>0.83499999999999996</v>
      </c>
      <c r="AP42" s="79">
        <v>642.40059999999994</v>
      </c>
      <c r="AQ42" s="60">
        <v>40.177500000000002</v>
      </c>
      <c r="AR42" s="86">
        <v>0.83499999999999996</v>
      </c>
      <c r="AS42" s="150">
        <v>1406.0853999999999</v>
      </c>
      <c r="AT42" s="61">
        <v>272.38661999999999</v>
      </c>
      <c r="AU42" s="86">
        <v>0.83499999999999996</v>
      </c>
      <c r="AV42" s="150">
        <v>2347.5937999999996</v>
      </c>
      <c r="AW42" s="61">
        <v>819.97799999999995</v>
      </c>
      <c r="BA42" s="88">
        <v>0.67</v>
      </c>
      <c r="BB42" s="61">
        <v>642.82439999999997</v>
      </c>
    </row>
    <row r="43" spans="14:54">
      <c r="Q43" s="53">
        <v>234.85</v>
      </c>
      <c r="R43" s="54">
        <f t="shared" si="0"/>
        <v>4.2580370449222908E-3</v>
      </c>
      <c r="S43" s="17">
        <v>2474.9508162064599</v>
      </c>
      <c r="T43" s="53">
        <v>292.666666666666</v>
      </c>
      <c r="U43" s="54">
        <f t="shared" si="1"/>
        <v>3.4168564920273427E-3</v>
      </c>
      <c r="V43" s="38">
        <v>16968.95</v>
      </c>
      <c r="W43" s="53">
        <v>234</v>
      </c>
      <c r="X43" s="54">
        <f t="shared" si="2"/>
        <v>4.2735042735042739E-3</v>
      </c>
      <c r="Y43" s="61">
        <v>381.33659999999998</v>
      </c>
      <c r="AA43" s="5"/>
      <c r="AB43" s="67"/>
      <c r="AC43" s="11"/>
      <c r="AD43" s="14">
        <v>283.14999999999998</v>
      </c>
      <c r="AE43" s="77">
        <v>0.17</v>
      </c>
      <c r="AF43" s="75">
        <v>36.582672000000002</v>
      </c>
      <c r="AG43" s="60">
        <v>31.246948</v>
      </c>
      <c r="AI43" s="5"/>
      <c r="AJ43" s="67"/>
      <c r="AK43" s="8"/>
      <c r="AL43" s="5"/>
      <c r="AM43" s="67"/>
      <c r="AN43" s="72"/>
      <c r="AO43" s="86">
        <v>0.83</v>
      </c>
      <c r="AP43" s="79">
        <v>659.58356000000003</v>
      </c>
      <c r="AQ43" s="60">
        <v>40.420258000000004</v>
      </c>
      <c r="AR43" s="86">
        <v>0.83</v>
      </c>
      <c r="AS43" s="150">
        <v>1440.6103999999998</v>
      </c>
      <c r="AT43" s="61">
        <v>274.06716</v>
      </c>
      <c r="AU43" s="86">
        <v>0.83</v>
      </c>
      <c r="AV43" s="150">
        <v>2397.5135</v>
      </c>
      <c r="AW43" s="61">
        <v>825.26390000000004</v>
      </c>
      <c r="BA43" s="88">
        <v>0.66</v>
      </c>
      <c r="BB43" s="61">
        <v>656.33569999999997</v>
      </c>
    </row>
    <row r="44" spans="14:54">
      <c r="Q44" s="53">
        <v>235.875</v>
      </c>
      <c r="R44" s="54">
        <f t="shared" si="0"/>
        <v>4.2395336512983575E-3</v>
      </c>
      <c r="S44" s="17">
        <v>2665.4967244637501</v>
      </c>
      <c r="T44" s="53">
        <v>293.33333333333297</v>
      </c>
      <c r="U44" s="54">
        <f t="shared" si="1"/>
        <v>3.4090909090909133E-3</v>
      </c>
      <c r="V44" s="38">
        <v>17527.330000000002</v>
      </c>
      <c r="W44" s="53">
        <v>235</v>
      </c>
      <c r="X44" s="54">
        <f t="shared" si="2"/>
        <v>4.2553191489361703E-3</v>
      </c>
      <c r="Y44" s="61">
        <v>415.06599999999997</v>
      </c>
      <c r="AA44" s="5"/>
      <c r="AB44" s="67"/>
      <c r="AC44" s="11"/>
      <c r="AD44" s="14">
        <v>283.14999999999998</v>
      </c>
      <c r="AE44" s="77">
        <v>0.17499999999999999</v>
      </c>
      <c r="AF44" s="75">
        <v>36.469177000000002</v>
      </c>
      <c r="AG44" s="60">
        <v>30.983635</v>
      </c>
      <c r="AI44" s="5"/>
      <c r="AJ44" s="67"/>
      <c r="AK44" s="8"/>
      <c r="AL44" s="5"/>
      <c r="AM44" s="67"/>
      <c r="AN44" s="72"/>
      <c r="AO44" s="86">
        <v>0.82499999999999996</v>
      </c>
      <c r="AP44" s="79">
        <v>676.68509999999992</v>
      </c>
      <c r="AQ44" s="60">
        <v>40.665959999999998</v>
      </c>
      <c r="AR44" s="86">
        <v>0.82499999999999996</v>
      </c>
      <c r="AS44" s="150">
        <v>1475.0535</v>
      </c>
      <c r="AT44" s="61">
        <v>275.76830000000001</v>
      </c>
      <c r="AU44" s="86">
        <v>0.82499999999999996</v>
      </c>
      <c r="AV44" s="150">
        <v>2447.3825000000002</v>
      </c>
      <c r="AW44" s="61">
        <v>830.61694</v>
      </c>
      <c r="BA44" s="88">
        <v>0.65</v>
      </c>
      <c r="BB44" s="61">
        <v>669.4135</v>
      </c>
    </row>
    <row r="45" spans="14:54">
      <c r="Q45" s="53">
        <v>236.9</v>
      </c>
      <c r="R45" s="54">
        <f t="shared" si="0"/>
        <v>4.221190375685943E-3</v>
      </c>
      <c r="S45" s="17">
        <v>2868.46761944026</v>
      </c>
      <c r="T45" s="53">
        <v>294</v>
      </c>
      <c r="U45" s="54">
        <f t="shared" si="1"/>
        <v>3.4013605442176869E-3</v>
      </c>
      <c r="V45" s="38">
        <v>18100.71</v>
      </c>
      <c r="W45" s="53">
        <v>236</v>
      </c>
      <c r="X45" s="54">
        <f t="shared" si="2"/>
        <v>4.2372881355932203E-3</v>
      </c>
      <c r="Y45" s="61">
        <v>451.3818</v>
      </c>
      <c r="AA45" s="5"/>
      <c r="AB45" s="67"/>
      <c r="AC45" s="11"/>
      <c r="AD45" s="14">
        <v>283.14999999999998</v>
      </c>
      <c r="AE45" s="77">
        <v>0.18</v>
      </c>
      <c r="AF45" s="75">
        <v>36.35575</v>
      </c>
      <c r="AG45" s="60">
        <v>30.72156</v>
      </c>
      <c r="AI45" s="5"/>
      <c r="AJ45" s="67"/>
      <c r="AK45" s="8"/>
      <c r="AL45" s="5"/>
      <c r="AM45" s="67"/>
      <c r="AN45" s="72"/>
      <c r="AO45" s="86">
        <v>0.82000000000000006</v>
      </c>
      <c r="AP45" s="79">
        <v>693.7047</v>
      </c>
      <c r="AQ45" s="60">
        <v>40.914660000000005</v>
      </c>
      <c r="AR45" s="86">
        <v>0.82000000000000006</v>
      </c>
      <c r="AS45" s="150">
        <v>1509.4139</v>
      </c>
      <c r="AT45" s="61">
        <v>277.4905</v>
      </c>
      <c r="AU45" s="86">
        <v>0.82000000000000006</v>
      </c>
      <c r="AV45" s="150">
        <v>2497.1997999999999</v>
      </c>
      <c r="AW45" s="61">
        <v>836.03843999999992</v>
      </c>
      <c r="BA45" s="88">
        <v>0.64</v>
      </c>
      <c r="BB45" s="61">
        <v>682.04970000000003</v>
      </c>
    </row>
    <row r="46" spans="14:54">
      <c r="Q46" s="53">
        <v>237.92500000000001</v>
      </c>
      <c r="R46" s="54">
        <f t="shared" si="0"/>
        <v>4.203005148681307E-3</v>
      </c>
      <c r="S46" s="17">
        <v>3084.5136567688101</v>
      </c>
      <c r="T46" s="53">
        <v>294.666666666666</v>
      </c>
      <c r="U46" s="54">
        <f t="shared" si="1"/>
        <v>3.3936651583710482E-3</v>
      </c>
      <c r="V46" s="38">
        <v>18689.400000000001</v>
      </c>
      <c r="W46" s="53">
        <v>237</v>
      </c>
      <c r="X46" s="54">
        <f t="shared" si="2"/>
        <v>4.2194092827004216E-3</v>
      </c>
      <c r="Y46" s="61">
        <v>490.44959999999998</v>
      </c>
      <c r="AA46" s="5"/>
      <c r="AB46" s="67"/>
      <c r="AC46" s="11"/>
      <c r="AD46" s="14">
        <v>283.14999999999998</v>
      </c>
      <c r="AE46" s="77">
        <v>0.185</v>
      </c>
      <c r="AF46" s="75">
        <v>36.24239</v>
      </c>
      <c r="AG46" s="60">
        <v>30.460785000000001</v>
      </c>
      <c r="AI46" s="5"/>
      <c r="AJ46" s="67"/>
      <c r="AK46" s="8"/>
      <c r="AL46" s="5"/>
      <c r="AM46" s="67"/>
      <c r="AN46" s="72"/>
      <c r="AO46" s="86">
        <v>0.81499999999999995</v>
      </c>
      <c r="AP46" s="79">
        <v>710.64175</v>
      </c>
      <c r="AQ46" s="60">
        <v>41.166410000000006</v>
      </c>
      <c r="AR46" s="86">
        <v>0.81499999999999995</v>
      </c>
      <c r="AS46" s="150">
        <v>1543.691</v>
      </c>
      <c r="AT46" s="61">
        <v>279.23409999999996</v>
      </c>
      <c r="AU46" s="86">
        <v>0.81499999999999995</v>
      </c>
      <c r="AV46" s="150">
        <v>2546.9647999999997</v>
      </c>
      <c r="AW46" s="61">
        <v>841.52975000000004</v>
      </c>
      <c r="BA46" s="88">
        <v>0.63</v>
      </c>
      <c r="BB46" s="61">
        <v>694.23620000000005</v>
      </c>
    </row>
    <row r="47" spans="14:54">
      <c r="Q47" s="53">
        <v>238.95</v>
      </c>
      <c r="R47" s="54">
        <f t="shared" si="0"/>
        <v>4.1849759363883658E-3</v>
      </c>
      <c r="S47" s="17">
        <v>3314.3093378614199</v>
      </c>
      <c r="T47" s="53">
        <v>295.33333333333297</v>
      </c>
      <c r="U47" s="54">
        <f t="shared" si="1"/>
        <v>3.3860045146726905E-3</v>
      </c>
      <c r="V47" s="38">
        <v>19293.7</v>
      </c>
      <c r="W47" s="53">
        <v>238</v>
      </c>
      <c r="X47" s="54">
        <f t="shared" si="2"/>
        <v>4.2016806722689074E-3</v>
      </c>
      <c r="Y47" s="61">
        <v>532.44299999999998</v>
      </c>
      <c r="AA47" s="5"/>
      <c r="AB47" s="67"/>
      <c r="AC47" s="11"/>
      <c r="AD47" s="14">
        <v>283.14999999999998</v>
      </c>
      <c r="AE47" s="77">
        <v>0.19</v>
      </c>
      <c r="AF47" s="75">
        <v>36.129089999999998</v>
      </c>
      <c r="AG47" s="60">
        <v>30.201381999999999</v>
      </c>
      <c r="AI47" s="5"/>
      <c r="AJ47" s="67"/>
      <c r="AK47" s="8"/>
      <c r="AL47" s="5"/>
      <c r="AM47" s="67"/>
      <c r="AN47" s="72"/>
      <c r="AO47" s="86">
        <v>0.81</v>
      </c>
      <c r="AP47" s="79">
        <v>727.49575000000004</v>
      </c>
      <c r="AQ47" s="60">
        <v>41.42127</v>
      </c>
      <c r="AR47" s="86">
        <v>0.81</v>
      </c>
      <c r="AS47" s="150">
        <v>1577.8836000000001</v>
      </c>
      <c r="AT47" s="61">
        <v>280.99950000000001</v>
      </c>
      <c r="AU47" s="86">
        <v>0.81</v>
      </c>
      <c r="AV47" s="150">
        <v>2596.6770000000001</v>
      </c>
      <c r="AW47" s="61">
        <v>847.09219999999993</v>
      </c>
      <c r="BA47" s="88">
        <v>0.62</v>
      </c>
      <c r="BB47" s="61">
        <v>705.96469999999999</v>
      </c>
    </row>
    <row r="48" spans="14:54">
      <c r="Q48" s="53">
        <v>239.97499999999999</v>
      </c>
      <c r="R48" s="54">
        <f t="shared" si="0"/>
        <v>4.1671007396603815E-3</v>
      </c>
      <c r="S48" s="17">
        <v>3558.5539442409299</v>
      </c>
      <c r="T48" s="53">
        <v>296</v>
      </c>
      <c r="U48" s="54">
        <f t="shared" si="1"/>
        <v>3.3783783783783786E-3</v>
      </c>
      <c r="V48" s="38">
        <v>19913.919999999998</v>
      </c>
      <c r="W48" s="53">
        <v>239</v>
      </c>
      <c r="X48" s="54">
        <f t="shared" si="2"/>
        <v>4.1841004184100415E-3</v>
      </c>
      <c r="Y48" s="61">
        <v>577.5444</v>
      </c>
      <c r="AA48" s="5"/>
      <c r="AB48" s="67"/>
      <c r="AC48" s="72"/>
      <c r="AD48" s="14">
        <v>283.14999999999998</v>
      </c>
      <c r="AE48" s="77">
        <v>0.19500000000000001</v>
      </c>
      <c r="AF48" s="75">
        <v>36.015841999999999</v>
      </c>
      <c r="AG48" s="60">
        <v>29.943413</v>
      </c>
      <c r="AI48" s="5"/>
      <c r="AJ48" s="67"/>
      <c r="AK48" s="8"/>
      <c r="AL48" s="5"/>
      <c r="AM48" s="67"/>
      <c r="AN48" s="72"/>
      <c r="AO48" s="86">
        <v>0.80499999999999994</v>
      </c>
      <c r="AP48" s="79">
        <v>744.26609999999994</v>
      </c>
      <c r="AQ48" s="60">
        <v>41.679293000000001</v>
      </c>
      <c r="AR48" s="86">
        <v>0.80499999999999994</v>
      </c>
      <c r="AS48" s="150">
        <v>1611.9911999999999</v>
      </c>
      <c r="AT48" s="61">
        <v>282.78712000000002</v>
      </c>
      <c r="AU48" s="86">
        <v>0.80499999999999994</v>
      </c>
      <c r="AV48" s="150">
        <v>2646.3355000000001</v>
      </c>
      <c r="AW48" s="61">
        <v>852.72709999999995</v>
      </c>
      <c r="BA48" s="88">
        <v>0.61</v>
      </c>
      <c r="BB48" s="61">
        <v>717.22680000000003</v>
      </c>
    </row>
    <row r="49" spans="17:54">
      <c r="Q49" s="53">
        <v>241</v>
      </c>
      <c r="R49" s="54">
        <f t="shared" si="0"/>
        <v>4.1493775933609959E-3</v>
      </c>
      <c r="S49" s="17">
        <v>3817.97196094638</v>
      </c>
      <c r="T49" s="53">
        <v>296.666666666666</v>
      </c>
      <c r="U49" s="54">
        <f t="shared" si="1"/>
        <v>3.37078651685394E-3</v>
      </c>
      <c r="V49" s="38">
        <v>20550.37</v>
      </c>
      <c r="W49" s="53">
        <v>240</v>
      </c>
      <c r="X49" s="54">
        <f t="shared" si="2"/>
        <v>4.1666666666666666E-3</v>
      </c>
      <c r="Y49" s="61">
        <v>625.94500000000005</v>
      </c>
      <c r="AA49" s="5"/>
      <c r="AB49" s="67"/>
      <c r="AC49" s="72"/>
      <c r="AD49" s="14">
        <v>283.14999999999998</v>
      </c>
      <c r="AE49" s="77">
        <v>0.2</v>
      </c>
      <c r="AF49" s="75">
        <v>35.902653000000001</v>
      </c>
      <c r="AG49" s="60">
        <v>29.686942999999999</v>
      </c>
      <c r="AI49" s="5"/>
      <c r="AJ49" s="67"/>
      <c r="AK49" s="8"/>
      <c r="AL49" s="5"/>
      <c r="AM49" s="67"/>
      <c r="AN49" s="72"/>
      <c r="AO49" s="86">
        <v>0.8</v>
      </c>
      <c r="AP49" s="79">
        <v>760.95240000000001</v>
      </c>
      <c r="AQ49" s="60">
        <v>41.940546999999995</v>
      </c>
      <c r="AR49" s="86">
        <v>0.8</v>
      </c>
      <c r="AS49" s="150">
        <v>1646.0129999999999</v>
      </c>
      <c r="AT49" s="61">
        <v>284.59740000000005</v>
      </c>
      <c r="AU49" s="86">
        <v>0.8</v>
      </c>
      <c r="AV49" s="150">
        <v>2695.94</v>
      </c>
      <c r="AW49" s="61">
        <v>858.43610000000001</v>
      </c>
      <c r="BA49" s="88">
        <v>0.6</v>
      </c>
      <c r="BB49" s="61">
        <v>728.01390000000004</v>
      </c>
    </row>
    <row r="50" spans="17:54">
      <c r="Q50" s="53">
        <v>242.02500000000001</v>
      </c>
      <c r="R50" s="54">
        <f t="shared" si="0"/>
        <v>4.1318045656440448E-3</v>
      </c>
      <c r="S50" s="17">
        <v>4093.31348841407</v>
      </c>
      <c r="T50" s="53">
        <v>297.33333333333297</v>
      </c>
      <c r="U50" s="54">
        <f t="shared" si="1"/>
        <v>3.3632286995515736E-3</v>
      </c>
      <c r="V50" s="38">
        <v>21203.37</v>
      </c>
      <c r="W50" s="53">
        <v>241</v>
      </c>
      <c r="X50" s="54">
        <f t="shared" si="2"/>
        <v>4.1493775933609959E-3</v>
      </c>
      <c r="Y50" s="61">
        <v>677.84490000000005</v>
      </c>
      <c r="AA50" s="5"/>
      <c r="AB50" s="68"/>
      <c r="AC50" s="11"/>
      <c r="AD50" s="14">
        <v>283.14999999999998</v>
      </c>
      <c r="AE50" s="77">
        <v>0.20499999999999999</v>
      </c>
      <c r="AF50" s="75">
        <v>35.789515999999999</v>
      </c>
      <c r="AG50" s="60">
        <v>29.432034999999999</v>
      </c>
      <c r="AI50" s="5"/>
      <c r="AJ50" s="67"/>
      <c r="AK50" s="8"/>
      <c r="AL50" s="5"/>
      <c r="AM50" s="67"/>
      <c r="AN50" s="72"/>
      <c r="AO50" s="86">
        <v>0.79500000000000004</v>
      </c>
      <c r="AP50" s="79">
        <v>777.5539399999999</v>
      </c>
      <c r="AQ50" s="60">
        <v>42.205082000000004</v>
      </c>
      <c r="AR50" s="86">
        <v>0.79500000000000004</v>
      </c>
      <c r="AS50" s="150">
        <v>1679.9478999999999</v>
      </c>
      <c r="AT50" s="61">
        <v>286.43074999999999</v>
      </c>
      <c r="AU50" s="86">
        <v>0.79500000000000004</v>
      </c>
      <c r="AV50" s="150">
        <v>2745.4895000000001</v>
      </c>
      <c r="AW50" s="61">
        <v>864.22050000000002</v>
      </c>
      <c r="BA50" s="88">
        <v>0.59</v>
      </c>
      <c r="BB50" s="61">
        <v>738.31740000000002</v>
      </c>
    </row>
    <row r="51" spans="17:54">
      <c r="Q51" s="53">
        <v>243.05</v>
      </c>
      <c r="R51" s="54">
        <f t="shared" si="0"/>
        <v>4.1143797572515944E-3</v>
      </c>
      <c r="S51" s="17">
        <v>4385.3546422529598</v>
      </c>
      <c r="T51" s="53">
        <v>298</v>
      </c>
      <c r="U51" s="54">
        <f t="shared" si="1"/>
        <v>3.3557046979865771E-3</v>
      </c>
      <c r="V51" s="38">
        <v>21873.24</v>
      </c>
      <c r="W51" s="53">
        <v>242</v>
      </c>
      <c r="X51" s="54">
        <f t="shared" si="2"/>
        <v>4.1322314049586778E-3</v>
      </c>
      <c r="Y51" s="61">
        <v>733.45349999999996</v>
      </c>
      <c r="AA51" s="5"/>
      <c r="AB51" s="67"/>
      <c r="AC51" s="71"/>
      <c r="AD51" s="14">
        <v>283.14999999999998</v>
      </c>
      <c r="AE51" s="77">
        <v>0.21</v>
      </c>
      <c r="AF51" s="75">
        <v>35.676422000000002</v>
      </c>
      <c r="AG51" s="60">
        <v>29.178750000000001</v>
      </c>
      <c r="AI51" s="5"/>
      <c r="AJ51" s="67"/>
      <c r="AK51" s="8"/>
      <c r="AL51" s="5"/>
      <c r="AM51" s="67"/>
      <c r="AN51" s="72"/>
      <c r="AO51" s="86">
        <v>0.79</v>
      </c>
      <c r="AP51" s="79">
        <v>794.07030000000009</v>
      </c>
      <c r="AQ51" s="60">
        <v>42.472970000000004</v>
      </c>
      <c r="AR51" s="86">
        <v>0.79</v>
      </c>
      <c r="AS51" s="150">
        <v>1713.7952</v>
      </c>
      <c r="AT51" s="61">
        <v>288.28762</v>
      </c>
      <c r="AU51" s="86">
        <v>0.79</v>
      </c>
      <c r="AV51" s="150">
        <v>2794.9834999999998</v>
      </c>
      <c r="AW51" s="61">
        <v>870.08190000000002</v>
      </c>
      <c r="BA51" s="88">
        <v>0.57999999999999996</v>
      </c>
      <c r="BB51" s="61">
        <v>748.12829999999997</v>
      </c>
    </row>
    <row r="52" spans="17:54">
      <c r="Q52" s="53">
        <v>244.07499999999999</v>
      </c>
      <c r="R52" s="54">
        <f t="shared" si="0"/>
        <v>4.097101300829663E-3</v>
      </c>
      <c r="S52" s="17">
        <v>4694.8979404642996</v>
      </c>
      <c r="T52" s="53">
        <v>298.666666666666</v>
      </c>
      <c r="U52" s="54">
        <f t="shared" si="1"/>
        <v>3.3482142857142933E-3</v>
      </c>
      <c r="V52" s="38">
        <v>22560.29</v>
      </c>
      <c r="W52" s="53">
        <v>243</v>
      </c>
      <c r="X52" s="54">
        <f t="shared" si="2"/>
        <v>4.11522633744856E-3</v>
      </c>
      <c r="Y52" s="61">
        <v>792.98990000000003</v>
      </c>
      <c r="AA52" s="5"/>
      <c r="AB52" s="27"/>
      <c r="AC52" s="71"/>
      <c r="AD52" s="14">
        <v>283.14999999999998</v>
      </c>
      <c r="AE52" s="77">
        <v>0.215</v>
      </c>
      <c r="AF52" s="75">
        <v>35.563377000000003</v>
      </c>
      <c r="AG52" s="60">
        <v>28.927143000000001</v>
      </c>
      <c r="AI52" s="5"/>
      <c r="AJ52" s="67"/>
      <c r="AK52" s="8"/>
      <c r="AL52" s="5"/>
      <c r="AM52" s="67"/>
      <c r="AN52" s="72"/>
      <c r="AO52" s="86">
        <v>0.78500000000000003</v>
      </c>
      <c r="AP52" s="79">
        <v>810.5009399999999</v>
      </c>
      <c r="AQ52" s="60">
        <v>42.744266000000003</v>
      </c>
      <c r="AR52" s="86">
        <v>0.78500000000000003</v>
      </c>
      <c r="AS52" s="150">
        <v>1747.5544</v>
      </c>
      <c r="AT52" s="61">
        <v>290.16849999999999</v>
      </c>
      <c r="AU52" s="86">
        <v>0.78500000000000003</v>
      </c>
      <c r="AV52" s="150">
        <v>2844.4212000000002</v>
      </c>
      <c r="AW52" s="61">
        <v>876.02175</v>
      </c>
      <c r="BA52" s="88">
        <v>0.56999999999999995</v>
      </c>
      <c r="BB52" s="61">
        <v>757.43769999999995</v>
      </c>
    </row>
    <row r="53" spans="17:54">
      <c r="Q53" s="53">
        <v>245.1</v>
      </c>
      <c r="R53" s="54">
        <f t="shared" si="0"/>
        <v>4.0799673602611181E-3</v>
      </c>
      <c r="S53" s="17">
        <v>5022.77267737492</v>
      </c>
      <c r="T53" s="53">
        <v>299.33333333333297</v>
      </c>
      <c r="U53" s="54">
        <f t="shared" si="1"/>
        <v>3.3407572383073536E-3</v>
      </c>
      <c r="V53" s="38">
        <v>23264.86</v>
      </c>
      <c r="W53" s="53">
        <v>244</v>
      </c>
      <c r="X53" s="54">
        <f t="shared" si="2"/>
        <v>4.0983606557377051E-3</v>
      </c>
      <c r="Y53" s="61">
        <v>856.68309999999997</v>
      </c>
      <c r="AA53" s="5"/>
      <c r="AB53" s="27"/>
      <c r="AC53" s="11"/>
      <c r="AD53" s="14">
        <v>283.14999999999998</v>
      </c>
      <c r="AE53" s="77">
        <v>0.22</v>
      </c>
      <c r="AF53" s="75">
        <v>35.450369999999999</v>
      </c>
      <c r="AG53" s="60">
        <v>28.677277</v>
      </c>
      <c r="AI53" s="5"/>
      <c r="AJ53" s="67"/>
      <c r="AK53" s="8"/>
      <c r="AL53" s="5"/>
      <c r="AM53" s="67"/>
      <c r="AN53" s="72"/>
      <c r="AO53" s="86">
        <v>0.78</v>
      </c>
      <c r="AP53" s="79">
        <v>826.84540000000004</v>
      </c>
      <c r="AQ53" s="60">
        <v>43.019040000000004</v>
      </c>
      <c r="AR53" s="86">
        <v>0.78</v>
      </c>
      <c r="AS53" s="150">
        <v>1781.2241999999999</v>
      </c>
      <c r="AT53" s="61">
        <v>292.07378000000006</v>
      </c>
      <c r="AU53" s="86">
        <v>0.78</v>
      </c>
      <c r="AV53" s="150">
        <v>2893.8024999999998</v>
      </c>
      <c r="AW53" s="61">
        <v>882.04174999999998</v>
      </c>
      <c r="BA53" s="88">
        <v>0.56000000000000005</v>
      </c>
      <c r="BB53" s="61">
        <v>766.23620000000005</v>
      </c>
    </row>
    <row r="54" spans="17:54">
      <c r="Q54" s="53">
        <v>246.125</v>
      </c>
      <c r="R54" s="54">
        <f t="shared" si="0"/>
        <v>4.0629761300152358E-3</v>
      </c>
      <c r="S54" s="17">
        <v>5369.8352840951502</v>
      </c>
      <c r="T54" s="53">
        <v>300</v>
      </c>
      <c r="U54" s="54">
        <f t="shared" si="1"/>
        <v>3.3333333333333335E-3</v>
      </c>
      <c r="V54" s="38">
        <v>23987.279999999999</v>
      </c>
      <c r="W54" s="53">
        <v>245</v>
      </c>
      <c r="X54" s="54">
        <f t="shared" si="2"/>
        <v>4.0816326530612249E-3</v>
      </c>
      <c r="Y54" s="61">
        <v>924.7722</v>
      </c>
      <c r="AA54" s="5"/>
      <c r="AB54" s="67"/>
      <c r="AC54" s="11"/>
      <c r="AD54" s="14">
        <v>283.14999999999998</v>
      </c>
      <c r="AE54" s="77">
        <v>0.22500000000000001</v>
      </c>
      <c r="AF54" s="75">
        <v>35.337400000000002</v>
      </c>
      <c r="AG54" s="60">
        <v>28.429203000000001</v>
      </c>
      <c r="AI54" s="5"/>
      <c r="AJ54" s="67"/>
      <c r="AK54" s="8"/>
      <c r="AL54" s="5"/>
      <c r="AM54" s="67"/>
      <c r="AN54" s="72"/>
      <c r="AO54" s="86">
        <v>0.77500000000000002</v>
      </c>
      <c r="AP54" s="79">
        <v>843.10306000000003</v>
      </c>
      <c r="AQ54" s="60">
        <v>43.297362999999997</v>
      </c>
      <c r="AR54" s="86">
        <v>0.77500000000000002</v>
      </c>
      <c r="AS54" s="150">
        <v>1814.8042</v>
      </c>
      <c r="AT54" s="61">
        <v>294.00403</v>
      </c>
      <c r="AU54" s="86">
        <v>0.77500000000000002</v>
      </c>
      <c r="AV54" s="150">
        <v>2943.1264999999999</v>
      </c>
      <c r="AW54" s="61">
        <v>888.14350000000002</v>
      </c>
      <c r="BA54" s="88">
        <v>0.55000000000000004</v>
      </c>
      <c r="BB54" s="61">
        <v>774.5145</v>
      </c>
    </row>
    <row r="55" spans="17:54">
      <c r="Q55" s="53">
        <v>247.15</v>
      </c>
      <c r="R55" s="54">
        <f t="shared" si="0"/>
        <v>4.0461258345134534E-3</v>
      </c>
      <c r="S55" s="17">
        <v>5736.9696747547196</v>
      </c>
      <c r="T55" s="53">
        <v>300.666666666666</v>
      </c>
      <c r="U55" s="54">
        <f t="shared" si="1"/>
        <v>3.3259423503326016E-3</v>
      </c>
      <c r="V55" s="38">
        <v>24727.87</v>
      </c>
      <c r="W55" s="53">
        <v>246</v>
      </c>
      <c r="X55" s="54">
        <f t="shared" si="2"/>
        <v>4.0650406504065045E-3</v>
      </c>
      <c r="Y55" s="61">
        <v>997.5068</v>
      </c>
      <c r="AA55" s="5"/>
      <c r="AB55" s="67"/>
      <c r="AC55" s="11"/>
      <c r="AD55" s="14">
        <v>283.14999999999998</v>
      </c>
      <c r="AE55" s="77">
        <v>0.23</v>
      </c>
      <c r="AF55" s="75">
        <v>35.224460000000001</v>
      </c>
      <c r="AG55" s="60">
        <v>28.182974000000002</v>
      </c>
      <c r="AI55" s="5"/>
      <c r="AJ55" s="67"/>
      <c r="AK55" s="8"/>
      <c r="AL55" s="5"/>
      <c r="AM55" s="67"/>
      <c r="AN55" s="72"/>
      <c r="AO55" s="86">
        <v>0.77</v>
      </c>
      <c r="AP55" s="79">
        <v>859.27356000000009</v>
      </c>
      <c r="AQ55" s="60">
        <v>43.579300000000003</v>
      </c>
      <c r="AR55" s="86">
        <v>0.77</v>
      </c>
      <c r="AS55" s="150">
        <v>1848.2936000000002</v>
      </c>
      <c r="AT55" s="61">
        <v>295.95965999999999</v>
      </c>
      <c r="AU55" s="86">
        <v>0.77</v>
      </c>
      <c r="AV55" s="150">
        <v>2992.3924999999999</v>
      </c>
      <c r="AW55" s="61">
        <v>894.32859999999994</v>
      </c>
      <c r="BA55" s="88">
        <v>0.54</v>
      </c>
      <c r="BB55" s="61">
        <v>782.26289999999995</v>
      </c>
    </row>
    <row r="56" spans="17:54">
      <c r="Q56" s="53">
        <v>248.17500000000001</v>
      </c>
      <c r="R56" s="54">
        <f t="shared" si="0"/>
        <v>4.0294147275108287E-3</v>
      </c>
      <c r="S56" s="17">
        <v>6125.0875783028396</v>
      </c>
      <c r="T56" s="53">
        <v>301.33333333333297</v>
      </c>
      <c r="U56" s="54">
        <f t="shared" si="1"/>
        <v>3.318584070796464E-3</v>
      </c>
      <c r="V56" s="38">
        <v>25486.98</v>
      </c>
      <c r="W56" s="53">
        <v>247</v>
      </c>
      <c r="X56" s="54">
        <f t="shared" si="2"/>
        <v>4.048582995951417E-3</v>
      </c>
      <c r="Y56" s="62">
        <v>1075.1469999999999</v>
      </c>
      <c r="AA56" s="5"/>
      <c r="AB56" s="67"/>
      <c r="AC56" s="11"/>
      <c r="AD56" s="14">
        <v>283.14999999999998</v>
      </c>
      <c r="AE56" s="77">
        <v>0.23499999999999999</v>
      </c>
      <c r="AF56" s="75">
        <v>35.111553000000001</v>
      </c>
      <c r="AG56" s="60">
        <v>27.938642999999999</v>
      </c>
      <c r="AI56" s="5"/>
      <c r="AJ56" s="67"/>
      <c r="AK56" s="8"/>
      <c r="AL56" s="5"/>
      <c r="AM56" s="67"/>
      <c r="AN56" s="72"/>
      <c r="AO56" s="86">
        <v>0.76500000000000001</v>
      </c>
      <c r="AP56" s="79">
        <v>875.35630000000003</v>
      </c>
      <c r="AQ56" s="60">
        <v>43.864919999999998</v>
      </c>
      <c r="AR56" s="86">
        <v>0.76500000000000001</v>
      </c>
      <c r="AS56" s="150">
        <v>1881.6916000000001</v>
      </c>
      <c r="AT56" s="61">
        <v>297.94125000000003</v>
      </c>
      <c r="AU56" s="86">
        <v>0.76500000000000001</v>
      </c>
      <c r="AV56" s="150">
        <v>3041.6</v>
      </c>
      <c r="AW56" s="61">
        <v>900.59893999999997</v>
      </c>
      <c r="BA56" s="88">
        <v>0.53</v>
      </c>
      <c r="BB56" s="61">
        <v>789.47170000000006</v>
      </c>
    </row>
    <row r="57" spans="17:54">
      <c r="Q57" s="53">
        <v>249.2</v>
      </c>
      <c r="R57" s="54">
        <f t="shared" si="0"/>
        <v>4.0128410914927774E-3</v>
      </c>
      <c r="S57" s="17">
        <v>6535.1288553086497</v>
      </c>
      <c r="T57" s="53">
        <v>302</v>
      </c>
      <c r="U57" s="54">
        <f t="shared" si="1"/>
        <v>3.3112582781456954E-3</v>
      </c>
      <c r="V57" s="38">
        <v>26264.94</v>
      </c>
      <c r="W57" s="53">
        <v>248</v>
      </c>
      <c r="X57" s="54">
        <f t="shared" si="2"/>
        <v>4.0322580645161289E-3</v>
      </c>
      <c r="Y57" s="62">
        <v>1157.9639999999999</v>
      </c>
      <c r="AA57" s="5"/>
      <c r="AB57" s="67"/>
      <c r="AC57" s="72"/>
      <c r="AD57" s="14">
        <v>283.14999999999998</v>
      </c>
      <c r="AE57" s="77">
        <v>0.24</v>
      </c>
      <c r="AF57" s="75">
        <v>34.998669999999997</v>
      </c>
      <c r="AG57" s="60">
        <v>27.696252999999999</v>
      </c>
      <c r="AI57" s="5"/>
      <c r="AJ57" s="67"/>
      <c r="AK57" s="8"/>
      <c r="AL57" s="5"/>
      <c r="AM57" s="67"/>
      <c r="AN57" s="72"/>
      <c r="AO57" s="86">
        <v>0.76</v>
      </c>
      <c r="AP57" s="79">
        <v>891.35090000000002</v>
      </c>
      <c r="AQ57" s="60">
        <v>44.154300000000006</v>
      </c>
      <c r="AR57" s="86">
        <v>0.76</v>
      </c>
      <c r="AS57" s="150">
        <v>1914.9974</v>
      </c>
      <c r="AT57" s="61">
        <v>299.94925000000001</v>
      </c>
      <c r="AU57" s="86">
        <v>0.76</v>
      </c>
      <c r="AV57" s="150">
        <v>3090.7482</v>
      </c>
      <c r="AW57" s="61">
        <v>906.95624999999995</v>
      </c>
      <c r="BA57" s="88">
        <v>0.52</v>
      </c>
      <c r="BB57" s="61">
        <v>796.1309</v>
      </c>
    </row>
    <row r="58" spans="17:54">
      <c r="Q58" s="53">
        <v>250.22499999999999</v>
      </c>
      <c r="R58" s="54">
        <f t="shared" si="0"/>
        <v>3.996403237086622E-3</v>
      </c>
      <c r="S58" s="17">
        <v>6968.0617994988997</v>
      </c>
      <c r="T58" s="53">
        <v>302.666666666666</v>
      </c>
      <c r="U58" s="54">
        <f t="shared" si="1"/>
        <v>3.3039647577092581E-3</v>
      </c>
      <c r="V58" s="38">
        <v>27062.1</v>
      </c>
      <c r="W58" s="53">
        <v>249</v>
      </c>
      <c r="X58" s="54">
        <f t="shared" si="2"/>
        <v>4.0160642570281121E-3</v>
      </c>
      <c r="Y58" s="62">
        <v>1246.241</v>
      </c>
      <c r="AA58" s="5"/>
      <c r="AB58" s="67"/>
      <c r="AC58" s="72"/>
      <c r="AD58" s="14">
        <v>283.14999999999998</v>
      </c>
      <c r="AE58" s="77">
        <v>0.245</v>
      </c>
      <c r="AF58" s="75">
        <v>34.885807</v>
      </c>
      <c r="AG58" s="60">
        <v>27.455853000000001</v>
      </c>
      <c r="AI58" s="5"/>
      <c r="AJ58" s="67"/>
      <c r="AK58" s="8"/>
      <c r="AL58" s="5"/>
      <c r="AM58" s="67"/>
      <c r="AN58" s="72"/>
      <c r="AO58" s="86">
        <v>0.755</v>
      </c>
      <c r="AP58" s="79">
        <v>907.25675000000001</v>
      </c>
      <c r="AQ58" s="60">
        <v>44.447516</v>
      </c>
      <c r="AR58" s="86">
        <v>0.755</v>
      </c>
      <c r="AS58" s="150">
        <v>1948.2102</v>
      </c>
      <c r="AT58" s="61">
        <v>301.98424999999997</v>
      </c>
      <c r="AU58" s="86">
        <v>0.755</v>
      </c>
      <c r="AV58" s="150">
        <v>3139.8372000000004</v>
      </c>
      <c r="AW58" s="61">
        <v>913.40224999999998</v>
      </c>
      <c r="BA58" s="88">
        <v>0.51</v>
      </c>
      <c r="BB58" s="61">
        <v>802.23009999999999</v>
      </c>
    </row>
    <row r="59" spans="17:54">
      <c r="Q59" s="53">
        <v>251.25</v>
      </c>
      <c r="R59" s="54">
        <f t="shared" si="0"/>
        <v>3.9800995024875619E-3</v>
      </c>
      <c r="S59" s="17">
        <v>7424.8834236367802</v>
      </c>
      <c r="T59" s="53">
        <v>303.33333333333297</v>
      </c>
      <c r="U59" s="54">
        <f t="shared" si="1"/>
        <v>3.2967032967033006E-3</v>
      </c>
      <c r="V59" s="38">
        <v>27878.81</v>
      </c>
      <c r="W59" s="53">
        <v>250</v>
      </c>
      <c r="X59" s="54">
        <f t="shared" si="2"/>
        <v>4.0000000000000001E-3</v>
      </c>
      <c r="Y59" s="62">
        <v>1340.27</v>
      </c>
      <c r="AA59" s="5"/>
      <c r="AB59" s="67"/>
      <c r="AC59" s="72"/>
      <c r="AD59" s="14">
        <v>283.14999999999998</v>
      </c>
      <c r="AE59" s="77">
        <v>0.25</v>
      </c>
      <c r="AF59" s="75">
        <v>34.772959999999998</v>
      </c>
      <c r="AG59" s="60">
        <v>27.217483999999999</v>
      </c>
      <c r="AI59" s="5"/>
      <c r="AJ59" s="67"/>
      <c r="AK59" s="8"/>
      <c r="AL59" s="5"/>
      <c r="AM59" s="67"/>
      <c r="AN59" s="72"/>
      <c r="AO59" s="86">
        <v>0.75</v>
      </c>
      <c r="AP59" s="79">
        <v>923.07349999999997</v>
      </c>
      <c r="AQ59" s="60">
        <v>44.744637000000004</v>
      </c>
      <c r="AR59" s="86">
        <v>0.75</v>
      </c>
      <c r="AS59" s="150">
        <v>1981.3295000000001</v>
      </c>
      <c r="AT59" s="61">
        <v>304.04678000000001</v>
      </c>
      <c r="AU59" s="86">
        <v>0.75</v>
      </c>
      <c r="AV59" s="150">
        <v>3188.8658</v>
      </c>
      <c r="AW59" s="61">
        <v>919.93893999999989</v>
      </c>
      <c r="BA59" s="88">
        <v>0.5</v>
      </c>
      <c r="BB59" s="61">
        <v>807.75900000000001</v>
      </c>
    </row>
    <row r="60" spans="17:54">
      <c r="Q60" s="53">
        <v>252.27500000000001</v>
      </c>
      <c r="R60" s="54">
        <f t="shared" si="0"/>
        <v>3.9639282528986224E-3</v>
      </c>
      <c r="S60" s="17">
        <v>7906.6197294103804</v>
      </c>
      <c r="T60" s="53">
        <v>304</v>
      </c>
      <c r="U60" s="54">
        <f t="shared" si="1"/>
        <v>3.2894736842105261E-3</v>
      </c>
      <c r="V60" s="38">
        <v>28715.42</v>
      </c>
      <c r="W60" s="53">
        <v>251</v>
      </c>
      <c r="X60" s="54">
        <f t="shared" si="2"/>
        <v>3.9840637450199202E-3</v>
      </c>
      <c r="Y60" s="62">
        <v>1440.3589999999999</v>
      </c>
      <c r="AA60" s="5"/>
      <c r="AB60" s="67"/>
      <c r="AC60" s="72"/>
      <c r="AD60" s="14">
        <v>283.14999999999998</v>
      </c>
      <c r="AE60" s="77">
        <v>0.255</v>
      </c>
      <c r="AF60" s="75">
        <v>34.660125999999998</v>
      </c>
      <c r="AG60" s="60">
        <v>26.981183999999999</v>
      </c>
      <c r="AI60" s="5"/>
      <c r="AJ60" s="67"/>
      <c r="AK60" s="8"/>
      <c r="AL60" s="5"/>
      <c r="AM60" s="67"/>
      <c r="AN60" s="72"/>
      <c r="AO60" s="86">
        <v>0.745</v>
      </c>
      <c r="AP60" s="79">
        <v>938.80070000000001</v>
      </c>
      <c r="AQ60" s="60">
        <v>45.045749999999998</v>
      </c>
      <c r="AR60" s="86">
        <v>0.745</v>
      </c>
      <c r="AS60" s="150">
        <v>2014.3543999999999</v>
      </c>
      <c r="AT60" s="61">
        <v>306.13738000000001</v>
      </c>
      <c r="AU60" s="86">
        <v>0.745</v>
      </c>
      <c r="AV60" s="150">
        <v>3237.8337999999999</v>
      </c>
      <c r="AW60" s="61">
        <v>926.56819999999993</v>
      </c>
      <c r="BA60" s="88">
        <v>0.49</v>
      </c>
      <c r="BB60" s="61">
        <v>812.70680000000004</v>
      </c>
    </row>
    <row r="61" spans="17:54">
      <c r="Q61" s="53">
        <v>253.3</v>
      </c>
      <c r="R61" s="54">
        <f t="shared" si="0"/>
        <v>3.9478878799842085E-3</v>
      </c>
      <c r="S61" s="17">
        <v>8414.3259610920795</v>
      </c>
      <c r="T61" s="53">
        <v>304.666666666666</v>
      </c>
      <c r="U61" s="54">
        <f t="shared" si="1"/>
        <v>3.2822757111597447E-3</v>
      </c>
      <c r="V61" s="38">
        <v>29572.27</v>
      </c>
      <c r="W61" s="53">
        <v>252</v>
      </c>
      <c r="X61" s="54">
        <f t="shared" si="2"/>
        <v>3.968253968253968E-3</v>
      </c>
      <c r="Y61" s="62">
        <v>1546.8240000000001</v>
      </c>
      <c r="AA61" s="5"/>
      <c r="AB61" s="67"/>
      <c r="AC61" s="72"/>
      <c r="AD61" s="14">
        <v>283.14999999999998</v>
      </c>
      <c r="AE61" s="77">
        <v>0.26</v>
      </c>
      <c r="AF61" s="75">
        <v>34.5473</v>
      </c>
      <c r="AG61" s="60">
        <v>26.746991999999999</v>
      </c>
      <c r="AI61" s="5"/>
      <c r="AJ61" s="67"/>
      <c r="AK61" s="8"/>
      <c r="AL61" s="5"/>
      <c r="AM61" s="67"/>
      <c r="AN61" s="72"/>
      <c r="AO61" s="86">
        <v>0.74</v>
      </c>
      <c r="AP61" s="79">
        <v>954.43780000000004</v>
      </c>
      <c r="AQ61" s="60">
        <v>45.350929999999998</v>
      </c>
      <c r="AR61" s="86">
        <v>0.74</v>
      </c>
      <c r="AS61" s="150">
        <v>2047.2842000000001</v>
      </c>
      <c r="AT61" s="61">
        <v>308.25665999999995</v>
      </c>
      <c r="AU61" s="86">
        <v>0.74</v>
      </c>
      <c r="AV61" s="150">
        <v>3286.7404999999999</v>
      </c>
      <c r="AW61" s="61">
        <v>933.29200000000003</v>
      </c>
      <c r="BA61" s="88">
        <v>0.48</v>
      </c>
      <c r="BB61" s="61">
        <v>817.06259999999997</v>
      </c>
    </row>
    <row r="62" spans="17:54">
      <c r="Q62" s="53">
        <v>254.32499999999999</v>
      </c>
      <c r="R62" s="54">
        <f t="shared" si="0"/>
        <v>3.9319768013368721E-3</v>
      </c>
      <c r="S62" s="17">
        <v>8949.0868426950201</v>
      </c>
      <c r="T62" s="53">
        <v>305.33333333333297</v>
      </c>
      <c r="U62" s="54">
        <f t="shared" si="1"/>
        <v>3.2751091703056806E-3</v>
      </c>
      <c r="V62" s="38">
        <v>30449.73</v>
      </c>
      <c r="W62" s="53">
        <v>253</v>
      </c>
      <c r="X62" s="54">
        <f t="shared" si="2"/>
        <v>3.952569169960474E-3</v>
      </c>
      <c r="Y62" s="62">
        <v>1659.9970000000001</v>
      </c>
      <c r="AA62" s="5"/>
      <c r="AB62" s="67"/>
      <c r="AC62" s="72"/>
      <c r="AD62" s="14">
        <v>283.14999999999998</v>
      </c>
      <c r="AE62" s="77">
        <v>0.26500000000000001</v>
      </c>
      <c r="AF62" s="75">
        <v>34.434474999999999</v>
      </c>
      <c r="AG62" s="60">
        <v>26.514942000000001</v>
      </c>
      <c r="AI62" s="5"/>
      <c r="AJ62" s="67"/>
      <c r="AK62" s="8"/>
      <c r="AL62" s="5"/>
      <c r="AM62" s="67"/>
      <c r="AN62" s="72"/>
      <c r="AO62" s="86">
        <v>0.73499999999999999</v>
      </c>
      <c r="AP62" s="79">
        <v>969.98450000000003</v>
      </c>
      <c r="AQ62" s="60">
        <v>45.660260000000001</v>
      </c>
      <c r="AR62" s="86">
        <v>0.73499999999999999</v>
      </c>
      <c r="AS62" s="150">
        <v>2080.1181999999999</v>
      </c>
      <c r="AT62" s="61">
        <v>310.40520000000004</v>
      </c>
      <c r="AU62" s="86">
        <v>0.73499999999999999</v>
      </c>
      <c r="AV62" s="150">
        <v>3335.5857999999998</v>
      </c>
      <c r="AW62" s="61">
        <v>940.11239999999998</v>
      </c>
      <c r="BA62" s="88">
        <v>0.47</v>
      </c>
      <c r="BB62" s="61">
        <v>820.8152</v>
      </c>
    </row>
    <row r="63" spans="17:54">
      <c r="Q63" s="53">
        <v>255.35</v>
      </c>
      <c r="R63" s="54">
        <f t="shared" si="0"/>
        <v>3.9161934599569216E-3</v>
      </c>
      <c r="S63" s="17">
        <v>9512.0167983938099</v>
      </c>
      <c r="T63" s="53">
        <v>306</v>
      </c>
      <c r="U63" s="54">
        <f t="shared" si="1"/>
        <v>3.2679738562091504E-3</v>
      </c>
      <c r="V63" s="38">
        <v>31348.17</v>
      </c>
      <c r="W63" s="53">
        <v>254</v>
      </c>
      <c r="X63" s="54">
        <f t="shared" si="2"/>
        <v>3.937007874015748E-3</v>
      </c>
      <c r="Y63" s="62">
        <v>1780.2180000000001</v>
      </c>
      <c r="AA63" s="5"/>
      <c r="AB63" s="67"/>
      <c r="AC63" s="72"/>
      <c r="AD63" s="14">
        <v>283.14999999999998</v>
      </c>
      <c r="AE63" s="77">
        <v>0.27</v>
      </c>
      <c r="AF63" s="75">
        <v>34.321648000000003</v>
      </c>
      <c r="AG63" s="60">
        <v>26.285064999999999</v>
      </c>
      <c r="AI63" s="5"/>
      <c r="AJ63" s="67"/>
      <c r="AK63" s="8"/>
      <c r="AL63" s="5"/>
      <c r="AM63" s="67"/>
      <c r="AN63" s="72"/>
      <c r="AO63" s="86">
        <v>0.73</v>
      </c>
      <c r="AP63" s="79">
        <v>985.44030000000009</v>
      </c>
      <c r="AQ63" s="60">
        <v>45.973832000000002</v>
      </c>
      <c r="AR63" s="86">
        <v>0.73</v>
      </c>
      <c r="AS63" s="150">
        <v>2112.8560000000002</v>
      </c>
      <c r="AT63" s="61">
        <v>312.58359999999999</v>
      </c>
      <c r="AU63" s="86">
        <v>0.73</v>
      </c>
      <c r="AV63" s="150">
        <v>3384.3687999999997</v>
      </c>
      <c r="AW63" s="61">
        <v>947.03156000000001</v>
      </c>
      <c r="BA63" s="88">
        <v>0.46</v>
      </c>
      <c r="BB63" s="61">
        <v>823.95309999999995</v>
      </c>
    </row>
    <row r="64" spans="17:54">
      <c r="Q64" s="53">
        <v>256.375</v>
      </c>
      <c r="R64" s="54">
        <f t="shared" si="0"/>
        <v>3.9005363237445147E-3</v>
      </c>
      <c r="S64" s="56">
        <v>10104.260156047099</v>
      </c>
      <c r="T64" s="53">
        <v>306.666666666666</v>
      </c>
      <c r="U64" s="54">
        <f t="shared" si="1"/>
        <v>3.2608695652173985E-3</v>
      </c>
      <c r="V64" s="38">
        <v>32267.93</v>
      </c>
      <c r="W64" s="53">
        <v>255</v>
      </c>
      <c r="X64" s="54">
        <f t="shared" si="2"/>
        <v>3.9215686274509803E-3</v>
      </c>
      <c r="Y64" s="62">
        <v>1907.845</v>
      </c>
      <c r="AA64" s="5"/>
      <c r="AB64" s="67"/>
      <c r="AC64" s="72"/>
      <c r="AD64" s="14">
        <v>283.14999999999998</v>
      </c>
      <c r="AE64" s="77">
        <v>0.27500000000000002</v>
      </c>
      <c r="AF64" s="75">
        <v>34.208817000000003</v>
      </c>
      <c r="AG64" s="60">
        <v>26.057386000000001</v>
      </c>
      <c r="AI64" s="5"/>
      <c r="AJ64" s="67"/>
      <c r="AK64" s="8"/>
      <c r="AL64" s="5"/>
      <c r="AM64" s="67"/>
      <c r="AN64" s="72"/>
      <c r="AO64" s="86">
        <v>0.72499999999999998</v>
      </c>
      <c r="AP64" s="150">
        <v>1000.8048</v>
      </c>
      <c r="AQ64" s="60">
        <v>46.291727000000002</v>
      </c>
      <c r="AR64" s="86">
        <v>0.72499999999999998</v>
      </c>
      <c r="AS64" s="150">
        <v>2145.4965000000002</v>
      </c>
      <c r="AT64" s="61">
        <v>314.79250000000002</v>
      </c>
      <c r="AU64" s="86">
        <v>0.72499999999999998</v>
      </c>
      <c r="AV64" s="150">
        <v>3433.0889999999999</v>
      </c>
      <c r="AW64" s="61">
        <v>954.05160000000001</v>
      </c>
      <c r="BA64" s="88">
        <v>0.45</v>
      </c>
      <c r="BB64" s="61">
        <v>826.46450000000004</v>
      </c>
    </row>
    <row r="65" spans="17:54">
      <c r="Q65" s="53">
        <v>257.39999999999998</v>
      </c>
      <c r="R65" s="54">
        <f t="shared" si="0"/>
        <v>3.8850038850038854E-3</v>
      </c>
      <c r="S65" s="56">
        <v>10726.991333603601</v>
      </c>
      <c r="T65" s="53">
        <v>307.33333333333297</v>
      </c>
      <c r="U65" s="54">
        <f t="shared" si="1"/>
        <v>3.2537960954446893E-3</v>
      </c>
      <c r="V65" s="38">
        <v>33209.39</v>
      </c>
      <c r="W65" s="53">
        <v>256</v>
      </c>
      <c r="X65" s="54">
        <f t="shared" si="2"/>
        <v>3.90625E-3</v>
      </c>
      <c r="Y65" s="62">
        <v>2043.2460000000001</v>
      </c>
      <c r="AA65" s="5"/>
      <c r="AB65" s="67"/>
      <c r="AC65" s="72"/>
      <c r="AD65" s="14">
        <v>283.14999999999998</v>
      </c>
      <c r="AE65" s="77">
        <v>0.28000000000000003</v>
      </c>
      <c r="AF65" s="75">
        <v>34.095978000000002</v>
      </c>
      <c r="AG65" s="60">
        <v>25.831935999999999</v>
      </c>
      <c r="AI65" s="5"/>
      <c r="AJ65" s="67"/>
      <c r="AK65" s="8"/>
      <c r="AL65" s="5"/>
      <c r="AM65" s="67"/>
      <c r="AN65" s="72"/>
      <c r="AO65" s="86">
        <v>0.72</v>
      </c>
      <c r="AP65" s="150">
        <v>1016.0776</v>
      </c>
      <c r="AQ65" s="60">
        <v>46.614040000000003</v>
      </c>
      <c r="AR65" s="86">
        <v>0.72</v>
      </c>
      <c r="AS65" s="150">
        <v>2178.0394999999999</v>
      </c>
      <c r="AT65" s="61">
        <v>317.03253000000001</v>
      </c>
      <c r="AU65" s="86">
        <v>0.72</v>
      </c>
      <c r="AV65" s="150">
        <v>3481.7462</v>
      </c>
      <c r="AW65" s="61">
        <v>961.17475000000002</v>
      </c>
      <c r="BA65" s="88">
        <v>0.44</v>
      </c>
      <c r="BB65" s="61">
        <v>828.33730000000003</v>
      </c>
    </row>
    <row r="66" spans="17:54">
      <c r="Q66" s="53">
        <v>258.42500000000001</v>
      </c>
      <c r="R66" s="54">
        <f t="shared" si="0"/>
        <v>3.8695946599593689E-3</v>
      </c>
      <c r="S66" s="56">
        <v>11381.4150083475</v>
      </c>
      <c r="T66" s="53">
        <v>308</v>
      </c>
      <c r="U66" s="54">
        <f t="shared" si="1"/>
        <v>3.246753246753247E-3</v>
      </c>
      <c r="V66" s="38">
        <v>34172.93</v>
      </c>
      <c r="W66" s="53">
        <v>257</v>
      </c>
      <c r="X66" s="54">
        <f t="shared" si="2"/>
        <v>3.8910505836575876E-3</v>
      </c>
      <c r="Y66" s="62">
        <v>2186.8009999999999</v>
      </c>
      <c r="AA66" s="5"/>
      <c r="AB66" s="67"/>
      <c r="AC66" s="72"/>
      <c r="AD66" s="14">
        <v>283.14999999999998</v>
      </c>
      <c r="AE66" s="77">
        <v>0.28499999999999998</v>
      </c>
      <c r="AF66" s="75">
        <v>33.983116000000003</v>
      </c>
      <c r="AG66" s="60">
        <v>25.608733999999998</v>
      </c>
      <c r="AI66" s="5"/>
      <c r="AJ66" s="67"/>
      <c r="AK66" s="8"/>
      <c r="AL66" s="5"/>
      <c r="AM66" s="67"/>
      <c r="AN66" s="72"/>
      <c r="AO66" s="86">
        <v>0.71500000000000008</v>
      </c>
      <c r="AP66" s="150">
        <v>1031.2583999999999</v>
      </c>
      <c r="AQ66" s="60">
        <v>46.940855000000006</v>
      </c>
      <c r="AR66" s="86">
        <v>0.71500000000000008</v>
      </c>
      <c r="AS66" s="150">
        <v>2210.4839999999999</v>
      </c>
      <c r="AT66" s="61">
        <v>319.30437999999998</v>
      </c>
      <c r="AU66" s="86">
        <v>0.71500000000000008</v>
      </c>
      <c r="AV66" s="150">
        <v>3530.34</v>
      </c>
      <c r="AW66" s="61">
        <v>968.40340000000003</v>
      </c>
      <c r="BA66" s="88">
        <v>0.43</v>
      </c>
      <c r="BB66" s="61">
        <v>829.55920000000003</v>
      </c>
    </row>
    <row r="67" spans="17:54">
      <c r="Q67" s="53">
        <v>259.45</v>
      </c>
      <c r="R67" s="54">
        <f t="shared" si="0"/>
        <v>3.8543071882829062E-3</v>
      </c>
      <c r="S67" s="56">
        <v>12068.7662688325</v>
      </c>
      <c r="T67" s="53">
        <v>308.666666666666</v>
      </c>
      <c r="U67" s="54">
        <f t="shared" si="1"/>
        <v>3.2397408207343482E-3</v>
      </c>
      <c r="V67" s="38">
        <v>35158.910000000003</v>
      </c>
      <c r="W67" s="53">
        <v>258</v>
      </c>
      <c r="X67" s="54">
        <f t="shared" si="2"/>
        <v>3.875968992248062E-3</v>
      </c>
      <c r="Y67" s="62">
        <v>2338.9079999999999</v>
      </c>
      <c r="AA67" s="5"/>
      <c r="AB67" s="67"/>
      <c r="AC67" s="72"/>
      <c r="AD67" s="14">
        <v>283.14999999999998</v>
      </c>
      <c r="AE67" s="77">
        <v>0.28999999999999998</v>
      </c>
      <c r="AF67" s="75">
        <v>33.870240000000003</v>
      </c>
      <c r="AG67" s="60">
        <v>25.387802000000001</v>
      </c>
      <c r="AI67" s="5"/>
      <c r="AJ67" s="67"/>
      <c r="AK67" s="8"/>
      <c r="AL67" s="5"/>
      <c r="AM67" s="67"/>
      <c r="AN67" s="72"/>
      <c r="AO67" s="86">
        <v>0.71</v>
      </c>
      <c r="AP67" s="150">
        <v>1046.3466000000001</v>
      </c>
      <c r="AQ67" s="60">
        <v>47.272277000000003</v>
      </c>
      <c r="AR67" s="86">
        <v>0.71</v>
      </c>
      <c r="AS67" s="150">
        <v>2242.8294999999998</v>
      </c>
      <c r="AT67" s="61">
        <v>321.60871999999995</v>
      </c>
      <c r="AU67" s="86">
        <v>0.71</v>
      </c>
      <c r="AV67" s="150">
        <v>3578.8697999999999</v>
      </c>
      <c r="AW67" s="61">
        <v>975.73974999999996</v>
      </c>
      <c r="BA67" s="88">
        <v>0.42</v>
      </c>
      <c r="BB67" s="61">
        <v>830.11739999999998</v>
      </c>
    </row>
    <row r="68" spans="17:54">
      <c r="Q68" s="53">
        <v>260.47500000000002</v>
      </c>
      <c r="R68" s="54">
        <f t="shared" si="0"/>
        <v>3.83914003263269E-3</v>
      </c>
      <c r="S68" s="56">
        <v>12790.3107493692</v>
      </c>
      <c r="T68" s="53">
        <v>309.33333333333297</v>
      </c>
      <c r="U68" s="54">
        <f t="shared" si="1"/>
        <v>3.232758620689659E-3</v>
      </c>
      <c r="V68" s="38">
        <v>36167.72</v>
      </c>
      <c r="W68" s="53">
        <v>259</v>
      </c>
      <c r="X68" s="54">
        <f t="shared" si="2"/>
        <v>3.8610038610038611E-3</v>
      </c>
      <c r="Y68" s="62">
        <v>2499.9749999999999</v>
      </c>
      <c r="AA68" s="5"/>
      <c r="AB68" s="67"/>
      <c r="AC68" s="72"/>
      <c r="AD68" s="14">
        <v>283.14999999999998</v>
      </c>
      <c r="AE68" s="77">
        <v>0.29499999999999998</v>
      </c>
      <c r="AF68" s="75">
        <v>33.757330000000003</v>
      </c>
      <c r="AG68" s="60">
        <v>25.169156999999998</v>
      </c>
      <c r="AI68" s="5"/>
      <c r="AJ68" s="67"/>
      <c r="AK68" s="8"/>
      <c r="AL68" s="5"/>
      <c r="AM68" s="67"/>
      <c r="AN68" s="72"/>
      <c r="AO68" s="86">
        <v>0.70500000000000007</v>
      </c>
      <c r="AP68" s="150">
        <v>1061.3420000000001</v>
      </c>
      <c r="AQ68" s="60">
        <v>47.608402000000005</v>
      </c>
      <c r="AR68" s="86">
        <v>0.70500000000000007</v>
      </c>
      <c r="AS68" s="150">
        <v>2275.0757999999996</v>
      </c>
      <c r="AT68" s="61">
        <v>323.94625000000002</v>
      </c>
      <c r="AU68" s="86">
        <v>0.70500000000000007</v>
      </c>
      <c r="AV68" s="150">
        <v>3627.335</v>
      </c>
      <c r="AW68" s="61">
        <v>983.18640000000005</v>
      </c>
      <c r="BA68" s="88">
        <v>0.41</v>
      </c>
      <c r="BB68" s="61">
        <v>829.99900000000002</v>
      </c>
    </row>
    <row r="69" spans="17:54">
      <c r="Q69" s="53">
        <v>261.5</v>
      </c>
      <c r="R69" s="54">
        <f t="shared" si="0"/>
        <v>3.8240917782026767E-3</v>
      </c>
      <c r="S69" s="56">
        <v>13547.344747196599</v>
      </c>
      <c r="T69" s="53">
        <v>310</v>
      </c>
      <c r="U69" s="54">
        <f t="shared" si="1"/>
        <v>3.2258064516129032E-3</v>
      </c>
      <c r="V69" s="38">
        <v>37199.730000000003</v>
      </c>
      <c r="W69" s="53">
        <v>260</v>
      </c>
      <c r="X69" s="54">
        <f t="shared" si="2"/>
        <v>3.8461538461538464E-3</v>
      </c>
      <c r="Y69" s="62">
        <v>2670.4250000000002</v>
      </c>
      <c r="AA69" s="5"/>
      <c r="AB69" s="67"/>
      <c r="AC69" s="72"/>
      <c r="AD69" s="14">
        <v>283.14999999999998</v>
      </c>
      <c r="AE69" s="77">
        <v>0.3</v>
      </c>
      <c r="AF69" s="75">
        <v>33.644398000000002</v>
      </c>
      <c r="AG69" s="60">
        <v>24.952809999999999</v>
      </c>
      <c r="AI69" s="5"/>
      <c r="AJ69" s="67"/>
      <c r="AK69" s="8"/>
      <c r="AL69" s="5"/>
      <c r="AM69" s="67"/>
      <c r="AN69" s="72"/>
      <c r="AO69" s="86">
        <v>0.7</v>
      </c>
      <c r="AP69" s="150">
        <v>1076.2441999999999</v>
      </c>
      <c r="AQ69" s="60">
        <v>47.949330000000003</v>
      </c>
      <c r="AR69" s="86">
        <v>0.7</v>
      </c>
      <c r="AS69" s="150">
        <v>2307.2215000000001</v>
      </c>
      <c r="AT69" s="61">
        <v>326.3177</v>
      </c>
      <c r="AU69" s="86">
        <v>0.7</v>
      </c>
      <c r="AV69" s="150">
        <v>3675.7357999999999</v>
      </c>
      <c r="AW69" s="61">
        <v>990.74580000000003</v>
      </c>
      <c r="BA69" s="88">
        <v>0.4</v>
      </c>
      <c r="BB69" s="61">
        <v>829.19039999999995</v>
      </c>
    </row>
    <row r="70" spans="17:54">
      <c r="Q70" s="53">
        <v>262.52499999999998</v>
      </c>
      <c r="R70" s="54">
        <f t="shared" si="0"/>
        <v>3.8091610322826402E-3</v>
      </c>
      <c r="S70" s="56">
        <v>14341.195322187299</v>
      </c>
      <c r="T70" s="53">
        <v>310.666666666666</v>
      </c>
      <c r="U70" s="54">
        <f t="shared" si="1"/>
        <v>3.2188841201716807E-3</v>
      </c>
      <c r="V70" s="38">
        <v>38255.32</v>
      </c>
      <c r="W70" s="53">
        <v>261</v>
      </c>
      <c r="X70" s="54">
        <f t="shared" si="2"/>
        <v>3.8314176245210726E-3</v>
      </c>
      <c r="Y70" s="62">
        <v>2850.6970000000001</v>
      </c>
      <c r="AA70" s="5"/>
      <c r="AB70" s="67"/>
      <c r="AC70" s="72"/>
      <c r="AD70" s="14">
        <v>283.14999999999998</v>
      </c>
      <c r="AE70" s="77">
        <v>0.30499999999999999</v>
      </c>
      <c r="AF70" s="75">
        <v>33.531419999999997</v>
      </c>
      <c r="AG70" s="60">
        <v>24.738776999999999</v>
      </c>
      <c r="AI70" s="5"/>
      <c r="AJ70" s="67"/>
      <c r="AK70" s="8"/>
      <c r="AL70" s="5"/>
      <c r="AM70" s="67"/>
      <c r="AN70" s="72"/>
      <c r="AO70" s="86">
        <v>0.69500000000000006</v>
      </c>
      <c r="AP70" s="150">
        <v>1091.0530000000001</v>
      </c>
      <c r="AQ70" s="60">
        <v>48.295156000000006</v>
      </c>
      <c r="AR70" s="86">
        <v>0.69500000000000006</v>
      </c>
      <c r="AS70" s="150">
        <v>2339.2667999999999</v>
      </c>
      <c r="AT70" s="61">
        <v>328.72378000000003</v>
      </c>
      <c r="AU70" s="86">
        <v>0.69500000000000006</v>
      </c>
      <c r="AV70" s="150">
        <v>3724.0712000000003</v>
      </c>
      <c r="AW70" s="61">
        <v>998.42049999999995</v>
      </c>
      <c r="BA70" s="88">
        <v>0.39</v>
      </c>
      <c r="BB70" s="61">
        <v>827.678</v>
      </c>
    </row>
    <row r="71" spans="17:54" ht="15" thickBot="1">
      <c r="Q71" s="53">
        <v>263.55</v>
      </c>
      <c r="R71" s="54">
        <f t="shared" si="0"/>
        <v>3.7943464238284954E-3</v>
      </c>
      <c r="S71" s="56">
        <v>15173.2203791058</v>
      </c>
      <c r="T71" s="53">
        <v>311.33333333333297</v>
      </c>
      <c r="U71" s="54">
        <f t="shared" si="1"/>
        <v>3.2119914346895114E-3</v>
      </c>
      <c r="V71" s="38">
        <v>39334.9</v>
      </c>
      <c r="W71" s="53">
        <v>262</v>
      </c>
      <c r="X71" s="54">
        <f t="shared" si="2"/>
        <v>3.8167938931297708E-3</v>
      </c>
      <c r="Y71" s="62">
        <v>3041.2420000000002</v>
      </c>
      <c r="AA71" s="23"/>
      <c r="AB71" s="69"/>
      <c r="AC71" s="73"/>
      <c r="AD71" s="14">
        <v>283.14999999999998</v>
      </c>
      <c r="AE71" s="77">
        <v>0.31</v>
      </c>
      <c r="AF71" s="75">
        <v>33.418407000000002</v>
      </c>
      <c r="AG71" s="60">
        <v>24.527066999999999</v>
      </c>
      <c r="AI71" s="5"/>
      <c r="AJ71" s="67"/>
      <c r="AK71" s="8"/>
      <c r="AL71" s="5"/>
      <c r="AM71" s="67"/>
      <c r="AN71" s="72"/>
      <c r="AO71" s="86">
        <v>0.69</v>
      </c>
      <c r="AP71" s="150">
        <v>1105.7678999999998</v>
      </c>
      <c r="AQ71" s="60">
        <v>48.646000000000001</v>
      </c>
      <c r="AR71" s="86">
        <v>0.69</v>
      </c>
      <c r="AS71" s="150">
        <v>2371.2109999999998</v>
      </c>
      <c r="AT71" s="61">
        <v>331.1653</v>
      </c>
      <c r="AU71" s="86">
        <v>0.69</v>
      </c>
      <c r="AV71" s="150">
        <v>3772.3415</v>
      </c>
      <c r="AW71" s="62">
        <v>1006.21325</v>
      </c>
      <c r="BA71" s="88">
        <v>0.38</v>
      </c>
      <c r="BB71" s="61">
        <v>825.44740000000002</v>
      </c>
    </row>
    <row r="72" spans="17:54">
      <c r="Q72" s="53">
        <v>264.57499999999999</v>
      </c>
      <c r="R72" s="54">
        <f t="shared" si="0"/>
        <v>3.7796466030426156E-3</v>
      </c>
      <c r="S72" s="56">
        <v>16044.8087326065</v>
      </c>
      <c r="T72" s="53">
        <v>312</v>
      </c>
      <c r="U72" s="54">
        <f t="shared" si="1"/>
        <v>3.205128205128205E-3</v>
      </c>
      <c r="V72" s="38">
        <v>40438.839999999997</v>
      </c>
      <c r="W72" s="53">
        <v>263</v>
      </c>
      <c r="X72" s="54">
        <f t="shared" si="2"/>
        <v>3.8022813688212928E-3</v>
      </c>
      <c r="Y72" s="62">
        <v>3242.527</v>
      </c>
      <c r="AD72" s="14">
        <v>283.14999999999998</v>
      </c>
      <c r="AE72" s="77">
        <v>0.315</v>
      </c>
      <c r="AF72" s="75">
        <v>33.305343999999998</v>
      </c>
      <c r="AG72" s="60">
        <v>24.317684</v>
      </c>
      <c r="AI72" s="5"/>
      <c r="AJ72" s="67"/>
      <c r="AK72" s="8"/>
      <c r="AL72" s="5"/>
      <c r="AM72" s="67"/>
      <c r="AN72" s="72"/>
      <c r="AO72" s="86">
        <v>0.68500000000000005</v>
      </c>
      <c r="AP72" s="150">
        <v>1120.3886</v>
      </c>
      <c r="AQ72" s="60">
        <v>49.001964999999998</v>
      </c>
      <c r="AR72" s="86">
        <v>0.68500000000000005</v>
      </c>
      <c r="AS72" s="150">
        <v>2403.0532000000003</v>
      </c>
      <c r="AT72" s="61">
        <v>333.64303000000001</v>
      </c>
      <c r="AU72" s="86">
        <v>0.68500000000000005</v>
      </c>
      <c r="AV72" s="150">
        <v>3820.5459999999998</v>
      </c>
      <c r="AW72" s="62">
        <v>1014.1268</v>
      </c>
      <c r="BA72" s="88">
        <v>0.37</v>
      </c>
      <c r="BB72" s="61">
        <v>822.48419999999999</v>
      </c>
    </row>
    <row r="73" spans="17:54">
      <c r="Q73" s="53">
        <v>265.60000000000002</v>
      </c>
      <c r="R73" s="54">
        <f t="shared" si="0"/>
        <v>3.765060240963855E-3</v>
      </c>
      <c r="S73" s="56">
        <v>16957.3801548177</v>
      </c>
      <c r="T73" s="53">
        <v>312.666666666666</v>
      </c>
      <c r="U73" s="54">
        <f t="shared" si="1"/>
        <v>3.1982942430703694E-3</v>
      </c>
      <c r="V73" s="38">
        <v>41567.54</v>
      </c>
      <c r="W73" s="53">
        <v>264</v>
      </c>
      <c r="X73" s="54">
        <f t="shared" si="2"/>
        <v>3.787878787878788E-3</v>
      </c>
      <c r="Y73" s="62">
        <v>3455.0340000000001</v>
      </c>
      <c r="AD73" s="14">
        <v>283.14999999999998</v>
      </c>
      <c r="AE73" s="77">
        <v>0.32</v>
      </c>
      <c r="AF73" s="75">
        <v>33.192225999999998</v>
      </c>
      <c r="AG73" s="60">
        <v>24.110636</v>
      </c>
      <c r="AI73" s="5"/>
      <c r="AJ73" s="67"/>
      <c r="AK73" s="8"/>
      <c r="AL73" s="5"/>
      <c r="AM73" s="67"/>
      <c r="AN73" s="72"/>
      <c r="AO73" s="86">
        <v>0.67999999999999994</v>
      </c>
      <c r="AP73" s="150">
        <v>1134.9149</v>
      </c>
      <c r="AQ73" s="60">
        <v>49.363163999999998</v>
      </c>
      <c r="AR73" s="86">
        <v>0.67999999999999994</v>
      </c>
      <c r="AS73" s="150">
        <v>2434.7935000000002</v>
      </c>
      <c r="AT73" s="61">
        <v>336.15778</v>
      </c>
      <c r="AU73" s="86">
        <v>0.67999999999999994</v>
      </c>
      <c r="AV73" s="150">
        <v>3868.6842000000001</v>
      </c>
      <c r="AW73" s="62">
        <v>1022.1639399999999</v>
      </c>
      <c r="BA73" s="88">
        <v>0.36</v>
      </c>
      <c r="BB73" s="61">
        <v>818.77319999999997</v>
      </c>
    </row>
    <row r="74" spans="17:54">
      <c r="Q74" s="53">
        <v>266.625</v>
      </c>
      <c r="R74" s="54">
        <f t="shared" ref="R74:R137" si="3">1/Q74</f>
        <v>3.7505860290670419E-3</v>
      </c>
      <c r="S74" s="56">
        <v>17912.385405830199</v>
      </c>
      <c r="T74" s="53">
        <v>313.33333333333297</v>
      </c>
      <c r="U74" s="54">
        <f t="shared" ref="U74:U137" si="4">1/T74</f>
        <v>3.1914893617021314E-3</v>
      </c>
      <c r="V74" s="38">
        <v>42721.39</v>
      </c>
      <c r="W74" s="53">
        <v>265</v>
      </c>
      <c r="X74" s="54">
        <f t="shared" ref="X74:X137" si="5">1/W74</f>
        <v>3.7735849056603774E-3</v>
      </c>
      <c r="Y74" s="62">
        <v>3679.26</v>
      </c>
      <c r="AD74" s="14">
        <v>283.14999999999998</v>
      </c>
      <c r="AE74" s="77">
        <v>0.32500000000000001</v>
      </c>
      <c r="AF74" s="75">
        <v>33.079050000000002</v>
      </c>
      <c r="AG74" s="60">
        <v>23.905923999999999</v>
      </c>
      <c r="AI74" s="5"/>
      <c r="AJ74" s="67"/>
      <c r="AK74" s="8"/>
      <c r="AL74" s="5"/>
      <c r="AM74" s="67"/>
      <c r="AN74" s="72"/>
      <c r="AO74" s="86">
        <v>0.67500000000000004</v>
      </c>
      <c r="AP74" s="150">
        <v>1149.3463999999999</v>
      </c>
      <c r="AQ74" s="60">
        <v>49.729714999999999</v>
      </c>
      <c r="AR74" s="86">
        <v>0.67500000000000004</v>
      </c>
      <c r="AS74" s="150">
        <v>2466.4307999999996</v>
      </c>
      <c r="AT74" s="61">
        <v>338.71040000000005</v>
      </c>
      <c r="AU74" s="86">
        <v>0.67500000000000004</v>
      </c>
      <c r="AV74" s="150">
        <v>3916.7565</v>
      </c>
      <c r="AW74" s="62">
        <v>1030.3276000000001</v>
      </c>
      <c r="BA74" s="88">
        <v>0.35</v>
      </c>
      <c r="BB74" s="61">
        <v>814.29899999999998</v>
      </c>
    </row>
    <row r="75" spans="17:54">
      <c r="Q75" s="53">
        <v>267.64999999999998</v>
      </c>
      <c r="R75" s="54">
        <f t="shared" si="3"/>
        <v>3.7362226788716611E-3</v>
      </c>
      <c r="S75" s="56">
        <v>18911.3062471431</v>
      </c>
      <c r="T75" s="53">
        <v>314</v>
      </c>
      <c r="U75" s="54">
        <f t="shared" si="4"/>
        <v>3.1847133757961785E-3</v>
      </c>
      <c r="V75" s="38">
        <v>43900.81</v>
      </c>
      <c r="W75" s="53">
        <v>266</v>
      </c>
      <c r="X75" s="54">
        <f t="shared" si="5"/>
        <v>3.7593984962406013E-3</v>
      </c>
      <c r="Y75" s="62">
        <v>3915.7179999999998</v>
      </c>
      <c r="AD75" s="14">
        <v>283.14999999999998</v>
      </c>
      <c r="AE75" s="77">
        <v>0.33</v>
      </c>
      <c r="AF75" s="75">
        <v>32.965805000000003</v>
      </c>
      <c r="AG75" s="60">
        <v>23.703548000000001</v>
      </c>
      <c r="AI75" s="5"/>
      <c r="AJ75" s="67"/>
      <c r="AK75" s="8"/>
      <c r="AL75" s="5"/>
      <c r="AM75" s="67"/>
      <c r="AN75" s="72"/>
      <c r="AO75" s="86">
        <v>0.66999999999999993</v>
      </c>
      <c r="AP75" s="150">
        <v>1163.6829</v>
      </c>
      <c r="AQ75" s="60">
        <v>50.101733999999993</v>
      </c>
      <c r="AR75" s="86">
        <v>0.66999999999999993</v>
      </c>
      <c r="AS75" s="150">
        <v>2497.9652000000001</v>
      </c>
      <c r="AT75" s="61">
        <v>341.30171999999999</v>
      </c>
      <c r="AU75" s="86">
        <v>0.66999999999999993</v>
      </c>
      <c r="AV75" s="150">
        <v>3964.7620000000002</v>
      </c>
      <c r="AW75" s="62">
        <v>1038.62094</v>
      </c>
      <c r="BA75" s="88">
        <v>0.34</v>
      </c>
      <c r="BB75" s="61">
        <v>809.04560000000004</v>
      </c>
    </row>
    <row r="76" spans="17:54">
      <c r="Q76" s="53">
        <v>268.67500000000001</v>
      </c>
      <c r="R76" s="54">
        <f t="shared" si="3"/>
        <v>3.7219689215595049E-3</v>
      </c>
      <c r="S76" s="56">
        <v>19955.655438106201</v>
      </c>
      <c r="T76" s="53">
        <v>314.666666666666</v>
      </c>
      <c r="U76" s="54">
        <f t="shared" si="4"/>
        <v>3.177966101694922E-3</v>
      </c>
      <c r="V76" s="38">
        <v>45106.19</v>
      </c>
      <c r="W76" s="53">
        <v>267</v>
      </c>
      <c r="X76" s="54">
        <f t="shared" si="5"/>
        <v>3.7453183520599251E-3</v>
      </c>
      <c r="Y76" s="62">
        <v>4164.9350000000004</v>
      </c>
      <c r="AD76" s="14">
        <v>283.14999999999998</v>
      </c>
      <c r="AE76" s="77">
        <v>0.33500000000000002</v>
      </c>
      <c r="AF76" s="75">
        <v>32.852490000000003</v>
      </c>
      <c r="AG76" s="60">
        <v>23.503506000000002</v>
      </c>
      <c r="AI76" s="5"/>
      <c r="AJ76" s="67"/>
      <c r="AK76" s="8"/>
      <c r="AL76" s="5"/>
      <c r="AM76" s="67"/>
      <c r="AN76" s="72"/>
      <c r="AO76" s="86">
        <v>0.66500000000000004</v>
      </c>
      <c r="AP76" s="150">
        <v>1177.9241000000002</v>
      </c>
      <c r="AQ76" s="60">
        <v>50.479349999999997</v>
      </c>
      <c r="AR76" s="86">
        <v>0.66500000000000004</v>
      </c>
      <c r="AS76" s="150">
        <v>2529.3960000000002</v>
      </c>
      <c r="AT76" s="61">
        <v>343.93266</v>
      </c>
      <c r="AU76" s="86">
        <v>0.66500000000000004</v>
      </c>
      <c r="AV76" s="150">
        <v>4012.7004999999999</v>
      </c>
      <c r="AW76" s="62">
        <v>1047.0469399999999</v>
      </c>
      <c r="BA76" s="88">
        <v>0.33</v>
      </c>
      <c r="BB76" s="61">
        <v>802.99639999999999</v>
      </c>
    </row>
    <row r="77" spans="17:54">
      <c r="Q77" s="53">
        <v>269.7</v>
      </c>
      <c r="R77" s="54">
        <f t="shared" si="3"/>
        <v>3.7078235076010383E-3</v>
      </c>
      <c r="S77" s="56">
        <v>21046.9767157391</v>
      </c>
      <c r="T77" s="53">
        <v>315.33333333333297</v>
      </c>
      <c r="U77" s="54">
        <f t="shared" si="4"/>
        <v>3.1712473572938727E-3</v>
      </c>
      <c r="V77" s="38">
        <v>46337.94</v>
      </c>
      <c r="W77" s="53">
        <v>268</v>
      </c>
      <c r="X77" s="54">
        <f t="shared" si="5"/>
        <v>3.7313432835820895E-3</v>
      </c>
      <c r="Y77" s="62">
        <v>4427.4549999999999</v>
      </c>
      <c r="AD77" s="14">
        <v>283.14999999999998</v>
      </c>
      <c r="AE77" s="77">
        <v>0.34</v>
      </c>
      <c r="AF77" s="75">
        <v>32.739094000000001</v>
      </c>
      <c r="AG77" s="60">
        <v>23.305792</v>
      </c>
      <c r="AI77" s="5"/>
      <c r="AJ77" s="67"/>
      <c r="AK77" s="8"/>
      <c r="AL77" s="5"/>
      <c r="AM77" s="67"/>
      <c r="AN77" s="72"/>
      <c r="AO77" s="86">
        <v>0.65999999999999992</v>
      </c>
      <c r="AP77" s="150">
        <v>1192.0699</v>
      </c>
      <c r="AQ77" s="60">
        <v>50.862687999999999</v>
      </c>
      <c r="AR77" s="86">
        <v>0.65999999999999992</v>
      </c>
      <c r="AS77" s="150">
        <v>2560.723</v>
      </c>
      <c r="AT77" s="61">
        <v>346.60412000000002</v>
      </c>
      <c r="AU77" s="86">
        <v>0.65999999999999992</v>
      </c>
      <c r="AV77" s="150">
        <v>4060.5722000000001</v>
      </c>
      <c r="AW77" s="62">
        <v>1055.6088999999999</v>
      </c>
      <c r="BA77" s="88">
        <v>0.32</v>
      </c>
      <c r="BB77" s="61">
        <v>796.1345</v>
      </c>
    </row>
    <row r="78" spans="17:54">
      <c r="Q78" s="53">
        <v>270.72500000000002</v>
      </c>
      <c r="R78" s="54">
        <f t="shared" si="3"/>
        <v>3.693785206390248E-3</v>
      </c>
      <c r="S78" s="56">
        <v>22186.844757934199</v>
      </c>
      <c r="T78" s="53">
        <v>316</v>
      </c>
      <c r="U78" s="54">
        <f t="shared" si="4"/>
        <v>3.1645569620253164E-3</v>
      </c>
      <c r="V78" s="38">
        <v>47596.46</v>
      </c>
      <c r="W78" s="53">
        <v>269</v>
      </c>
      <c r="X78" s="54">
        <f t="shared" si="5"/>
        <v>3.7174721189591076E-3</v>
      </c>
      <c r="Y78" s="62">
        <v>4703.8379999999997</v>
      </c>
      <c r="AD78" s="14">
        <v>283.14999999999998</v>
      </c>
      <c r="AE78" s="77">
        <v>0.34499999999999997</v>
      </c>
      <c r="AF78" s="75">
        <v>32.625618000000003</v>
      </c>
      <c r="AG78" s="60">
        <v>23.110405</v>
      </c>
      <c r="AI78" s="5"/>
      <c r="AJ78" s="67"/>
      <c r="AK78" s="8"/>
      <c r="AL78" s="5"/>
      <c r="AM78" s="67"/>
      <c r="AN78" s="72"/>
      <c r="AO78" s="86">
        <v>0.65500000000000003</v>
      </c>
      <c r="AP78" s="150">
        <v>1206.1199999999999</v>
      </c>
      <c r="AQ78" s="60">
        <v>51.25188</v>
      </c>
      <c r="AR78" s="86">
        <v>0.65500000000000003</v>
      </c>
      <c r="AS78" s="150">
        <v>2591.9458</v>
      </c>
      <c r="AT78" s="61">
        <v>349.31705999999997</v>
      </c>
      <c r="AU78" s="86">
        <v>0.65500000000000003</v>
      </c>
      <c r="AV78" s="150">
        <v>4108.3768</v>
      </c>
      <c r="AW78" s="62">
        <v>1064.3101000000001</v>
      </c>
      <c r="BA78" s="88">
        <v>0.31</v>
      </c>
      <c r="BB78" s="61">
        <v>788.44230000000005</v>
      </c>
    </row>
    <row r="79" spans="17:54">
      <c r="Q79" s="53">
        <v>271.75</v>
      </c>
      <c r="R79" s="54">
        <f t="shared" si="3"/>
        <v>3.6798528058877645E-3</v>
      </c>
      <c r="S79" s="56">
        <v>23376.865130426799</v>
      </c>
      <c r="T79" s="53">
        <v>316.666666666666</v>
      </c>
      <c r="U79" s="54">
        <f t="shared" si="4"/>
        <v>3.1578947368421117E-3</v>
      </c>
      <c r="V79" s="38">
        <v>48882.18</v>
      </c>
      <c r="W79" s="53">
        <v>270</v>
      </c>
      <c r="X79" s="54">
        <f t="shared" si="5"/>
        <v>3.7037037037037038E-3</v>
      </c>
      <c r="Y79" s="62">
        <v>4994.66</v>
      </c>
      <c r="AD79" s="14">
        <v>283.14999999999998</v>
      </c>
      <c r="AE79" s="77">
        <v>0.35</v>
      </c>
      <c r="AF79" s="75">
        <v>32.512050000000002</v>
      </c>
      <c r="AG79" s="60">
        <v>22.917334</v>
      </c>
      <c r="AI79" s="5"/>
      <c r="AJ79" s="67"/>
      <c r="AK79" s="8"/>
      <c r="AL79" s="5"/>
      <c r="AM79" s="67"/>
      <c r="AN79" s="72"/>
      <c r="AO79" s="86">
        <v>0.65</v>
      </c>
      <c r="AP79" s="150">
        <v>1220.0741</v>
      </c>
      <c r="AQ79" s="60">
        <v>51.647059999999996</v>
      </c>
      <c r="AR79" s="86">
        <v>0.65</v>
      </c>
      <c r="AS79" s="150">
        <v>2623.0637999999999</v>
      </c>
      <c r="AT79" s="61">
        <v>352.07244000000003</v>
      </c>
      <c r="AU79" s="86">
        <v>0.65</v>
      </c>
      <c r="AV79" s="150">
        <v>4156.1139999999996</v>
      </c>
      <c r="AW79" s="62">
        <v>1073.1541000000002</v>
      </c>
      <c r="BA79" s="88">
        <v>0.3</v>
      </c>
      <c r="BB79" s="61">
        <v>779.90150000000006</v>
      </c>
    </row>
    <row r="80" spans="17:54">
      <c r="Q80" s="53">
        <v>272.77499999999998</v>
      </c>
      <c r="R80" s="54">
        <f t="shared" si="3"/>
        <v>3.6660251122720192E-3</v>
      </c>
      <c r="S80" s="56">
        <v>24618.674217644901</v>
      </c>
      <c r="T80" s="53">
        <v>317.33333333333297</v>
      </c>
      <c r="U80" s="54">
        <f t="shared" si="4"/>
        <v>3.1512605042016842E-3</v>
      </c>
      <c r="V80" s="38">
        <v>50195.51</v>
      </c>
      <c r="W80" s="53">
        <v>271</v>
      </c>
      <c r="X80" s="54">
        <f t="shared" si="5"/>
        <v>3.6900369003690036E-3</v>
      </c>
      <c r="Y80" s="62">
        <v>5300.5119999999997</v>
      </c>
      <c r="AD80" s="14">
        <v>283.14999999999998</v>
      </c>
      <c r="AE80" s="77">
        <v>0.35499999999999998</v>
      </c>
      <c r="AF80" s="75">
        <v>32.398384</v>
      </c>
      <c r="AG80" s="60">
        <v>22.726569999999999</v>
      </c>
      <c r="AI80" s="5"/>
      <c r="AJ80" s="67"/>
      <c r="AK80" s="8"/>
      <c r="AL80" s="5"/>
      <c r="AM80" s="67"/>
      <c r="AN80" s="72"/>
      <c r="AO80" s="86">
        <v>0.64500000000000002</v>
      </c>
      <c r="AP80" s="150">
        <v>1233.9321</v>
      </c>
      <c r="AQ80" s="60">
        <v>52.048362999999995</v>
      </c>
      <c r="AR80" s="86">
        <v>0.64500000000000002</v>
      </c>
      <c r="AS80" s="150">
        <v>2654.0770000000002</v>
      </c>
      <c r="AT80" s="61">
        <v>354.87128000000001</v>
      </c>
      <c r="AU80" s="86">
        <v>0.64500000000000002</v>
      </c>
      <c r="AV80" s="150">
        <v>4203.7834999999995</v>
      </c>
      <c r="AW80" s="62">
        <v>1082.1443999999999</v>
      </c>
      <c r="BA80" s="88">
        <v>0.28999999999999998</v>
      </c>
      <c r="BB80" s="61">
        <v>770.49329999999998</v>
      </c>
    </row>
    <row r="81" spans="17:54" ht="15" thickBot="1">
      <c r="Q81" s="53">
        <v>273.8</v>
      </c>
      <c r="R81" s="54">
        <f t="shared" si="3"/>
        <v>3.6523009495982466E-3</v>
      </c>
      <c r="S81" s="56">
        <v>25913.9391377746</v>
      </c>
      <c r="T81" s="53">
        <v>318</v>
      </c>
      <c r="U81" s="54">
        <f t="shared" si="4"/>
        <v>3.1446540880503146E-3</v>
      </c>
      <c r="V81" s="38">
        <v>51536.86</v>
      </c>
      <c r="W81" s="53">
        <v>272</v>
      </c>
      <c r="X81" s="54">
        <f t="shared" si="5"/>
        <v>3.6764705882352941E-3</v>
      </c>
      <c r="Y81" s="62">
        <v>5622.0029999999997</v>
      </c>
      <c r="AD81" s="14">
        <v>283.14999999999998</v>
      </c>
      <c r="AE81" s="77">
        <v>0.36</v>
      </c>
      <c r="AF81" s="75">
        <v>32.284615000000002</v>
      </c>
      <c r="AG81" s="60">
        <v>22.538103</v>
      </c>
      <c r="AI81" s="5"/>
      <c r="AJ81" s="67"/>
      <c r="AK81" s="8"/>
      <c r="AL81" s="23"/>
      <c r="AM81" s="133"/>
      <c r="AN81" s="73"/>
      <c r="AO81" s="86">
        <v>0.64</v>
      </c>
      <c r="AP81" s="150">
        <v>1247.694</v>
      </c>
      <c r="AQ81" s="60">
        <v>52.455938000000003</v>
      </c>
      <c r="AR81" s="86">
        <v>0.64</v>
      </c>
      <c r="AS81" s="150">
        <v>2684.9847999999997</v>
      </c>
      <c r="AT81" s="61">
        <v>357.71459999999996</v>
      </c>
      <c r="AU81" s="86">
        <v>0.64</v>
      </c>
      <c r="AV81" s="150">
        <v>4251.3855000000003</v>
      </c>
      <c r="AW81" s="62">
        <v>1091.2846000000002</v>
      </c>
      <c r="BA81" s="88">
        <v>0.28000000000000003</v>
      </c>
      <c r="BB81" s="61">
        <v>760.19830000000002</v>
      </c>
    </row>
    <row r="82" spans="17:54">
      <c r="Q82" s="53">
        <v>274.82499999999999</v>
      </c>
      <c r="R82" s="54">
        <f t="shared" si="3"/>
        <v>3.6386791594651144E-3</v>
      </c>
      <c r="S82" s="56">
        <v>27264.357642326599</v>
      </c>
      <c r="T82" s="53">
        <v>318.666666666666</v>
      </c>
      <c r="U82" s="54">
        <f t="shared" si="4"/>
        <v>3.1380753138075378E-3</v>
      </c>
      <c r="V82" s="38">
        <v>52906.66</v>
      </c>
      <c r="W82" s="53">
        <v>273</v>
      </c>
      <c r="X82" s="54">
        <f t="shared" si="5"/>
        <v>3.663003663003663E-3</v>
      </c>
      <c r="Y82" s="62">
        <v>5959.759</v>
      </c>
      <c r="AD82" s="14">
        <v>283.14999999999998</v>
      </c>
      <c r="AE82" s="77">
        <v>0.36499999999999999</v>
      </c>
      <c r="AF82" s="75">
        <v>32.170729999999999</v>
      </c>
      <c r="AG82" s="60">
        <v>22.351921000000001</v>
      </c>
      <c r="AI82" s="5"/>
      <c r="AJ82" s="67"/>
      <c r="AK82" s="8"/>
      <c r="AO82" s="86">
        <v>0.63500000000000001</v>
      </c>
      <c r="AP82" s="150">
        <v>1261.3595</v>
      </c>
      <c r="AQ82" s="60">
        <v>52.869934000000001</v>
      </c>
      <c r="AR82" s="86">
        <v>0.63500000000000001</v>
      </c>
      <c r="AS82" s="150">
        <v>2715.7874999999999</v>
      </c>
      <c r="AT82" s="61">
        <v>360.60343999999998</v>
      </c>
      <c r="AU82" s="86">
        <v>0.63500000000000001</v>
      </c>
      <c r="AV82" s="150">
        <v>4298.92</v>
      </c>
      <c r="AW82" s="62">
        <v>1100.5786000000001</v>
      </c>
      <c r="BA82" s="88">
        <v>0.27</v>
      </c>
      <c r="BB82" s="61">
        <v>748.99620000000004</v>
      </c>
    </row>
    <row r="83" spans="17:54">
      <c r="Q83" s="53">
        <v>275.85000000000002</v>
      </c>
      <c r="R83" s="54">
        <f t="shared" si="3"/>
        <v>3.6251586006887798E-3</v>
      </c>
      <c r="S83" s="56">
        <v>28671.658000462201</v>
      </c>
      <c r="T83" s="53">
        <v>319.33333333333297</v>
      </c>
      <c r="U83" s="54">
        <f t="shared" si="4"/>
        <v>3.1315240083507343E-3</v>
      </c>
      <c r="V83" s="38">
        <v>54305.34</v>
      </c>
      <c r="W83" s="53">
        <v>274</v>
      </c>
      <c r="X83" s="54">
        <f t="shared" si="5"/>
        <v>3.6496350364963502E-3</v>
      </c>
      <c r="Y83" s="62">
        <v>6314.4210000000003</v>
      </c>
      <c r="AD83" s="14">
        <v>283.14999999999998</v>
      </c>
      <c r="AE83" s="77">
        <v>0.37</v>
      </c>
      <c r="AF83" s="75">
        <v>32.056731999999997</v>
      </c>
      <c r="AG83" s="60">
        <v>22.168009999999999</v>
      </c>
      <c r="AI83" s="5"/>
      <c r="AJ83" s="67"/>
      <c r="AK83" s="8"/>
      <c r="AO83" s="86">
        <v>0.63</v>
      </c>
      <c r="AP83" s="150">
        <v>1274.9284</v>
      </c>
      <c r="AQ83" s="60">
        <v>53.290495999999997</v>
      </c>
      <c r="AR83" s="86">
        <v>0.63</v>
      </c>
      <c r="AS83" s="150">
        <v>2746.4842000000003</v>
      </c>
      <c r="AT83" s="61">
        <v>363.53896999999995</v>
      </c>
      <c r="AU83" s="86">
        <v>0.63</v>
      </c>
      <c r="AV83" s="150">
        <v>4346.3864999999996</v>
      </c>
      <c r="AW83" s="62">
        <v>1110.0303999999999</v>
      </c>
      <c r="BA83" s="88">
        <v>0.26</v>
      </c>
      <c r="BB83" s="61">
        <v>736.86609999999996</v>
      </c>
    </row>
    <row r="84" spans="17:54">
      <c r="Q84" s="53">
        <v>276.875</v>
      </c>
      <c r="R84" s="54">
        <f t="shared" si="3"/>
        <v>3.6117381489841984E-3</v>
      </c>
      <c r="S84" s="56">
        <v>30137.598868472302</v>
      </c>
      <c r="T84" s="53">
        <v>320</v>
      </c>
      <c r="U84" s="54">
        <f t="shared" si="4"/>
        <v>3.1250000000000002E-3</v>
      </c>
      <c r="V84" s="38">
        <v>55733.32</v>
      </c>
      <c r="W84" s="53">
        <v>275</v>
      </c>
      <c r="X84" s="54">
        <f t="shared" si="5"/>
        <v>3.6363636363636364E-3</v>
      </c>
      <c r="Y84" s="62">
        <v>6686.6480000000001</v>
      </c>
      <c r="AD84" s="14">
        <v>283.14999999999998</v>
      </c>
      <c r="AE84" s="77">
        <v>0.375</v>
      </c>
      <c r="AF84" s="75">
        <v>31.942606000000001</v>
      </c>
      <c r="AG84" s="60">
        <v>21.986355</v>
      </c>
      <c r="AI84" s="5"/>
      <c r="AJ84" s="67"/>
      <c r="AK84" s="8"/>
      <c r="AO84" s="86">
        <v>0.625</v>
      </c>
      <c r="AP84" s="150">
        <v>1288.4008000000001</v>
      </c>
      <c r="AQ84" s="60">
        <v>53.717793</v>
      </c>
      <c r="AR84" s="86">
        <v>0.625</v>
      </c>
      <c r="AS84" s="150">
        <v>2777.0754999999999</v>
      </c>
      <c r="AT84" s="61">
        <v>366.52228000000002</v>
      </c>
      <c r="AU84" s="86">
        <v>0.625</v>
      </c>
      <c r="AV84" s="150">
        <v>4393.7855</v>
      </c>
      <c r="AW84" s="62">
        <v>1119.644</v>
      </c>
      <c r="BA84" s="88">
        <v>0.25</v>
      </c>
      <c r="BB84" s="61">
        <v>723.78620000000001</v>
      </c>
    </row>
    <row r="85" spans="17:54">
      <c r="Q85" s="53">
        <v>277.89999999999998</v>
      </c>
      <c r="R85" s="54">
        <f t="shared" si="3"/>
        <v>3.5984166966534729E-3</v>
      </c>
      <c r="S85" s="56">
        <v>31663.969144601499</v>
      </c>
      <c r="T85" s="53">
        <v>320.666666666666</v>
      </c>
      <c r="U85" s="54">
        <f t="shared" si="4"/>
        <v>3.1185031185031247E-3</v>
      </c>
      <c r="V85" s="38">
        <v>57191.040000000001</v>
      </c>
      <c r="W85" s="53">
        <v>276</v>
      </c>
      <c r="X85" s="54">
        <f t="shared" si="5"/>
        <v>3.6231884057971015E-3</v>
      </c>
      <c r="Y85" s="62">
        <v>7077.116</v>
      </c>
      <c r="AD85" s="14">
        <v>283.14999999999998</v>
      </c>
      <c r="AE85" s="77">
        <v>0.38</v>
      </c>
      <c r="AF85" s="75">
        <v>31.828347999999998</v>
      </c>
      <c r="AG85" s="60">
        <v>21.806940000000001</v>
      </c>
      <c r="AI85" s="5"/>
      <c r="AJ85" s="67"/>
      <c r="AK85" s="8"/>
      <c r="AO85" s="86">
        <v>0.62</v>
      </c>
      <c r="AP85" s="150">
        <v>1301.7764</v>
      </c>
      <c r="AQ85" s="60">
        <v>54.151980000000002</v>
      </c>
      <c r="AR85" s="86">
        <v>0.62</v>
      </c>
      <c r="AS85" s="150">
        <v>2807.5605</v>
      </c>
      <c r="AT85" s="61">
        <v>369.55455999999998</v>
      </c>
      <c r="AU85" s="86">
        <v>0.62</v>
      </c>
      <c r="AV85" s="150">
        <v>4441.1165000000001</v>
      </c>
      <c r="AW85" s="62">
        <v>1129.4235000000001</v>
      </c>
      <c r="BA85" s="88">
        <v>0.24</v>
      </c>
      <c r="BB85" s="61">
        <v>709.73389999999995</v>
      </c>
    </row>
    <row r="86" spans="17:54">
      <c r="Q86" s="53">
        <v>278.92500000000001</v>
      </c>
      <c r="R86" s="54">
        <f t="shared" si="3"/>
        <v>3.5851931522810792E-3</v>
      </c>
      <c r="S86" s="56">
        <v>33252.587809787801</v>
      </c>
      <c r="T86" s="53">
        <v>321.33333333333297</v>
      </c>
      <c r="U86" s="54">
        <f t="shared" si="4"/>
        <v>3.1120331950207506E-3</v>
      </c>
      <c r="V86" s="38">
        <v>58678.92</v>
      </c>
      <c r="W86" s="53">
        <v>277</v>
      </c>
      <c r="X86" s="54">
        <f t="shared" si="5"/>
        <v>3.6101083032490976E-3</v>
      </c>
      <c r="Y86" s="62">
        <v>7486.518</v>
      </c>
      <c r="AD86" s="14">
        <v>283.14999999999998</v>
      </c>
      <c r="AE86" s="77">
        <v>0.38500000000000001</v>
      </c>
      <c r="AF86" s="75">
        <v>31.713950000000001</v>
      </c>
      <c r="AG86" s="60">
        <v>21.629746999999998</v>
      </c>
      <c r="AI86" s="5"/>
      <c r="AJ86" s="67"/>
      <c r="AK86" s="8"/>
      <c r="AO86" s="86">
        <v>0.61499999999999999</v>
      </c>
      <c r="AP86" s="150">
        <v>1315.0552</v>
      </c>
      <c r="AQ86" s="60">
        <v>54.593226999999999</v>
      </c>
      <c r="AR86" s="86">
        <v>0.61499999999999999</v>
      </c>
      <c r="AS86" s="150">
        <v>2837.9397999999997</v>
      </c>
      <c r="AT86" s="61">
        <v>372.63706000000002</v>
      </c>
      <c r="AU86" s="86">
        <v>0.61499999999999999</v>
      </c>
      <c r="AV86" s="150">
        <v>4488.38</v>
      </c>
      <c r="AW86" s="62">
        <v>1139.3734999999999</v>
      </c>
      <c r="BA86" s="88">
        <v>0.23</v>
      </c>
      <c r="BB86" s="61">
        <v>694.68579999999997</v>
      </c>
    </row>
    <row r="87" spans="17:54">
      <c r="Q87" s="53">
        <v>279.95</v>
      </c>
      <c r="R87" s="54">
        <f t="shared" si="3"/>
        <v>3.572066440435792E-3</v>
      </c>
      <c r="S87" s="56">
        <v>34905.303754471803</v>
      </c>
      <c r="T87" s="53">
        <v>322</v>
      </c>
      <c r="U87" s="54">
        <f t="shared" si="4"/>
        <v>3.105590062111801E-3</v>
      </c>
      <c r="V87" s="38">
        <v>60197.41</v>
      </c>
      <c r="W87" s="53">
        <v>278</v>
      </c>
      <c r="X87" s="54">
        <f t="shared" si="5"/>
        <v>3.5971223021582736E-3</v>
      </c>
      <c r="Y87" s="62">
        <v>7915.5649999999996</v>
      </c>
      <c r="AD87" s="14">
        <v>283.14999999999998</v>
      </c>
      <c r="AE87" s="77">
        <v>0.39</v>
      </c>
      <c r="AF87" s="75">
        <v>31.599402999999999</v>
      </c>
      <c r="AG87" s="60">
        <v>21.45476</v>
      </c>
      <c r="AI87" s="5"/>
      <c r="AJ87" s="67"/>
      <c r="AK87" s="8"/>
      <c r="AO87" s="86">
        <v>0.61</v>
      </c>
      <c r="AP87" s="150">
        <v>1328.2372</v>
      </c>
      <c r="AQ87" s="60">
        <v>55.041707000000002</v>
      </c>
      <c r="AR87" s="86">
        <v>0.61</v>
      </c>
      <c r="AS87" s="150">
        <v>2868.2127999999998</v>
      </c>
      <c r="AT87" s="61">
        <v>375.77096999999998</v>
      </c>
      <c r="AU87" s="86">
        <v>0.61</v>
      </c>
      <c r="AV87" s="150">
        <v>4535.5754999999999</v>
      </c>
      <c r="AW87" s="62">
        <v>1149.4983999999999</v>
      </c>
      <c r="BA87" s="88">
        <v>0.22</v>
      </c>
      <c r="BB87" s="61">
        <v>678.61749999999995</v>
      </c>
    </row>
    <row r="88" spans="17:54">
      <c r="Q88" s="53">
        <v>280.97500000000002</v>
      </c>
      <c r="R88" s="54">
        <f t="shared" si="3"/>
        <v>3.559035501379126E-3</v>
      </c>
      <c r="S88" s="56">
        <v>36623.995591967403</v>
      </c>
      <c r="T88" s="53">
        <v>322.666666666666</v>
      </c>
      <c r="U88" s="54">
        <f t="shared" si="4"/>
        <v>3.0991735537190144E-3</v>
      </c>
      <c r="V88" s="38">
        <v>61746.95</v>
      </c>
      <c r="W88" s="53">
        <v>279</v>
      </c>
      <c r="X88" s="54">
        <f t="shared" si="5"/>
        <v>3.5842293906810036E-3</v>
      </c>
      <c r="Y88" s="62">
        <v>8364.9830000000002</v>
      </c>
      <c r="AD88" s="14">
        <v>283.14999999999998</v>
      </c>
      <c r="AE88" s="77">
        <v>0.39500000000000002</v>
      </c>
      <c r="AF88" s="75">
        <v>31.484701000000001</v>
      </c>
      <c r="AG88" s="60">
        <v>21.281956000000001</v>
      </c>
      <c r="AI88" s="5"/>
      <c r="AJ88" s="67"/>
      <c r="AK88" s="8"/>
      <c r="AO88" s="86">
        <v>0.60499999999999998</v>
      </c>
      <c r="AP88" s="150">
        <v>1341.3226000000002</v>
      </c>
      <c r="AQ88" s="60">
        <v>55.497597999999996</v>
      </c>
      <c r="AR88" s="86">
        <v>0.60499999999999998</v>
      </c>
      <c r="AS88" s="150">
        <v>2898.3797999999997</v>
      </c>
      <c r="AT88" s="61">
        <v>378.95765999999998</v>
      </c>
      <c r="AU88" s="86">
        <v>0.60499999999999998</v>
      </c>
      <c r="AV88" s="150">
        <v>4582.7034999999996</v>
      </c>
      <c r="AW88" s="62">
        <v>1159.8028999999999</v>
      </c>
      <c r="BA88" s="88">
        <v>0.21</v>
      </c>
      <c r="BB88" s="61">
        <v>661.50350000000003</v>
      </c>
    </row>
    <row r="89" spans="17:54">
      <c r="Q89" s="53">
        <v>282</v>
      </c>
      <c r="R89" s="54">
        <f t="shared" si="3"/>
        <v>3.5460992907801418E-3</v>
      </c>
      <c r="S89" s="56">
        <v>38410.571458819199</v>
      </c>
      <c r="T89" s="53">
        <v>323.33333333333297</v>
      </c>
      <c r="U89" s="54">
        <f t="shared" si="4"/>
        <v>3.0927835051546425E-3</v>
      </c>
      <c r="V89" s="38">
        <v>63327.98</v>
      </c>
      <c r="W89" s="53">
        <v>280</v>
      </c>
      <c r="X89" s="54">
        <f t="shared" si="5"/>
        <v>3.5714285714285713E-3</v>
      </c>
      <c r="Y89" s="62">
        <v>8835.52</v>
      </c>
      <c r="AD89" s="14">
        <v>283.14999999999998</v>
      </c>
      <c r="AE89" s="77">
        <v>0.4</v>
      </c>
      <c r="AF89" s="75">
        <v>31.369834999999998</v>
      </c>
      <c r="AG89" s="60">
        <v>21.111319000000002</v>
      </c>
      <c r="AI89" s="5"/>
      <c r="AJ89" s="67"/>
      <c r="AK89" s="8"/>
      <c r="AO89" s="86">
        <v>0.6</v>
      </c>
      <c r="AP89" s="150">
        <v>1354.3111000000001</v>
      </c>
      <c r="AQ89" s="60">
        <v>55.961089999999999</v>
      </c>
      <c r="AR89" s="86">
        <v>0.6</v>
      </c>
      <c r="AS89" s="150">
        <v>2928.4405000000002</v>
      </c>
      <c r="AT89" s="61">
        <v>382.19844000000001</v>
      </c>
      <c r="AU89" s="86">
        <v>0.6</v>
      </c>
      <c r="AV89" s="150">
        <v>4629.7640000000001</v>
      </c>
      <c r="AW89" s="62">
        <v>1170.2918</v>
      </c>
      <c r="BA89" s="88">
        <v>0.2</v>
      </c>
      <c r="BB89" s="61">
        <v>643.31730000000005</v>
      </c>
    </row>
    <row r="90" spans="17:54">
      <c r="Q90" s="53">
        <v>283.02499999999998</v>
      </c>
      <c r="R90" s="54">
        <f t="shared" si="3"/>
        <v>3.5332567794364458E-3</v>
      </c>
      <c r="S90" s="56">
        <v>40266.9688023618</v>
      </c>
      <c r="T90" s="53">
        <v>324</v>
      </c>
      <c r="U90" s="54">
        <f t="shared" si="4"/>
        <v>3.0864197530864196E-3</v>
      </c>
      <c r="V90" s="38">
        <v>64940.94</v>
      </c>
      <c r="W90" s="53">
        <v>281</v>
      </c>
      <c r="X90" s="54">
        <f t="shared" si="5"/>
        <v>3.5587188612099642E-3</v>
      </c>
      <c r="Y90" s="62">
        <v>9327.9359999999997</v>
      </c>
      <c r="AD90" s="14">
        <v>283.14999999999998</v>
      </c>
      <c r="AE90" s="77">
        <v>0.40500000000000003</v>
      </c>
      <c r="AF90" s="75">
        <v>31.254797</v>
      </c>
      <c r="AG90" s="60">
        <v>20.942827000000001</v>
      </c>
      <c r="AI90" s="5"/>
      <c r="AJ90" s="67"/>
      <c r="AK90" s="8"/>
      <c r="AO90" s="86">
        <v>0.59499999999999997</v>
      </c>
      <c r="AP90" s="150">
        <v>1367.2028</v>
      </c>
      <c r="AQ90" s="60">
        <v>56.432375</v>
      </c>
      <c r="AR90" s="86">
        <v>0.59499999999999997</v>
      </c>
      <c r="AS90" s="150">
        <v>2958.3955000000001</v>
      </c>
      <c r="AT90" s="61">
        <v>385.49470000000002</v>
      </c>
      <c r="AU90" s="86">
        <v>0.59499999999999997</v>
      </c>
      <c r="AV90" s="150">
        <v>4676.7569999999996</v>
      </c>
      <c r="AW90" s="62">
        <v>1180.9701</v>
      </c>
      <c r="BA90" s="88">
        <v>0.19</v>
      </c>
      <c r="BB90" s="61">
        <v>624.03129999999999</v>
      </c>
    </row>
    <row r="91" spans="17:54">
      <c r="Q91" s="53">
        <v>284.05</v>
      </c>
      <c r="R91" s="54">
        <f t="shared" si="3"/>
        <v>3.5205069530012323E-3</v>
      </c>
      <c r="S91" s="56">
        <v>42195.154156193603</v>
      </c>
      <c r="T91" s="53">
        <v>324.666666666666</v>
      </c>
      <c r="U91" s="54">
        <f t="shared" si="4"/>
        <v>3.0800821355236201E-3</v>
      </c>
      <c r="V91" s="38">
        <v>66586.289999999994</v>
      </c>
      <c r="W91" s="53">
        <v>282</v>
      </c>
      <c r="X91" s="54">
        <f t="shared" si="5"/>
        <v>3.5460992907801418E-3</v>
      </c>
      <c r="Y91" s="62">
        <v>9843.0130000000008</v>
      </c>
      <c r="AD91" s="14">
        <v>283.14999999999998</v>
      </c>
      <c r="AE91" s="77">
        <v>0.41</v>
      </c>
      <c r="AF91" s="75">
        <v>31.139579999999999</v>
      </c>
      <c r="AG91" s="60">
        <v>20.776458999999999</v>
      </c>
      <c r="AI91" s="5"/>
      <c r="AJ91" s="67"/>
      <c r="AK91" s="8"/>
      <c r="AO91" s="86">
        <v>0.59000000000000008</v>
      </c>
      <c r="AP91" s="150">
        <v>1379.9978000000001</v>
      </c>
      <c r="AQ91" s="60">
        <v>56.911645</v>
      </c>
      <c r="AR91" s="86">
        <v>0.59000000000000008</v>
      </c>
      <c r="AS91" s="150">
        <v>2988.2442000000001</v>
      </c>
      <c r="AT91" s="61">
        <v>388.84784000000002</v>
      </c>
      <c r="AU91" s="86">
        <v>0.59000000000000008</v>
      </c>
      <c r="AV91" s="150">
        <v>4723.683</v>
      </c>
      <c r="AW91" s="62">
        <v>1191.8432</v>
      </c>
      <c r="BA91" s="88">
        <v>0.18</v>
      </c>
      <c r="BB91" s="61">
        <v>603.61670000000004</v>
      </c>
    </row>
    <row r="92" spans="17:54">
      <c r="Q92" s="53">
        <v>285.07499999999999</v>
      </c>
      <c r="R92" s="54">
        <f t="shared" si="3"/>
        <v>3.5078488117162151E-3</v>
      </c>
      <c r="S92" s="56">
        <v>44197.122903659998</v>
      </c>
      <c r="T92" s="53">
        <v>325.33333333333297</v>
      </c>
      <c r="U92" s="54">
        <f t="shared" si="4"/>
        <v>3.0737704918032821E-3</v>
      </c>
      <c r="V92" s="38">
        <v>68264.47</v>
      </c>
      <c r="W92" s="53">
        <v>283</v>
      </c>
      <c r="X92" s="54">
        <f t="shared" si="5"/>
        <v>3.5335689045936395E-3</v>
      </c>
      <c r="Y92" s="63">
        <v>10381.549999999999</v>
      </c>
      <c r="AD92" s="14">
        <v>283.14999999999998</v>
      </c>
      <c r="AE92" s="77">
        <v>0.41499999999999998</v>
      </c>
      <c r="AF92" s="75">
        <v>31.024173999999999</v>
      </c>
      <c r="AG92" s="60">
        <v>20.612192</v>
      </c>
      <c r="AI92" s="5"/>
      <c r="AJ92" s="67"/>
      <c r="AK92" s="8"/>
      <c r="AO92" s="86">
        <v>0.58499999999999996</v>
      </c>
      <c r="AP92" s="150">
        <v>1392.6961000000001</v>
      </c>
      <c r="AQ92" s="60">
        <v>57.399105000000006</v>
      </c>
      <c r="AR92" s="86">
        <v>0.58499999999999996</v>
      </c>
      <c r="AS92" s="150">
        <v>3017.9875000000002</v>
      </c>
      <c r="AT92" s="61">
        <v>392.25943999999998</v>
      </c>
      <c r="AU92" s="86">
        <v>0.58499999999999996</v>
      </c>
      <c r="AV92" s="150">
        <v>4770.5420000000004</v>
      </c>
      <c r="AW92" s="62">
        <v>1202.9165</v>
      </c>
      <c r="BA92" s="88">
        <v>0.17</v>
      </c>
      <c r="BB92" s="61">
        <v>582.04309999999998</v>
      </c>
    </row>
    <row r="93" spans="17:54">
      <c r="Q93" s="53">
        <v>286.10000000000002</v>
      </c>
      <c r="R93" s="54">
        <f t="shared" si="3"/>
        <v>3.495281370150297E-3</v>
      </c>
      <c r="S93" s="56">
        <v>46274.899030073197</v>
      </c>
      <c r="T93" s="53">
        <v>326</v>
      </c>
      <c r="U93" s="54">
        <f t="shared" si="4"/>
        <v>3.0674846625766872E-3</v>
      </c>
      <c r="V93" s="38">
        <v>69975.94</v>
      </c>
      <c r="W93" s="53">
        <v>284</v>
      </c>
      <c r="X93" s="54">
        <f t="shared" si="5"/>
        <v>3.5211267605633804E-3</v>
      </c>
      <c r="Y93" s="63">
        <v>10944.36</v>
      </c>
      <c r="AD93" s="14">
        <v>283.14999999999998</v>
      </c>
      <c r="AE93" s="77">
        <v>0.42</v>
      </c>
      <c r="AF93" s="75">
        <v>30.908570000000001</v>
      </c>
      <c r="AG93" s="60">
        <v>20.450002999999999</v>
      </c>
      <c r="AI93" s="5"/>
      <c r="AJ93" s="67"/>
      <c r="AK93" s="8"/>
      <c r="AO93" s="86">
        <v>0.58000000000000007</v>
      </c>
      <c r="AP93" s="150">
        <v>1405.298</v>
      </c>
      <c r="AQ93" s="60">
        <v>57.894973</v>
      </c>
      <c r="AR93" s="86">
        <v>0.58000000000000007</v>
      </c>
      <c r="AS93" s="150">
        <v>3047.625</v>
      </c>
      <c r="AT93" s="61">
        <v>395.73096999999996</v>
      </c>
      <c r="AU93" s="86">
        <v>0.58000000000000007</v>
      </c>
      <c r="AV93" s="150">
        <v>4817.3344999999999</v>
      </c>
      <c r="AW93" s="62">
        <v>1214.1955</v>
      </c>
      <c r="BA93" s="88">
        <v>0.16</v>
      </c>
      <c r="BB93" s="61">
        <v>559.27919999999995</v>
      </c>
    </row>
    <row r="94" spans="17:54">
      <c r="Q94" s="53">
        <v>287.125</v>
      </c>
      <c r="R94" s="54">
        <f t="shared" si="3"/>
        <v>3.4828036569438396E-3</v>
      </c>
      <c r="S94" s="56">
        <v>48430.534863845001</v>
      </c>
      <c r="T94" s="53">
        <v>326.666666666666</v>
      </c>
      <c r="U94" s="54">
        <f t="shared" si="4"/>
        <v>3.0612244897959247E-3</v>
      </c>
      <c r="V94" s="38">
        <v>71721.17</v>
      </c>
      <c r="W94" s="53">
        <v>285</v>
      </c>
      <c r="X94" s="54">
        <f t="shared" si="5"/>
        <v>3.5087719298245615E-3</v>
      </c>
      <c r="Y94" s="63">
        <v>11532.28</v>
      </c>
      <c r="AD94" s="14">
        <v>283.14999999999998</v>
      </c>
      <c r="AE94" s="77">
        <v>0.42499999999999999</v>
      </c>
      <c r="AF94" s="75">
        <v>30.792760000000001</v>
      </c>
      <c r="AG94" s="60">
        <v>20.289871000000002</v>
      </c>
      <c r="AI94" s="5"/>
      <c r="AJ94" s="67"/>
      <c r="AK94" s="8"/>
      <c r="AO94" s="86">
        <v>0.57499999999999996</v>
      </c>
      <c r="AP94" s="150">
        <v>1417.8035</v>
      </c>
      <c r="AQ94" s="60">
        <v>58.399464999999999</v>
      </c>
      <c r="AR94" s="86">
        <v>0.57499999999999996</v>
      </c>
      <c r="AS94" s="150">
        <v>3077.1572000000001</v>
      </c>
      <c r="AT94" s="61">
        <v>399.26403000000005</v>
      </c>
      <c r="AU94" s="86">
        <v>0.57499999999999996</v>
      </c>
      <c r="AV94" s="150">
        <v>4864.0600000000004</v>
      </c>
      <c r="AW94" s="62">
        <v>1225.6859999999999</v>
      </c>
      <c r="BA94" s="88">
        <v>0.15</v>
      </c>
      <c r="BB94" s="61">
        <v>535.29179999999997</v>
      </c>
    </row>
    <row r="95" spans="17:54">
      <c r="Q95" s="53">
        <v>288.14999999999998</v>
      </c>
      <c r="R95" s="54">
        <f t="shared" si="3"/>
        <v>3.4704147145583901E-3</v>
      </c>
      <c r="S95" s="56">
        <v>50666.110807207901</v>
      </c>
      <c r="T95" s="53">
        <v>327.33333333333297</v>
      </c>
      <c r="U95" s="54">
        <f t="shared" si="4"/>
        <v>3.0549898167006144E-3</v>
      </c>
      <c r="V95" s="38">
        <v>73500.600000000006</v>
      </c>
      <c r="W95" s="53">
        <v>286</v>
      </c>
      <c r="X95" s="54">
        <f t="shared" si="5"/>
        <v>3.4965034965034965E-3</v>
      </c>
      <c r="Y95" s="63">
        <v>12146.16</v>
      </c>
      <c r="AD95" s="14">
        <v>283.14999999999998</v>
      </c>
      <c r="AE95" s="77">
        <v>0.43</v>
      </c>
      <c r="AF95" s="75">
        <v>30.676735000000001</v>
      </c>
      <c r="AG95" s="60">
        <v>20.131771000000001</v>
      </c>
      <c r="AI95" s="5"/>
      <c r="AJ95" s="67"/>
      <c r="AK95" s="8"/>
      <c r="AO95" s="86">
        <v>0.57000000000000006</v>
      </c>
      <c r="AP95" s="150">
        <v>1430.2128</v>
      </c>
      <c r="AQ95" s="60">
        <v>58.912804999999999</v>
      </c>
      <c r="AR95" s="86">
        <v>0.57000000000000006</v>
      </c>
      <c r="AS95" s="150">
        <v>3106.5842000000002</v>
      </c>
      <c r="AT95" s="61">
        <v>402.8603</v>
      </c>
      <c r="AU95" s="86">
        <v>0.57000000000000006</v>
      </c>
      <c r="AV95" s="150">
        <v>4910.7195000000002</v>
      </c>
      <c r="AW95" s="62">
        <v>1237.3942</v>
      </c>
      <c r="BA95" s="88">
        <v>0.14000000000000001</v>
      </c>
      <c r="BB95" s="61">
        <v>510.0462</v>
      </c>
    </row>
    <row r="96" spans="17:54">
      <c r="Q96" s="53">
        <v>289.17500000000001</v>
      </c>
      <c r="R96" s="54">
        <f t="shared" si="3"/>
        <v>3.4581135990317279E-3</v>
      </c>
      <c r="S96" s="56">
        <v>52983.735056792997</v>
      </c>
      <c r="T96" s="53">
        <v>328</v>
      </c>
      <c r="U96" s="54">
        <f t="shared" si="4"/>
        <v>3.0487804878048782E-3</v>
      </c>
      <c r="V96" s="38">
        <v>75314.7</v>
      </c>
      <c r="W96" s="53">
        <v>287</v>
      </c>
      <c r="X96" s="54">
        <f t="shared" si="5"/>
        <v>3.4843205574912892E-3</v>
      </c>
      <c r="Y96" s="63">
        <v>12786.87</v>
      </c>
      <c r="AD96" s="14">
        <v>283.14999999999998</v>
      </c>
      <c r="AE96" s="77">
        <v>0.435</v>
      </c>
      <c r="AF96" s="75">
        <v>30.560486000000001</v>
      </c>
      <c r="AG96" s="60">
        <v>19.975681000000002</v>
      </c>
      <c r="AI96" s="5"/>
      <c r="AJ96" s="67"/>
      <c r="AK96" s="8"/>
      <c r="AO96" s="86">
        <v>0.56499999999999995</v>
      </c>
      <c r="AP96" s="150">
        <v>1442.5258999999999</v>
      </c>
      <c r="AQ96" s="60">
        <v>59.435233999999994</v>
      </c>
      <c r="AR96" s="86">
        <v>0.56499999999999995</v>
      </c>
      <c r="AS96" s="150">
        <v>3135.9067999999997</v>
      </c>
      <c r="AT96" s="61">
        <v>406.52146999999997</v>
      </c>
      <c r="AU96" s="86">
        <v>0.56499999999999995</v>
      </c>
      <c r="AV96" s="150">
        <v>4957.3125</v>
      </c>
      <c r="AW96" s="62">
        <v>1249.3263999999999</v>
      </c>
      <c r="BA96" s="88">
        <v>0.13</v>
      </c>
      <c r="BB96" s="61">
        <v>483.50619999999998</v>
      </c>
    </row>
    <row r="97" spans="17:54">
      <c r="Q97" s="53">
        <v>290.2</v>
      </c>
      <c r="R97" s="54">
        <f t="shared" si="3"/>
        <v>3.4458993797381117E-3</v>
      </c>
      <c r="S97" s="56">
        <v>55385.543314640701</v>
      </c>
      <c r="T97" s="53">
        <v>328.666666666666</v>
      </c>
      <c r="U97" s="54">
        <f t="shared" si="4"/>
        <v>3.0425963488843874E-3</v>
      </c>
      <c r="V97" s="38">
        <v>77163.929999999993</v>
      </c>
      <c r="W97" s="53">
        <v>288</v>
      </c>
      <c r="X97" s="54">
        <f t="shared" si="5"/>
        <v>3.472222222222222E-3</v>
      </c>
      <c r="Y97" s="63">
        <v>13455.3</v>
      </c>
      <c r="AD97" s="14">
        <v>283.14999999999998</v>
      </c>
      <c r="AE97" s="77">
        <v>0.44</v>
      </c>
      <c r="AF97" s="75">
        <v>30.444004</v>
      </c>
      <c r="AG97" s="60">
        <v>19.821574999999999</v>
      </c>
      <c r="AI97" s="5"/>
      <c r="AJ97" s="67"/>
      <c r="AK97" s="8"/>
      <c r="AO97" s="86">
        <v>0.56000000000000005</v>
      </c>
      <c r="AP97" s="150">
        <v>1454.7431999999999</v>
      </c>
      <c r="AQ97" s="60">
        <v>59.966989999999996</v>
      </c>
      <c r="AR97" s="86">
        <v>0.56000000000000005</v>
      </c>
      <c r="AS97" s="150">
        <v>3165.1252000000004</v>
      </c>
      <c r="AT97" s="61">
        <v>410.24934000000002</v>
      </c>
      <c r="AU97" s="86">
        <v>0.56000000000000005</v>
      </c>
      <c r="AV97" s="150">
        <v>5003.8405000000002</v>
      </c>
      <c r="AW97" s="62">
        <v>1261.4888999999998</v>
      </c>
      <c r="BA97" s="88">
        <v>0.12</v>
      </c>
      <c r="BB97" s="61">
        <v>455.63339999999999</v>
      </c>
    </row>
    <row r="98" spans="17:54">
      <c r="Q98" s="53">
        <v>291.22500000000002</v>
      </c>
      <c r="R98" s="54">
        <f t="shared" si="3"/>
        <v>3.4337711391535753E-3</v>
      </c>
      <c r="S98" s="56">
        <v>57873.6984900315</v>
      </c>
      <c r="T98" s="53">
        <v>329.33333333333297</v>
      </c>
      <c r="U98" s="54">
        <f t="shared" si="4"/>
        <v>3.0364372469635663E-3</v>
      </c>
      <c r="V98" s="38">
        <v>79048.77</v>
      </c>
      <c r="W98" s="53">
        <v>289</v>
      </c>
      <c r="X98" s="54">
        <f t="shared" si="5"/>
        <v>3.4602076124567475E-3</v>
      </c>
      <c r="Y98" s="63">
        <v>14152.35</v>
      </c>
      <c r="AD98" s="14">
        <v>283.14999999999998</v>
      </c>
      <c r="AE98" s="77">
        <v>0.44500000000000001</v>
      </c>
      <c r="AF98" s="75">
        <v>30.327278</v>
      </c>
      <c r="AG98" s="60">
        <v>19.669429999999998</v>
      </c>
      <c r="AI98" s="5"/>
      <c r="AJ98" s="67"/>
      <c r="AK98" s="8"/>
      <c r="AO98" s="86">
        <v>0.55499999999999994</v>
      </c>
      <c r="AP98" s="150">
        <v>1466.8651</v>
      </c>
      <c r="AQ98" s="60">
        <v>60.508330000000001</v>
      </c>
      <c r="AR98" s="86">
        <v>0.55499999999999994</v>
      </c>
      <c r="AS98" s="150">
        <v>3194.2395000000001</v>
      </c>
      <c r="AT98" s="61">
        <v>414.04571999999996</v>
      </c>
      <c r="AU98" s="86">
        <v>0.55499999999999994</v>
      </c>
      <c r="AV98" s="150">
        <v>5050.3029999999999</v>
      </c>
      <c r="AW98" s="62">
        <v>1273.8888999999999</v>
      </c>
      <c r="BA98" s="88">
        <v>0.11</v>
      </c>
      <c r="BB98" s="61">
        <v>426.38760000000002</v>
      </c>
    </row>
    <row r="99" spans="17:54">
      <c r="Q99" s="53">
        <v>292.25</v>
      </c>
      <c r="R99" s="54">
        <f t="shared" si="3"/>
        <v>3.4217279726261761E-3</v>
      </c>
      <c r="S99" s="56">
        <v>60450.390392602698</v>
      </c>
      <c r="T99" s="53">
        <v>330</v>
      </c>
      <c r="U99" s="54">
        <f t="shared" si="4"/>
        <v>3.0303030303030303E-3</v>
      </c>
      <c r="V99" s="38">
        <v>80969.69</v>
      </c>
      <c r="W99" s="53">
        <v>290</v>
      </c>
      <c r="X99" s="54">
        <f t="shared" si="5"/>
        <v>3.4482758620689655E-3</v>
      </c>
      <c r="Y99" s="63">
        <v>14878.96</v>
      </c>
      <c r="AD99" s="14">
        <v>283.14999999999998</v>
      </c>
      <c r="AE99" s="77">
        <v>0.45</v>
      </c>
      <c r="AF99" s="75">
        <v>30.210298999999999</v>
      </c>
      <c r="AG99" s="60">
        <v>19.519220000000001</v>
      </c>
      <c r="AI99" s="5"/>
      <c r="AJ99" s="67"/>
      <c r="AK99" s="8"/>
      <c r="AO99" s="86">
        <v>0.55000000000000004</v>
      </c>
      <c r="AP99" s="150">
        <v>1478.8916000000002</v>
      </c>
      <c r="AQ99" s="60">
        <v>61.059508000000001</v>
      </c>
      <c r="AR99" s="86">
        <v>0.55000000000000004</v>
      </c>
      <c r="AS99" s="150">
        <v>3223.2507999999998</v>
      </c>
      <c r="AT99" s="61">
        <v>417.91253</v>
      </c>
      <c r="AU99" s="86">
        <v>0.55000000000000004</v>
      </c>
      <c r="AV99" s="150">
        <v>5096.7004999999999</v>
      </c>
      <c r="AW99" s="62">
        <v>1286.5331000000001</v>
      </c>
      <c r="BA99" s="88">
        <v>0.1</v>
      </c>
      <c r="BB99" s="61">
        <v>395.72649999999999</v>
      </c>
    </row>
    <row r="100" spans="17:54">
      <c r="Q100" s="53">
        <v>293.27499999999998</v>
      </c>
      <c r="R100" s="54">
        <f t="shared" si="3"/>
        <v>3.4097689881510528E-3</v>
      </c>
      <c r="S100" s="56">
        <v>63117.835417296301</v>
      </c>
      <c r="T100" s="53">
        <v>330.666666666666</v>
      </c>
      <c r="U100" s="54">
        <f t="shared" si="4"/>
        <v>3.0241935483871028E-3</v>
      </c>
      <c r="V100" s="38">
        <v>82927.16</v>
      </c>
      <c r="W100" s="53">
        <v>291</v>
      </c>
      <c r="X100" s="54">
        <f t="shared" si="5"/>
        <v>3.4364261168384879E-3</v>
      </c>
      <c r="Y100" s="63">
        <v>15636.05</v>
      </c>
      <c r="AD100" s="14">
        <v>283.14999999999998</v>
      </c>
      <c r="AE100" s="77">
        <v>0.45500000000000002</v>
      </c>
      <c r="AF100" s="75">
        <v>30.093056000000001</v>
      </c>
      <c r="AG100" s="60">
        <v>19.370922</v>
      </c>
      <c r="AI100" s="5"/>
      <c r="AJ100" s="67"/>
      <c r="AK100" s="8"/>
      <c r="AO100" s="86">
        <v>0.54499999999999993</v>
      </c>
      <c r="AP100" s="150">
        <v>1490.8231000000001</v>
      </c>
      <c r="AQ100" s="60">
        <v>61.620800000000003</v>
      </c>
      <c r="AR100" s="86">
        <v>0.54499999999999993</v>
      </c>
      <c r="AS100" s="150">
        <v>3252.1592000000001</v>
      </c>
      <c r="AT100" s="61">
        <v>421.85174999999998</v>
      </c>
      <c r="AU100" s="86">
        <v>0.54499999999999993</v>
      </c>
      <c r="AV100" s="150">
        <v>5143.0334999999995</v>
      </c>
      <c r="AW100" s="62">
        <v>1299.4290000000001</v>
      </c>
      <c r="BA100" s="89">
        <v>0.09</v>
      </c>
      <c r="BB100" s="61">
        <v>363.60539999999997</v>
      </c>
    </row>
    <row r="101" spans="17:54">
      <c r="Q101" s="53">
        <v>294.3</v>
      </c>
      <c r="R101" s="54">
        <f t="shared" si="3"/>
        <v>3.3978933061501867E-3</v>
      </c>
      <c r="S101" s="56">
        <v>65878.276221462802</v>
      </c>
      <c r="T101" s="53">
        <v>331.33333333333297</v>
      </c>
      <c r="U101" s="54">
        <f t="shared" si="4"/>
        <v>3.0181086519114721E-3</v>
      </c>
      <c r="V101" s="38">
        <v>84921.65</v>
      </c>
      <c r="W101" s="53">
        <v>292</v>
      </c>
      <c r="X101" s="54">
        <f t="shared" si="5"/>
        <v>3.4246575342465752E-3</v>
      </c>
      <c r="Y101" s="63">
        <v>16424.59</v>
      </c>
      <c r="AD101" s="14">
        <v>283.14999999999998</v>
      </c>
      <c r="AE101" s="77">
        <v>0.46</v>
      </c>
      <c r="AF101" s="75">
        <v>29.975542000000001</v>
      </c>
      <c r="AG101" s="60">
        <v>19.224509999999999</v>
      </c>
      <c r="AI101" s="5"/>
      <c r="AJ101" s="67"/>
      <c r="AK101" s="8"/>
      <c r="AO101" s="86">
        <v>0.54</v>
      </c>
      <c r="AP101" s="150">
        <v>1502.66</v>
      </c>
      <c r="AQ101" s="60">
        <v>62.192492000000001</v>
      </c>
      <c r="AR101" s="86">
        <v>0.54</v>
      </c>
      <c r="AS101" s="150">
        <v>3280.9657999999999</v>
      </c>
      <c r="AT101" s="61">
        <v>425.86543999999998</v>
      </c>
      <c r="AU101" s="86">
        <v>0.54</v>
      </c>
      <c r="AV101" s="150">
        <v>5189.3024999999998</v>
      </c>
      <c r="AW101" s="62">
        <v>1312.5844</v>
      </c>
      <c r="BA101" s="89">
        <v>0.08</v>
      </c>
      <c r="BB101" s="61">
        <v>329.97699999999998</v>
      </c>
    </row>
    <row r="102" spans="17:54">
      <c r="Q102" s="53">
        <v>295.32499999999999</v>
      </c>
      <c r="R102" s="54">
        <f t="shared" si="3"/>
        <v>3.3861000592567514E-3</v>
      </c>
      <c r="S102" s="56">
        <v>68733.981394722898</v>
      </c>
      <c r="T102" s="53">
        <v>332</v>
      </c>
      <c r="U102" s="54">
        <f t="shared" si="4"/>
        <v>3.0120481927710845E-3</v>
      </c>
      <c r="V102" s="38">
        <v>86953.64</v>
      </c>
      <c r="W102" s="53">
        <v>293</v>
      </c>
      <c r="X102" s="54">
        <f t="shared" si="5"/>
        <v>3.4129692832764505E-3</v>
      </c>
      <c r="Y102" s="63">
        <v>17245.560000000001</v>
      </c>
      <c r="AD102" s="14">
        <v>283.14999999999998</v>
      </c>
      <c r="AE102" s="77">
        <v>0.46500000000000002</v>
      </c>
      <c r="AF102" s="75">
        <v>29.857741999999998</v>
      </c>
      <c r="AG102" s="60">
        <v>19.079961999999998</v>
      </c>
      <c r="AI102" s="5"/>
      <c r="AJ102" s="67"/>
      <c r="AK102" s="8"/>
      <c r="AO102" s="86">
        <v>0.53499999999999992</v>
      </c>
      <c r="AP102" s="150">
        <v>1514.4024999999999</v>
      </c>
      <c r="AQ102" s="60">
        <v>62.774867</v>
      </c>
      <c r="AR102" s="86">
        <v>0.53499999999999992</v>
      </c>
      <c r="AS102" s="150">
        <v>3309.6707999999999</v>
      </c>
      <c r="AT102" s="61">
        <v>429.95571999999999</v>
      </c>
      <c r="AU102" s="86">
        <v>0.53499999999999992</v>
      </c>
      <c r="AV102" s="150">
        <v>5235.5079999999998</v>
      </c>
      <c r="AW102" s="62">
        <v>1326.0071</v>
      </c>
      <c r="BA102" s="89">
        <v>7.0000000000000007E-2</v>
      </c>
      <c r="BB102" s="61">
        <v>294.79140000000001</v>
      </c>
    </row>
    <row r="103" spans="17:54">
      <c r="Q103" s="53">
        <v>296.35000000000002</v>
      </c>
      <c r="R103" s="54">
        <f t="shared" si="3"/>
        <v>3.3743883921039308E-3</v>
      </c>
      <c r="S103" s="56">
        <v>71687.245121938802</v>
      </c>
      <c r="T103" s="53">
        <v>332.666666666666</v>
      </c>
      <c r="U103" s="54">
        <f t="shared" si="4"/>
        <v>3.0060120240481022E-3</v>
      </c>
      <c r="V103" s="38">
        <v>89023.61</v>
      </c>
      <c r="W103" s="53">
        <v>294</v>
      </c>
      <c r="X103" s="54">
        <f t="shared" si="5"/>
        <v>3.4013605442176869E-3</v>
      </c>
      <c r="Y103" s="63">
        <v>18099.96</v>
      </c>
      <c r="AD103" s="14">
        <v>283.14999999999998</v>
      </c>
      <c r="AE103" s="77">
        <v>0.47</v>
      </c>
      <c r="AF103" s="75">
        <v>29.739650000000001</v>
      </c>
      <c r="AG103" s="60">
        <v>18.937248</v>
      </c>
      <c r="AI103" s="5"/>
      <c r="AJ103" s="67"/>
      <c r="AK103" s="8"/>
      <c r="AO103" s="86">
        <v>0.53</v>
      </c>
      <c r="AP103" s="150">
        <v>1526.0511000000001</v>
      </c>
      <c r="AQ103" s="60">
        <v>63.368226999999997</v>
      </c>
      <c r="AR103" s="86">
        <v>0.53</v>
      </c>
      <c r="AS103" s="150">
        <v>3338.2752</v>
      </c>
      <c r="AT103" s="61">
        <v>434.12479999999999</v>
      </c>
      <c r="AU103" s="86">
        <v>0.53</v>
      </c>
      <c r="AV103" s="150">
        <v>5281.65</v>
      </c>
      <c r="AW103" s="62">
        <v>1339.7055</v>
      </c>
      <c r="BA103" s="89">
        <v>0.06</v>
      </c>
      <c r="BB103" s="61">
        <v>257.9957</v>
      </c>
    </row>
    <row r="104" spans="17:54">
      <c r="Q104" s="53">
        <v>297.375</v>
      </c>
      <c r="R104" s="54">
        <f t="shared" si="3"/>
        <v>3.3627574611181169E-3</v>
      </c>
      <c r="S104" s="56">
        <v>74740.386839852901</v>
      </c>
      <c r="T104" s="53">
        <v>333.33333333333297</v>
      </c>
      <c r="U104" s="54">
        <f t="shared" si="4"/>
        <v>3.0000000000000031E-3</v>
      </c>
      <c r="V104" s="38">
        <v>91132.06</v>
      </c>
      <c r="W104" s="53">
        <v>295</v>
      </c>
      <c r="X104" s="54">
        <f t="shared" si="5"/>
        <v>3.3898305084745762E-3</v>
      </c>
      <c r="Y104" s="63">
        <v>18988.79</v>
      </c>
      <c r="AD104" s="14">
        <v>283.14999999999998</v>
      </c>
      <c r="AE104" s="77">
        <v>0.47499999999999998</v>
      </c>
      <c r="AF104" s="75">
        <v>29.621251999999998</v>
      </c>
      <c r="AG104" s="60">
        <v>18.796347000000001</v>
      </c>
      <c r="AI104" s="5"/>
      <c r="AJ104" s="67"/>
      <c r="AK104" s="8"/>
      <c r="AO104" s="86">
        <v>0.52500000000000002</v>
      </c>
      <c r="AP104" s="150">
        <v>1537.6063999999999</v>
      </c>
      <c r="AQ104" s="60">
        <v>63.972894999999994</v>
      </c>
      <c r="AR104" s="86">
        <v>0.52500000000000002</v>
      </c>
      <c r="AS104" s="150">
        <v>3366.78</v>
      </c>
      <c r="AT104" s="61">
        <v>438.37503000000004</v>
      </c>
      <c r="AU104" s="86">
        <v>0.52500000000000002</v>
      </c>
      <c r="AV104" s="150">
        <v>5327.7290000000003</v>
      </c>
      <c r="AW104" s="62">
        <v>1353.6882000000001</v>
      </c>
      <c r="BA104" s="89">
        <v>0.05</v>
      </c>
      <c r="BB104" s="61">
        <v>219.53380000000001</v>
      </c>
    </row>
    <row r="105" spans="17:54">
      <c r="Q105" s="53">
        <v>298.39999999999998</v>
      </c>
      <c r="R105" s="54">
        <f t="shared" si="3"/>
        <v>3.351206434316354E-3</v>
      </c>
      <c r="S105" s="56">
        <v>77895.750887771705</v>
      </c>
      <c r="T105" s="53">
        <v>334</v>
      </c>
      <c r="U105" s="54">
        <f t="shared" si="4"/>
        <v>2.9940119760479044E-3</v>
      </c>
      <c r="V105" s="38">
        <v>93279.46</v>
      </c>
      <c r="W105" s="53">
        <v>296</v>
      </c>
      <c r="X105" s="54">
        <f t="shared" si="5"/>
        <v>3.3783783783783786E-3</v>
      </c>
      <c r="Y105" s="63">
        <v>19913.099999999999</v>
      </c>
      <c r="AD105" s="14">
        <v>283.14999999999998</v>
      </c>
      <c r="AE105" s="77">
        <v>0.48</v>
      </c>
      <c r="AF105" s="75">
        <v>29.502538999999999</v>
      </c>
      <c r="AG105" s="60">
        <v>18.657233999999999</v>
      </c>
      <c r="AI105" s="5"/>
      <c r="AJ105" s="67"/>
      <c r="AK105" s="8"/>
      <c r="AO105" s="86">
        <v>0.52</v>
      </c>
      <c r="AP105" s="150">
        <v>1549.0686000000001</v>
      </c>
      <c r="AQ105" s="60">
        <v>64.589188000000007</v>
      </c>
      <c r="AR105" s="86">
        <v>0.52</v>
      </c>
      <c r="AS105" s="150">
        <v>3395.1860000000001</v>
      </c>
      <c r="AT105" s="61">
        <v>442.70875000000001</v>
      </c>
      <c r="AU105" s="86">
        <v>0.52</v>
      </c>
      <c r="AV105" s="150">
        <v>5373.7460000000001</v>
      </c>
      <c r="AW105" s="62">
        <v>1367.9643999999998</v>
      </c>
      <c r="BA105" s="89">
        <v>0.04</v>
      </c>
      <c r="BB105" s="61">
        <v>179.346</v>
      </c>
    </row>
    <row r="106" spans="17:54">
      <c r="Q106" s="53">
        <v>299.42500000000001</v>
      </c>
      <c r="R106" s="54">
        <f t="shared" si="3"/>
        <v>3.3397344911079568E-3</v>
      </c>
      <c r="S106" s="56">
        <v>81155.706152833503</v>
      </c>
      <c r="T106" s="53">
        <v>334.666666666666</v>
      </c>
      <c r="U106" s="54">
        <f t="shared" si="4"/>
        <v>2.9880478087649463E-3</v>
      </c>
      <c r="V106" s="38">
        <v>95466.3</v>
      </c>
      <c r="W106" s="53">
        <v>297</v>
      </c>
      <c r="X106" s="54">
        <f t="shared" si="5"/>
        <v>3.3670033670033669E-3</v>
      </c>
      <c r="Y106" s="63">
        <v>20873.919999999998</v>
      </c>
      <c r="AD106" s="14">
        <v>283.14999999999998</v>
      </c>
      <c r="AE106" s="77">
        <v>0.48499999999999999</v>
      </c>
      <c r="AF106" s="75">
        <v>29.383496999999998</v>
      </c>
      <c r="AG106" s="60">
        <v>18.519881999999999</v>
      </c>
      <c r="AI106" s="5"/>
      <c r="AJ106" s="67"/>
      <c r="AK106" s="8"/>
      <c r="AO106" s="86">
        <v>0.51500000000000001</v>
      </c>
      <c r="AP106" s="150">
        <v>1560.4384</v>
      </c>
      <c r="AQ106" s="60">
        <v>65.217444999999998</v>
      </c>
      <c r="AR106" s="86">
        <v>0.51500000000000001</v>
      </c>
      <c r="AS106" s="150">
        <v>3423.4940000000001</v>
      </c>
      <c r="AT106" s="61">
        <v>447.12846999999999</v>
      </c>
      <c r="AU106" s="86">
        <v>0.51500000000000001</v>
      </c>
      <c r="AV106" s="150">
        <v>5419.7015000000001</v>
      </c>
      <c r="AW106" s="62">
        <v>1382.5431999999998</v>
      </c>
      <c r="BA106" s="89">
        <v>0.03</v>
      </c>
      <c r="BB106" s="61">
        <v>137.36879999999999</v>
      </c>
    </row>
    <row r="107" spans="17:54">
      <c r="Q107" s="53">
        <v>300.45</v>
      </c>
      <c r="R107" s="54">
        <f t="shared" si="3"/>
        <v>3.328340822100183E-3</v>
      </c>
      <c r="S107" s="56">
        <v>84522.645710224795</v>
      </c>
      <c r="T107" s="53">
        <v>335.33333333333297</v>
      </c>
      <c r="U107" s="54">
        <f t="shared" si="4"/>
        <v>2.9821073558648145E-3</v>
      </c>
      <c r="V107" s="38">
        <v>97693.08</v>
      </c>
      <c r="W107" s="53">
        <v>298</v>
      </c>
      <c r="X107" s="54">
        <f t="shared" si="5"/>
        <v>3.3557046979865771E-3</v>
      </c>
      <c r="Y107" s="63">
        <v>21872.34</v>
      </c>
      <c r="AD107" s="14">
        <v>283.14999999999998</v>
      </c>
      <c r="AE107" s="77">
        <v>0.49</v>
      </c>
      <c r="AF107" s="75">
        <v>29.264116000000001</v>
      </c>
      <c r="AG107" s="60">
        <v>18.384267999999999</v>
      </c>
      <c r="AI107" s="5"/>
      <c r="AJ107" s="67"/>
      <c r="AK107" s="8"/>
      <c r="AO107" s="86">
        <v>0.51</v>
      </c>
      <c r="AP107" s="150">
        <v>1571.7161999999998</v>
      </c>
      <c r="AQ107" s="60">
        <v>65.85802000000001</v>
      </c>
      <c r="AR107" s="86">
        <v>0.51</v>
      </c>
      <c r="AS107" s="150">
        <v>3451.7052000000003</v>
      </c>
      <c r="AT107" s="61">
        <v>451.63678000000004</v>
      </c>
      <c r="AU107" s="86">
        <v>0.51</v>
      </c>
      <c r="AV107" s="150">
        <v>5465.5950000000003</v>
      </c>
      <c r="AW107" s="62">
        <v>1397.4349</v>
      </c>
      <c r="BA107" s="89">
        <v>0.02</v>
      </c>
      <c r="BB107" s="60">
        <v>93.534520000000001</v>
      </c>
    </row>
    <row r="108" spans="17:54" ht="15" thickBot="1">
      <c r="Q108" s="53">
        <v>301.47500000000002</v>
      </c>
      <c r="R108" s="54">
        <f t="shared" si="3"/>
        <v>3.3170246289078694E-3</v>
      </c>
      <c r="S108" s="56">
        <v>87998.986458931002</v>
      </c>
      <c r="T108" s="53">
        <v>336</v>
      </c>
      <c r="U108" s="54">
        <f t="shared" si="4"/>
        <v>2.976190476190476E-3</v>
      </c>
      <c r="V108" s="38">
        <v>99960.28</v>
      </c>
      <c r="W108" s="53">
        <v>299</v>
      </c>
      <c r="X108" s="54">
        <f t="shared" si="5"/>
        <v>3.3444816053511705E-3</v>
      </c>
      <c r="Y108" s="63">
        <v>22909.43</v>
      </c>
      <c r="AD108" s="14">
        <v>283.14999999999998</v>
      </c>
      <c r="AE108" s="77">
        <v>0.495</v>
      </c>
      <c r="AF108" s="75">
        <v>29.144383999999999</v>
      </c>
      <c r="AG108" s="60">
        <v>18.250366</v>
      </c>
      <c r="AI108" s="23"/>
      <c r="AJ108" s="133"/>
      <c r="AK108" s="149"/>
      <c r="AO108" s="86">
        <v>0.505</v>
      </c>
      <c r="AP108" s="150">
        <v>1582.9028000000001</v>
      </c>
      <c r="AQ108" s="60">
        <v>66.511289999999988</v>
      </c>
      <c r="AR108" s="86">
        <v>0.505</v>
      </c>
      <c r="AS108" s="150">
        <v>3479.8208</v>
      </c>
      <c r="AT108" s="61">
        <v>456.23634000000004</v>
      </c>
      <c r="AU108" s="86">
        <v>0.505</v>
      </c>
      <c r="AV108" s="150">
        <v>5511.4279999999999</v>
      </c>
      <c r="AW108" s="62">
        <v>1412.6495</v>
      </c>
      <c r="BA108" s="89">
        <v>0.01</v>
      </c>
      <c r="BB108" s="60">
        <v>47.77073</v>
      </c>
    </row>
    <row r="109" spans="17:54" ht="15" thickBot="1">
      <c r="Q109" s="53">
        <v>302.5</v>
      </c>
      <c r="R109" s="54">
        <f t="shared" si="3"/>
        <v>3.3057851239669421E-3</v>
      </c>
      <c r="S109" s="56">
        <v>91587.168753274804</v>
      </c>
      <c r="T109" s="53">
        <v>336.666666666666</v>
      </c>
      <c r="U109" s="54">
        <f t="shared" si="4"/>
        <v>2.970297029702976E-3</v>
      </c>
      <c r="V109" s="38">
        <v>102268.4</v>
      </c>
      <c r="W109" s="53">
        <v>300</v>
      </c>
      <c r="X109" s="54">
        <f t="shared" si="5"/>
        <v>3.3333333333333335E-3</v>
      </c>
      <c r="Y109" s="63">
        <v>23986.3</v>
      </c>
      <c r="AD109" s="14">
        <v>283.14999999999998</v>
      </c>
      <c r="AE109" s="77">
        <v>0.5</v>
      </c>
      <c r="AF109" s="75">
        <v>29.024290000000001</v>
      </c>
      <c r="AG109" s="60">
        <v>18.118153</v>
      </c>
      <c r="AO109" s="86">
        <v>0.5</v>
      </c>
      <c r="AP109" s="150">
        <v>1593.9984999999999</v>
      </c>
      <c r="AQ109" s="60">
        <v>67.17761999999999</v>
      </c>
      <c r="AR109" s="86">
        <v>0.5</v>
      </c>
      <c r="AS109" s="150">
        <v>3507.8420000000001</v>
      </c>
      <c r="AT109" s="61">
        <v>460.93</v>
      </c>
      <c r="AU109" s="86">
        <v>0.5</v>
      </c>
      <c r="AV109" s="150">
        <v>5557.2004999999999</v>
      </c>
      <c r="AW109" s="62">
        <v>1428.1978000000001</v>
      </c>
      <c r="BA109" s="90">
        <v>0</v>
      </c>
      <c r="BB109" s="91">
        <v>0</v>
      </c>
    </row>
    <row r="110" spans="17:54">
      <c r="Q110" s="53">
        <v>303.52499999999998</v>
      </c>
      <c r="R110" s="54">
        <f t="shared" si="3"/>
        <v>3.2946215303517011E-3</v>
      </c>
      <c r="S110" s="56">
        <v>95289.656030904196</v>
      </c>
      <c r="T110" s="53">
        <v>337.33333333333297</v>
      </c>
      <c r="U110" s="54">
        <f t="shared" si="4"/>
        <v>2.964426877470359E-3</v>
      </c>
      <c r="V110" s="38">
        <v>104618</v>
      </c>
      <c r="W110" s="53">
        <v>301</v>
      </c>
      <c r="X110" s="54">
        <f t="shared" si="5"/>
        <v>3.3222591362126247E-3</v>
      </c>
      <c r="Y110" s="63">
        <v>25104.07</v>
      </c>
      <c r="AD110" s="14">
        <v>283.14999999999998</v>
      </c>
      <c r="AE110" s="77">
        <v>0.505</v>
      </c>
      <c r="AF110" s="75">
        <v>28.90382</v>
      </c>
      <c r="AG110" s="60">
        <v>17.987601999999999</v>
      </c>
      <c r="AO110" s="86">
        <v>0.495</v>
      </c>
      <c r="AP110" s="150">
        <v>1605.0041000000001</v>
      </c>
      <c r="AQ110" s="60">
        <v>67.857410000000002</v>
      </c>
      <c r="AR110" s="86">
        <v>0.495</v>
      </c>
      <c r="AS110" s="150">
        <v>3535.7698</v>
      </c>
      <c r="AT110" s="61">
        <v>465.72062</v>
      </c>
      <c r="AU110" s="86">
        <v>0.495</v>
      </c>
      <c r="AV110" s="150">
        <v>5602.9129999999996</v>
      </c>
      <c r="AW110" s="62">
        <v>1444.0908999999999</v>
      </c>
    </row>
    <row r="111" spans="17:54">
      <c r="Q111" s="53">
        <v>304.55</v>
      </c>
      <c r="R111" s="54">
        <f t="shared" si="3"/>
        <v>3.2835330815957969E-3</v>
      </c>
      <c r="S111" s="56">
        <v>99108.934437544798</v>
      </c>
      <c r="T111" s="53">
        <v>338</v>
      </c>
      <c r="U111" s="54">
        <f t="shared" si="4"/>
        <v>2.9585798816568047E-3</v>
      </c>
      <c r="V111" s="38">
        <v>107009.4</v>
      </c>
      <c r="W111" s="53">
        <v>302</v>
      </c>
      <c r="X111" s="54">
        <f t="shared" si="5"/>
        <v>3.3112582781456954E-3</v>
      </c>
      <c r="Y111" s="63">
        <v>26263.89</v>
      </c>
      <c r="AD111" s="14">
        <v>283.14999999999998</v>
      </c>
      <c r="AE111" s="77">
        <v>0.51</v>
      </c>
      <c r="AF111" s="75">
        <v>28.782959999999999</v>
      </c>
      <c r="AG111" s="60">
        <v>17.858692000000001</v>
      </c>
      <c r="AO111" s="86">
        <v>0.49</v>
      </c>
      <c r="AP111" s="150">
        <v>1615.9204</v>
      </c>
      <c r="AQ111" s="60">
        <v>68.55107000000001</v>
      </c>
      <c r="AR111" s="86">
        <v>0.49</v>
      </c>
      <c r="AS111" s="150">
        <v>3563.6060000000002</v>
      </c>
      <c r="AT111" s="61">
        <v>470.61129999999997</v>
      </c>
      <c r="AU111" s="86">
        <v>0.49</v>
      </c>
      <c r="AV111" s="150">
        <v>5648.5659999999998</v>
      </c>
      <c r="AW111" s="62">
        <v>1460.3407999999999</v>
      </c>
    </row>
    <row r="112" spans="17:54">
      <c r="Q112" s="53">
        <v>305.57499999999999</v>
      </c>
      <c r="R112" s="54">
        <f t="shared" si="3"/>
        <v>3.2725190215168128E-3</v>
      </c>
      <c r="S112" s="56">
        <v>103047.512448892</v>
      </c>
      <c r="T112" s="53">
        <v>338.666666666666</v>
      </c>
      <c r="U112" s="54">
        <f t="shared" si="4"/>
        <v>2.9527559055118166E-3</v>
      </c>
      <c r="V112" s="38">
        <v>109443.3</v>
      </c>
      <c r="W112" s="53">
        <v>303</v>
      </c>
      <c r="X112" s="54">
        <f t="shared" si="5"/>
        <v>3.3003300330033004E-3</v>
      </c>
      <c r="Y112" s="63">
        <v>27466.89</v>
      </c>
      <c r="AD112" s="14">
        <v>283.14999999999998</v>
      </c>
      <c r="AE112" s="77">
        <v>0.51500000000000001</v>
      </c>
      <c r="AF112" s="75">
        <v>28.661702999999999</v>
      </c>
      <c r="AG112" s="60">
        <v>17.731397999999999</v>
      </c>
      <c r="AO112" s="86">
        <v>0.48499999999999999</v>
      </c>
      <c r="AP112" s="150">
        <v>1626.748</v>
      </c>
      <c r="AQ112" s="60">
        <v>69.259029999999996</v>
      </c>
      <c r="AR112" s="86">
        <v>0.48499999999999999</v>
      </c>
      <c r="AS112" s="150">
        <v>3591.3517999999999</v>
      </c>
      <c r="AT112" s="61">
        <v>475.60521999999997</v>
      </c>
      <c r="AU112" s="86">
        <v>0.48499999999999999</v>
      </c>
      <c r="AV112" s="150">
        <v>5694.16</v>
      </c>
      <c r="AW112" s="62">
        <v>1476.9596000000001</v>
      </c>
    </row>
    <row r="113" spans="17:49">
      <c r="Q113" s="53">
        <v>306.60000000000002</v>
      </c>
      <c r="R113" s="54">
        <f t="shared" si="3"/>
        <v>3.2615786040443573E-3</v>
      </c>
      <c r="S113" s="56">
        <v>107107.92049027501</v>
      </c>
      <c r="T113" s="53">
        <v>339.33333333333297</v>
      </c>
      <c r="U113" s="54">
        <f t="shared" si="4"/>
        <v>2.9469548133595315E-3</v>
      </c>
      <c r="V113" s="38">
        <v>111920.1</v>
      </c>
      <c r="W113" s="53">
        <v>304</v>
      </c>
      <c r="X113" s="54">
        <f t="shared" si="5"/>
        <v>3.2894736842105261E-3</v>
      </c>
      <c r="Y113" s="63">
        <v>28714.27</v>
      </c>
      <c r="AD113" s="14">
        <v>283.14999999999998</v>
      </c>
      <c r="AE113" s="77">
        <v>0.52</v>
      </c>
      <c r="AF113" s="75">
        <v>28.540030000000002</v>
      </c>
      <c r="AG113" s="60">
        <v>17.605695999999998</v>
      </c>
      <c r="AO113" s="86">
        <v>0.48</v>
      </c>
      <c r="AP113" s="150">
        <v>1637.4876000000002</v>
      </c>
      <c r="AQ113" s="60">
        <v>69.981750000000005</v>
      </c>
      <c r="AR113" s="86">
        <v>0.48</v>
      </c>
      <c r="AS113" s="150">
        <v>3619.0084999999999</v>
      </c>
      <c r="AT113" s="61">
        <v>480.70562000000001</v>
      </c>
      <c r="AU113" s="86">
        <v>0.48</v>
      </c>
      <c r="AV113" s="150">
        <v>5739.6949999999997</v>
      </c>
      <c r="AW113" s="62">
        <v>1493.9603999999999</v>
      </c>
    </row>
    <row r="114" spans="17:49">
      <c r="Q114" s="53">
        <v>307.625</v>
      </c>
      <c r="R114" s="54">
        <f t="shared" si="3"/>
        <v>3.2507110930516049E-3</v>
      </c>
      <c r="S114" s="56">
        <v>111292.710554301</v>
      </c>
      <c r="T114" s="53">
        <v>340</v>
      </c>
      <c r="U114" s="54">
        <f t="shared" si="4"/>
        <v>2.9411764705882353E-3</v>
      </c>
      <c r="V114" s="38">
        <v>114440.4</v>
      </c>
      <c r="W114" s="53">
        <v>305</v>
      </c>
      <c r="X114" s="54">
        <f t="shared" si="5"/>
        <v>3.2786885245901639E-3</v>
      </c>
      <c r="Y114" s="63">
        <v>30007.21</v>
      </c>
      <c r="AD114" s="14">
        <v>283.14999999999998</v>
      </c>
      <c r="AE114" s="77">
        <v>0.52500000000000002</v>
      </c>
      <c r="AF114" s="75">
        <v>28.417929000000001</v>
      </c>
      <c r="AG114" s="60">
        <v>17.481562</v>
      </c>
      <c r="AO114" s="86">
        <v>0.47499999999999998</v>
      </c>
      <c r="AP114" s="150">
        <v>1648.1402</v>
      </c>
      <c r="AQ114" s="60">
        <v>70.719679999999997</v>
      </c>
      <c r="AR114" s="86">
        <v>0.47499999999999998</v>
      </c>
      <c r="AS114" s="150">
        <v>3646.5782000000004</v>
      </c>
      <c r="AT114" s="61">
        <v>485.91596999999996</v>
      </c>
      <c r="AU114" s="86">
        <v>0.47499999999999998</v>
      </c>
      <c r="AV114" s="150">
        <v>5785.1715000000004</v>
      </c>
      <c r="AW114" s="62">
        <v>1511.3563999999999</v>
      </c>
    </row>
    <row r="115" spans="17:49">
      <c r="Q115" s="53">
        <v>308.64999999999998</v>
      </c>
      <c r="R115" s="54">
        <f t="shared" si="3"/>
        <v>3.2399157621901833E-3</v>
      </c>
      <c r="S115" s="56">
        <v>115604.45581700699</v>
      </c>
      <c r="T115" s="53">
        <v>340.666666666666</v>
      </c>
      <c r="U115" s="54">
        <f t="shared" si="4"/>
        <v>2.9354207436399276E-3</v>
      </c>
      <c r="V115" s="38">
        <v>117004.6</v>
      </c>
      <c r="W115" s="53">
        <v>306</v>
      </c>
      <c r="X115" s="54">
        <f t="shared" si="5"/>
        <v>3.2679738562091504E-3</v>
      </c>
      <c r="Y115" s="63">
        <v>31346.93</v>
      </c>
      <c r="AD115" s="14">
        <v>283.14999999999998</v>
      </c>
      <c r="AE115" s="77">
        <v>0.53</v>
      </c>
      <c r="AF115" s="75">
        <v>28.295385</v>
      </c>
      <c r="AG115" s="60">
        <v>17.358972999999999</v>
      </c>
      <c r="AO115" s="86">
        <v>0.47</v>
      </c>
      <c r="AP115" s="150">
        <v>1658.7066</v>
      </c>
      <c r="AQ115" s="60">
        <v>71.473309999999998</v>
      </c>
      <c r="AR115" s="86">
        <v>0.47</v>
      </c>
      <c r="AS115" s="150">
        <v>3674.0627999999997</v>
      </c>
      <c r="AT115" s="61">
        <v>491.23990000000003</v>
      </c>
      <c r="AU115" s="86">
        <v>0.47</v>
      </c>
      <c r="AV115" s="150">
        <v>5830.5895</v>
      </c>
      <c r="AW115" s="62">
        <v>1529.1618999999998</v>
      </c>
    </row>
    <row r="116" spans="17:49">
      <c r="Q116" s="53">
        <v>309.67500000000001</v>
      </c>
      <c r="R116" s="54">
        <f t="shared" si="3"/>
        <v>3.2291918947283441E-3</v>
      </c>
      <c r="S116" s="56">
        <v>120045.750252935</v>
      </c>
      <c r="T116" s="53">
        <v>341.33333333333297</v>
      </c>
      <c r="U116" s="54">
        <f t="shared" si="4"/>
        <v>2.929687500000003E-3</v>
      </c>
      <c r="V116" s="38">
        <v>119613.3</v>
      </c>
      <c r="W116" s="53">
        <v>307</v>
      </c>
      <c r="X116" s="54">
        <f t="shared" si="5"/>
        <v>3.2573289902280132E-3</v>
      </c>
      <c r="Y116" s="63">
        <v>32734.639999999999</v>
      </c>
      <c r="AD116" s="14">
        <v>283.14999999999998</v>
      </c>
      <c r="AE116" s="77">
        <v>0.53500000000000003</v>
      </c>
      <c r="AF116" s="75">
        <v>28.172385999999999</v>
      </c>
      <c r="AG116" s="60">
        <v>17.237905999999999</v>
      </c>
      <c r="AO116" s="86">
        <v>0.46499999999999997</v>
      </c>
      <c r="AP116" s="150">
        <v>1669.1878000000002</v>
      </c>
      <c r="AQ116" s="60">
        <v>72.24315</v>
      </c>
      <c r="AR116" s="86">
        <v>0.46499999999999997</v>
      </c>
      <c r="AS116" s="150">
        <v>3701.4634999999998</v>
      </c>
      <c r="AT116" s="61">
        <v>496.68112000000002</v>
      </c>
      <c r="AU116" s="86">
        <v>0.46499999999999997</v>
      </c>
      <c r="AV116" s="150">
        <v>5875.9494999999997</v>
      </c>
      <c r="AW116" s="62">
        <v>1547.3916000000002</v>
      </c>
    </row>
    <row r="117" spans="17:49">
      <c r="Q117" s="53">
        <v>310.7</v>
      </c>
      <c r="R117" s="54">
        <f t="shared" si="3"/>
        <v>3.2185387833923401E-3</v>
      </c>
      <c r="S117" s="56">
        <v>124619.20824943901</v>
      </c>
      <c r="T117" s="53">
        <v>342</v>
      </c>
      <c r="U117" s="54">
        <f t="shared" si="4"/>
        <v>2.9239766081871343E-3</v>
      </c>
      <c r="V117" s="38">
        <v>122266.9</v>
      </c>
      <c r="W117" s="53">
        <v>308</v>
      </c>
      <c r="X117" s="54">
        <f t="shared" si="5"/>
        <v>3.246753246753247E-3</v>
      </c>
      <c r="Y117" s="63">
        <v>34171.589999999997</v>
      </c>
      <c r="AD117" s="14">
        <v>283.14999999999998</v>
      </c>
      <c r="AE117" s="77">
        <v>0.54</v>
      </c>
      <c r="AF117" s="75">
        <v>28.048918</v>
      </c>
      <c r="AG117" s="60">
        <v>17.118335999999999</v>
      </c>
      <c r="AO117" s="86">
        <v>0.45999999999999996</v>
      </c>
      <c r="AP117" s="150">
        <v>1679.5844</v>
      </c>
      <c r="AQ117" s="60">
        <v>73.029719999999998</v>
      </c>
      <c r="AR117" s="86">
        <v>0.45999999999999996</v>
      </c>
      <c r="AS117" s="150">
        <v>3728.7824999999998</v>
      </c>
      <c r="AT117" s="61">
        <v>502.24359999999996</v>
      </c>
      <c r="AU117" s="86">
        <v>0.45999999999999996</v>
      </c>
      <c r="AV117" s="150">
        <v>5921.2515000000003</v>
      </c>
      <c r="AW117" s="62">
        <v>1566.0613999999998</v>
      </c>
    </row>
    <row r="118" spans="17:49">
      <c r="Q118" s="53">
        <v>311.72500000000002</v>
      </c>
      <c r="R118" s="54">
        <f t="shared" si="3"/>
        <v>3.2079557302109227E-3</v>
      </c>
      <c r="S118" s="56">
        <v>129327.46422075899</v>
      </c>
      <c r="T118" s="53">
        <v>342.666666666666</v>
      </c>
      <c r="U118" s="54">
        <f t="shared" si="4"/>
        <v>2.9182879377431963E-3</v>
      </c>
      <c r="V118" s="38">
        <v>124966.1</v>
      </c>
      <c r="W118" s="53">
        <v>309</v>
      </c>
      <c r="X118" s="54">
        <f t="shared" si="5"/>
        <v>3.2362459546925568E-3</v>
      </c>
      <c r="Y118" s="63">
        <v>35659.050000000003</v>
      </c>
      <c r="AD118" s="14">
        <v>283.14999999999998</v>
      </c>
      <c r="AE118" s="77">
        <v>0.54500000000000004</v>
      </c>
      <c r="AF118" s="75">
        <v>27.924965</v>
      </c>
      <c r="AG118" s="60">
        <v>17.000242</v>
      </c>
      <c r="AO118" s="86">
        <v>0.45499999999999996</v>
      </c>
      <c r="AP118" s="150">
        <v>1689.8976</v>
      </c>
      <c r="AQ118" s="60">
        <v>73.833579999999998</v>
      </c>
      <c r="AR118" s="86">
        <v>0.45499999999999996</v>
      </c>
      <c r="AS118" s="150">
        <v>3756.0218</v>
      </c>
      <c r="AT118" s="61">
        <v>507.9314</v>
      </c>
      <c r="AU118" s="86">
        <v>0.45499999999999996</v>
      </c>
      <c r="AV118" s="150">
        <v>5966.4955</v>
      </c>
      <c r="AW118" s="62">
        <v>1585.1871999999998</v>
      </c>
    </row>
    <row r="119" spans="17:49">
      <c r="Q119" s="53">
        <v>312.75</v>
      </c>
      <c r="R119" s="54">
        <f t="shared" si="3"/>
        <v>3.1974420463629096E-3</v>
      </c>
      <c r="S119" s="56">
        <v>134173.17222210101</v>
      </c>
      <c r="T119" s="53">
        <v>343.33333333333297</v>
      </c>
      <c r="U119" s="54">
        <f t="shared" si="4"/>
        <v>2.9126213592233041E-3</v>
      </c>
      <c r="V119" s="38">
        <v>127711.2</v>
      </c>
      <c r="W119" s="53">
        <v>310</v>
      </c>
      <c r="X119" s="54">
        <f t="shared" si="5"/>
        <v>3.2258064516129032E-3</v>
      </c>
      <c r="Y119" s="63">
        <v>37198.28</v>
      </c>
      <c r="AD119" s="14">
        <v>283.14999999999998</v>
      </c>
      <c r="AE119" s="77">
        <v>0.55000000000000004</v>
      </c>
      <c r="AF119" s="75">
        <v>27.800509999999999</v>
      </c>
      <c r="AG119" s="60">
        <v>16.883603999999998</v>
      </c>
      <c r="AO119" s="86">
        <v>0.44999999999999996</v>
      </c>
      <c r="AP119" s="150">
        <v>1700.1286</v>
      </c>
      <c r="AQ119" s="60">
        <v>74.655299999999997</v>
      </c>
      <c r="AR119" s="86">
        <v>0.44999999999999996</v>
      </c>
      <c r="AS119" s="150">
        <v>3783.1837999999998</v>
      </c>
      <c r="AT119" s="61">
        <v>513.74883999999997</v>
      </c>
      <c r="AU119" s="86">
        <v>0.44999999999999996</v>
      </c>
      <c r="AV119" s="150">
        <v>6011.6814999999997</v>
      </c>
      <c r="AW119" s="62">
        <v>1604.7866000000001</v>
      </c>
    </row>
    <row r="120" spans="17:49">
      <c r="Q120" s="53">
        <v>313.77499999999998</v>
      </c>
      <c r="R120" s="54">
        <f t="shared" si="3"/>
        <v>3.1869970520277272E-3</v>
      </c>
      <c r="S120" s="56">
        <v>139159.00556423501</v>
      </c>
      <c r="T120" s="53">
        <v>344</v>
      </c>
      <c r="U120" s="54">
        <f t="shared" si="4"/>
        <v>2.9069767441860465E-3</v>
      </c>
      <c r="V120" s="38">
        <v>130502.9</v>
      </c>
      <c r="W120" s="53">
        <v>311</v>
      </c>
      <c r="X120" s="54">
        <f t="shared" si="5"/>
        <v>3.2154340836012861E-3</v>
      </c>
      <c r="Y120" s="63">
        <v>38790.589999999997</v>
      </c>
      <c r="AD120" s="14">
        <v>283.14999999999998</v>
      </c>
      <c r="AE120" s="77">
        <v>0.55500000000000005</v>
      </c>
      <c r="AF120" s="75">
        <v>27.675540000000002</v>
      </c>
      <c r="AG120" s="60">
        <v>16.768395999999999</v>
      </c>
      <c r="AO120" s="86">
        <v>0.44499999999999995</v>
      </c>
      <c r="AP120" s="150">
        <v>1710.2782</v>
      </c>
      <c r="AQ120" s="60">
        <v>75.49548399999999</v>
      </c>
      <c r="AR120" s="86">
        <v>0.44499999999999995</v>
      </c>
      <c r="AS120" s="150">
        <v>3810.2702000000004</v>
      </c>
      <c r="AT120" s="61">
        <v>519.70038</v>
      </c>
      <c r="AU120" s="86">
        <v>0.44499999999999995</v>
      </c>
      <c r="AV120" s="150">
        <v>6056.8085000000001</v>
      </c>
      <c r="AW120" s="62">
        <v>1624.8775000000001</v>
      </c>
    </row>
    <row r="121" spans="17:49">
      <c r="Q121" s="53">
        <v>314.8</v>
      </c>
      <c r="R121" s="54">
        <f t="shared" si="3"/>
        <v>3.1766200762388818E-3</v>
      </c>
      <c r="S121" s="56">
        <v>144287.65642882499</v>
      </c>
      <c r="T121" s="53">
        <v>344.666666666666</v>
      </c>
      <c r="U121" s="54">
        <f t="shared" si="4"/>
        <v>2.9013539651837582E-3</v>
      </c>
      <c r="V121" s="38">
        <v>133341.6</v>
      </c>
      <c r="W121" s="53">
        <v>312</v>
      </c>
      <c r="X121" s="54">
        <f t="shared" si="5"/>
        <v>3.205128205128205E-3</v>
      </c>
      <c r="Y121" s="63">
        <v>40437.279999999999</v>
      </c>
      <c r="AD121" s="14">
        <v>283.14999999999998</v>
      </c>
      <c r="AE121" s="77">
        <v>0.56000000000000005</v>
      </c>
      <c r="AF121" s="75">
        <v>27.550041</v>
      </c>
      <c r="AG121" s="60">
        <v>16.654598</v>
      </c>
      <c r="AO121" s="86">
        <v>0.43999999999999995</v>
      </c>
      <c r="AP121" s="150">
        <v>1720.3478</v>
      </c>
      <c r="AQ121" s="60">
        <v>76.354765999999998</v>
      </c>
      <c r="AR121" s="86">
        <v>0.43999999999999995</v>
      </c>
      <c r="AS121" s="150">
        <v>3837.2837999999997</v>
      </c>
      <c r="AT121" s="61">
        <v>525.79075</v>
      </c>
      <c r="AU121" s="86">
        <v>0.43999999999999995</v>
      </c>
      <c r="AV121" s="150">
        <v>6101.8765000000003</v>
      </c>
      <c r="AW121" s="62">
        <v>1645.4788999999998</v>
      </c>
    </row>
    <row r="122" spans="17:49">
      <c r="Q122" s="53">
        <v>315.82499999999999</v>
      </c>
      <c r="R122" s="54">
        <f t="shared" si="3"/>
        <v>3.1663104567402835E-3</v>
      </c>
      <c r="S122" s="56">
        <v>149561.835485057</v>
      </c>
      <c r="T122" s="53">
        <v>345.33333333333297</v>
      </c>
      <c r="U122" s="54">
        <f t="shared" si="4"/>
        <v>2.8957528957528986E-3</v>
      </c>
      <c r="V122" s="38">
        <v>136227.9</v>
      </c>
      <c r="W122" s="53">
        <v>313</v>
      </c>
      <c r="X122" s="54">
        <f t="shared" si="5"/>
        <v>3.1948881789137379E-3</v>
      </c>
      <c r="Y122" s="63">
        <v>42139.68</v>
      </c>
      <c r="AD122" s="14">
        <v>283.14999999999998</v>
      </c>
      <c r="AE122" s="77">
        <v>0.56499999999999995</v>
      </c>
      <c r="AF122" s="75">
        <v>27.423991999999998</v>
      </c>
      <c r="AG122" s="60">
        <v>16.542189</v>
      </c>
      <c r="AO122" s="86">
        <v>0.43500000000000005</v>
      </c>
      <c r="AP122" s="150">
        <v>1730.3383999999999</v>
      </c>
      <c r="AQ122" s="60">
        <v>77.23380499999999</v>
      </c>
      <c r="AR122" s="86">
        <v>0.43500000000000005</v>
      </c>
      <c r="AS122" s="150">
        <v>3864.2269999999999</v>
      </c>
      <c r="AT122" s="61">
        <v>532.0249</v>
      </c>
      <c r="AU122" s="86">
        <v>0.43500000000000005</v>
      </c>
      <c r="AV122" s="150">
        <v>6146.8850000000002</v>
      </c>
      <c r="AW122" s="62">
        <v>1666.6108999999999</v>
      </c>
    </row>
    <row r="123" spans="17:49">
      <c r="Q123" s="53">
        <v>316.85000000000002</v>
      </c>
      <c r="R123" s="54">
        <f t="shared" si="3"/>
        <v>3.1560675398453523E-3</v>
      </c>
      <c r="S123" s="56">
        <v>154984.27150771799</v>
      </c>
      <c r="T123" s="53">
        <v>346</v>
      </c>
      <c r="U123" s="54">
        <f t="shared" si="4"/>
        <v>2.8901734104046241E-3</v>
      </c>
      <c r="V123" s="38">
        <v>139162.29999999999</v>
      </c>
      <c r="W123" s="53">
        <v>314</v>
      </c>
      <c r="X123" s="54">
        <f t="shared" si="5"/>
        <v>3.1847133757961785E-3</v>
      </c>
      <c r="Y123" s="63">
        <v>43899.14</v>
      </c>
      <c r="AD123" s="14">
        <v>283.14999999999998</v>
      </c>
      <c r="AE123" s="77">
        <v>0.56999999999999995</v>
      </c>
      <c r="AF123" s="75">
        <v>27.297378999999999</v>
      </c>
      <c r="AG123" s="60">
        <v>16.431145000000001</v>
      </c>
      <c r="AO123" s="86">
        <v>0.43000000000000005</v>
      </c>
      <c r="AP123" s="150">
        <v>1740.2511000000002</v>
      </c>
      <c r="AQ123" s="60">
        <v>78.133279999999999</v>
      </c>
      <c r="AR123" s="86">
        <v>0.43000000000000005</v>
      </c>
      <c r="AS123" s="150">
        <v>3891.1022000000003</v>
      </c>
      <c r="AT123" s="61">
        <v>538.40790000000004</v>
      </c>
      <c r="AU123" s="86">
        <v>0.43000000000000005</v>
      </c>
      <c r="AV123" s="150">
        <v>6191.8325000000004</v>
      </c>
      <c r="AW123" s="62">
        <v>1688.2946000000002</v>
      </c>
    </row>
    <row r="124" spans="17:49">
      <c r="Q124" s="53">
        <v>317.875</v>
      </c>
      <c r="R124" s="54">
        <f t="shared" si="3"/>
        <v>3.1458906802988595E-3</v>
      </c>
      <c r="S124" s="56">
        <v>160557.71099716501</v>
      </c>
      <c r="T124" s="53">
        <v>346.666666666666</v>
      </c>
      <c r="U124" s="54">
        <f t="shared" si="4"/>
        <v>2.88461538461539E-3</v>
      </c>
      <c r="V124" s="38">
        <v>142145.29999999999</v>
      </c>
      <c r="W124" s="53">
        <v>315</v>
      </c>
      <c r="X124" s="54">
        <f t="shared" si="5"/>
        <v>3.1746031746031746E-3</v>
      </c>
      <c r="Y124" s="63">
        <v>45717</v>
      </c>
      <c r="AD124" s="14">
        <v>283.14999999999998</v>
      </c>
      <c r="AE124" s="77">
        <v>0.57499999999999996</v>
      </c>
      <c r="AF124" s="75">
        <v>27.170183000000002</v>
      </c>
      <c r="AG124" s="60">
        <v>16.321446999999999</v>
      </c>
      <c r="AO124" s="86">
        <v>0.42500000000000004</v>
      </c>
      <c r="AP124" s="150">
        <v>1750.0876000000001</v>
      </c>
      <c r="AQ124" s="60">
        <v>79.053920000000005</v>
      </c>
      <c r="AR124" s="86">
        <v>0.42500000000000004</v>
      </c>
      <c r="AS124" s="150">
        <v>3917.9124999999999</v>
      </c>
      <c r="AT124" s="61">
        <v>544.94510000000002</v>
      </c>
      <c r="AU124" s="86">
        <v>0.42500000000000004</v>
      </c>
      <c r="AV124" s="150">
        <v>6236.7184999999999</v>
      </c>
      <c r="AW124" s="62">
        <v>1710.5523999999998</v>
      </c>
    </row>
    <row r="125" spans="17:49">
      <c r="Q125" s="53">
        <v>318.89999999999998</v>
      </c>
      <c r="R125" s="54">
        <f t="shared" si="3"/>
        <v>3.1357792411414237E-3</v>
      </c>
      <c r="S125" s="56">
        <v>166284.91780160199</v>
      </c>
      <c r="T125" s="53">
        <v>347.33333333333297</v>
      </c>
      <c r="U125" s="54">
        <f t="shared" si="4"/>
        <v>2.8790786948176615E-3</v>
      </c>
      <c r="V125" s="38">
        <v>145177.5</v>
      </c>
      <c r="W125" s="53">
        <v>316</v>
      </c>
      <c r="X125" s="54">
        <f t="shared" si="5"/>
        <v>3.1645569620253164E-3</v>
      </c>
      <c r="Y125" s="63">
        <v>47594.66</v>
      </c>
      <c r="AD125" s="14">
        <v>283.14999999999998</v>
      </c>
      <c r="AE125" s="77">
        <v>0.57999999999999996</v>
      </c>
      <c r="AF125" s="75">
        <v>27.042389</v>
      </c>
      <c r="AG125" s="60">
        <v>16.213076000000001</v>
      </c>
      <c r="AO125" s="86">
        <v>0.42000000000000004</v>
      </c>
      <c r="AP125" s="150">
        <v>1759.8489</v>
      </c>
      <c r="AQ125" s="60">
        <v>79.996483999999995</v>
      </c>
      <c r="AR125" s="86">
        <v>0.42000000000000004</v>
      </c>
      <c r="AS125" s="150">
        <v>3944.6602000000003</v>
      </c>
      <c r="AT125" s="61">
        <v>551.64240000000007</v>
      </c>
      <c r="AU125" s="86">
        <v>0.42000000000000004</v>
      </c>
      <c r="AV125" s="150">
        <v>6281.5405000000001</v>
      </c>
      <c r="AW125" s="62">
        <v>1733.4076</v>
      </c>
    </row>
    <row r="126" spans="17:49">
      <c r="Q126" s="53">
        <v>319.92500000000001</v>
      </c>
      <c r="R126" s="54">
        <f t="shared" si="3"/>
        <v>3.1257325935766193E-3</v>
      </c>
      <c r="S126" s="56">
        <v>172168.672741797</v>
      </c>
      <c r="T126" s="53">
        <v>348</v>
      </c>
      <c r="U126" s="54">
        <f t="shared" si="4"/>
        <v>2.8735632183908046E-3</v>
      </c>
      <c r="V126" s="38">
        <v>148259.4</v>
      </c>
      <c r="W126" s="53">
        <v>317</v>
      </c>
      <c r="X126" s="54">
        <f t="shared" si="5"/>
        <v>3.1545741324921135E-3</v>
      </c>
      <c r="Y126" s="63">
        <v>49533.5</v>
      </c>
      <c r="AD126" s="14">
        <v>283.14999999999998</v>
      </c>
      <c r="AE126" s="77">
        <v>0.58499999999999996</v>
      </c>
      <c r="AF126" s="75">
        <v>26.913979000000001</v>
      </c>
      <c r="AG126" s="60">
        <v>16.106009</v>
      </c>
      <c r="AO126" s="86">
        <v>0.41500000000000004</v>
      </c>
      <c r="AP126" s="150">
        <v>1769.5364</v>
      </c>
      <c r="AQ126" s="60">
        <v>80.961749999999995</v>
      </c>
      <c r="AR126" s="86">
        <v>0.41500000000000004</v>
      </c>
      <c r="AS126" s="150">
        <v>3971.3487999999998</v>
      </c>
      <c r="AT126" s="61">
        <v>558.50549999999998</v>
      </c>
      <c r="AU126" s="86">
        <v>0.41500000000000004</v>
      </c>
      <c r="AV126" s="150">
        <v>6326.2979999999998</v>
      </c>
      <c r="AW126" s="62">
        <v>1756.8851999999999</v>
      </c>
    </row>
    <row r="127" spans="17:49">
      <c r="Q127" s="53">
        <v>320.95</v>
      </c>
      <c r="R127" s="54">
        <f t="shared" si="3"/>
        <v>3.1157501168406296E-3</v>
      </c>
      <c r="S127" s="56">
        <v>178211.77323868399</v>
      </c>
      <c r="T127" s="53">
        <v>348.666666666666</v>
      </c>
      <c r="U127" s="54">
        <f t="shared" si="4"/>
        <v>2.868068833652013E-3</v>
      </c>
      <c r="V127" s="38">
        <v>151391.6</v>
      </c>
      <c r="W127" s="53">
        <v>318</v>
      </c>
      <c r="X127" s="54">
        <f t="shared" si="5"/>
        <v>3.1446540880503146E-3</v>
      </c>
      <c r="Y127" s="63">
        <v>51534.93</v>
      </c>
      <c r="AD127" s="14">
        <v>283.14999999999998</v>
      </c>
      <c r="AE127" s="77">
        <v>0.59</v>
      </c>
      <c r="AF127" s="75">
        <v>26.784931</v>
      </c>
      <c r="AG127" s="60">
        <v>16.000225</v>
      </c>
      <c r="AO127" s="86">
        <v>0.41000000000000003</v>
      </c>
      <c r="AP127" s="150">
        <v>1779.1516000000001</v>
      </c>
      <c r="AQ127" s="60">
        <v>81.950570000000013</v>
      </c>
      <c r="AR127" s="86">
        <v>0.41000000000000003</v>
      </c>
      <c r="AS127" s="150">
        <v>3997.9810000000002</v>
      </c>
      <c r="AT127" s="61">
        <v>565.54090000000008</v>
      </c>
      <c r="AU127" s="86">
        <v>0.41000000000000003</v>
      </c>
      <c r="AV127" s="150">
        <v>6370.9875000000002</v>
      </c>
      <c r="AW127" s="62">
        <v>1781.0115000000001</v>
      </c>
    </row>
    <row r="128" spans="17:49">
      <c r="Q128" s="53">
        <v>321.97500000000002</v>
      </c>
      <c r="R128" s="54">
        <f t="shared" si="3"/>
        <v>3.1058311980743845E-3</v>
      </c>
      <c r="S128" s="56">
        <v>184417.03294425199</v>
      </c>
      <c r="T128" s="53">
        <v>349.33333333333297</v>
      </c>
      <c r="U128" s="54">
        <f t="shared" si="4"/>
        <v>2.8625954198473313E-3</v>
      </c>
      <c r="V128" s="38">
        <v>154574.39999999999</v>
      </c>
      <c r="W128" s="53">
        <v>319</v>
      </c>
      <c r="X128" s="54">
        <f t="shared" si="5"/>
        <v>3.134796238244514E-3</v>
      </c>
      <c r="Y128" s="63">
        <v>53600.36</v>
      </c>
      <c r="AD128" s="14">
        <v>283.14999999999998</v>
      </c>
      <c r="AE128" s="77">
        <v>0.59499999999999997</v>
      </c>
      <c r="AF128" s="75">
        <v>26.65523</v>
      </c>
      <c r="AG128" s="60">
        <v>15.895707</v>
      </c>
      <c r="AO128" s="86">
        <v>0.40500000000000003</v>
      </c>
      <c r="AP128" s="150">
        <v>1788.6961000000001</v>
      </c>
      <c r="AQ128" s="60">
        <v>82.963800000000006</v>
      </c>
      <c r="AR128" s="86">
        <v>0.40500000000000003</v>
      </c>
      <c r="AS128" s="150">
        <v>4024.56</v>
      </c>
      <c r="AT128" s="61">
        <v>572.75490000000002</v>
      </c>
      <c r="AU128" s="86">
        <v>0.40500000000000003</v>
      </c>
      <c r="AV128" s="150">
        <v>6415.6064999999999</v>
      </c>
      <c r="AW128" s="62">
        <v>1805.8144</v>
      </c>
    </row>
    <row r="129" spans="17:49">
      <c r="Q129" s="53">
        <v>323</v>
      </c>
      <c r="R129" s="54">
        <f t="shared" si="3"/>
        <v>3.0959752321981426E-3</v>
      </c>
      <c r="S129" s="56">
        <v>190787.28137573501</v>
      </c>
      <c r="T129" s="53">
        <v>350</v>
      </c>
      <c r="U129" s="54">
        <f t="shared" si="4"/>
        <v>2.8571428571428571E-3</v>
      </c>
      <c r="V129" s="38">
        <v>157808.6</v>
      </c>
      <c r="W129" s="53">
        <v>320</v>
      </c>
      <c r="X129" s="54">
        <f t="shared" si="5"/>
        <v>3.1250000000000002E-3</v>
      </c>
      <c r="Y129" s="63">
        <v>55731.25</v>
      </c>
      <c r="AD129" s="14">
        <v>283.14999999999998</v>
      </c>
      <c r="AE129" s="77">
        <v>0.6</v>
      </c>
      <c r="AF129" s="75">
        <v>26.524857000000001</v>
      </c>
      <c r="AG129" s="60">
        <v>15.792434</v>
      </c>
      <c r="AO129" s="86">
        <v>0.4</v>
      </c>
      <c r="AP129" s="150">
        <v>1798.1713999999999</v>
      </c>
      <c r="AQ129" s="60">
        <v>84.002350000000007</v>
      </c>
      <c r="AR129" s="86">
        <v>0.4</v>
      </c>
      <c r="AS129" s="150">
        <v>4051.0895</v>
      </c>
      <c r="AT129" s="61">
        <v>580.15459999999996</v>
      </c>
      <c r="AU129" s="86">
        <v>0.4</v>
      </c>
      <c r="AV129" s="150">
        <v>6460.152</v>
      </c>
      <c r="AW129" s="62">
        <v>1831.3231000000001</v>
      </c>
    </row>
    <row r="130" spans="17:49">
      <c r="Q130" s="53">
        <v>324.02499999999998</v>
      </c>
      <c r="R130" s="54">
        <f t="shared" si="3"/>
        <v>3.0861816217884423E-3</v>
      </c>
      <c r="S130" s="56">
        <v>197325.36355374401</v>
      </c>
      <c r="T130" s="53">
        <v>350.666666666666</v>
      </c>
      <c r="U130" s="54">
        <f t="shared" si="4"/>
        <v>2.8517110266159749E-3</v>
      </c>
      <c r="V130" s="38">
        <v>161094.70000000001</v>
      </c>
      <c r="W130" s="53">
        <v>321</v>
      </c>
      <c r="X130" s="54">
        <f t="shared" si="5"/>
        <v>3.1152647975077881E-3</v>
      </c>
      <c r="Y130" s="63">
        <v>57929.04</v>
      </c>
      <c r="AD130" s="14">
        <v>283.14999999999998</v>
      </c>
      <c r="AE130" s="77">
        <v>0.60499999999999998</v>
      </c>
      <c r="AF130" s="75">
        <v>26.393787</v>
      </c>
      <c r="AG130" s="60">
        <v>15.690386999999999</v>
      </c>
      <c r="AO130" s="86">
        <v>0.39500000000000002</v>
      </c>
      <c r="AP130" s="150">
        <v>1807.579</v>
      </c>
      <c r="AQ130" s="60">
        <v>85.0672</v>
      </c>
      <c r="AR130" s="86">
        <v>0.39500000000000002</v>
      </c>
      <c r="AS130" s="150">
        <v>4077.5727999999999</v>
      </c>
      <c r="AT130" s="61">
        <v>587.74719999999991</v>
      </c>
      <c r="AU130" s="86">
        <v>0.39500000000000002</v>
      </c>
      <c r="AV130" s="150">
        <v>6504.6194999999998</v>
      </c>
      <c r="AW130" s="62">
        <v>1857.569</v>
      </c>
    </row>
    <row r="131" spans="17:49">
      <c r="Q131" s="53">
        <v>325.05</v>
      </c>
      <c r="R131" s="54">
        <f t="shared" si="3"/>
        <v>3.076449776957391E-3</v>
      </c>
      <c r="S131" s="56">
        <v>204034.13964432399</v>
      </c>
      <c r="T131" s="53">
        <v>351.33333333333297</v>
      </c>
      <c r="U131" s="54">
        <f t="shared" si="4"/>
        <v>2.8462998102466823E-3</v>
      </c>
      <c r="V131" s="38">
        <v>164433.1</v>
      </c>
      <c r="W131" s="53">
        <v>322</v>
      </c>
      <c r="X131" s="54">
        <f t="shared" si="5"/>
        <v>3.105590062111801E-3</v>
      </c>
      <c r="Y131" s="63">
        <v>60195.19</v>
      </c>
      <c r="AD131" s="14">
        <v>283.14999999999998</v>
      </c>
      <c r="AE131" s="77">
        <v>0.61</v>
      </c>
      <c r="AF131" s="75">
        <v>26.262007000000001</v>
      </c>
      <c r="AG131" s="60">
        <v>15.589546</v>
      </c>
      <c r="AO131" s="86">
        <v>0.39</v>
      </c>
      <c r="AP131" s="150">
        <v>1816.9206000000001</v>
      </c>
      <c r="AQ131" s="60">
        <v>86.159350000000003</v>
      </c>
      <c r="AR131" s="86">
        <v>0.39</v>
      </c>
      <c r="AS131" s="150">
        <v>4104.0135</v>
      </c>
      <c r="AT131" s="61">
        <v>595.54039999999998</v>
      </c>
      <c r="AU131" s="86">
        <v>0.39</v>
      </c>
      <c r="AV131" s="150">
        <v>6549.0050000000001</v>
      </c>
      <c r="AW131" s="62">
        <v>1884.5854999999999</v>
      </c>
    </row>
    <row r="132" spans="17:49">
      <c r="Q132" s="53">
        <v>326.07499999999999</v>
      </c>
      <c r="R132" s="54">
        <f t="shared" si="3"/>
        <v>3.0667791152342253E-3</v>
      </c>
      <c r="S132" s="56">
        <v>210916.48460542801</v>
      </c>
      <c r="T132" s="53">
        <v>352</v>
      </c>
      <c r="U132" s="54">
        <f t="shared" si="4"/>
        <v>2.840909090909091E-3</v>
      </c>
      <c r="V132" s="38">
        <v>167824.5</v>
      </c>
      <c r="W132" s="53">
        <v>323</v>
      </c>
      <c r="X132" s="54">
        <f t="shared" si="5"/>
        <v>3.0959752321981426E-3</v>
      </c>
      <c r="Y132" s="63">
        <v>62531.199999999997</v>
      </c>
      <c r="AD132" s="14">
        <v>283.14999999999998</v>
      </c>
      <c r="AE132" s="77">
        <v>0.61499999999999999</v>
      </c>
      <c r="AF132" s="75">
        <v>26.129490000000001</v>
      </c>
      <c r="AG132" s="60">
        <v>15.489895000000001</v>
      </c>
      <c r="AO132" s="86">
        <v>0.38500000000000001</v>
      </c>
      <c r="AP132" s="150">
        <v>1826.1980000000001</v>
      </c>
      <c r="AQ132" s="60">
        <v>87.279869999999988</v>
      </c>
      <c r="AR132" s="86">
        <v>0.38500000000000001</v>
      </c>
      <c r="AS132" s="150">
        <v>4130.4155000000001</v>
      </c>
      <c r="AT132" s="61">
        <v>603.54219999999998</v>
      </c>
      <c r="AU132" s="86">
        <v>0.38500000000000001</v>
      </c>
      <c r="AV132" s="150">
        <v>6593.3024999999998</v>
      </c>
      <c r="AW132" s="62">
        <v>1912.4075</v>
      </c>
    </row>
    <row r="133" spans="17:49">
      <c r="Q133" s="53">
        <v>327.10000000000002</v>
      </c>
      <c r="R133" s="54">
        <f t="shared" si="3"/>
        <v>3.0571690614490978E-3</v>
      </c>
      <c r="S133" s="56">
        <v>217975.28783797999</v>
      </c>
      <c r="T133" s="53">
        <v>352.666666666666</v>
      </c>
      <c r="U133" s="54">
        <f t="shared" si="4"/>
        <v>2.8355387523629543E-3</v>
      </c>
      <c r="V133" s="38">
        <v>171269.3</v>
      </c>
      <c r="W133" s="53">
        <v>324</v>
      </c>
      <c r="X133" s="54">
        <f t="shared" si="5"/>
        <v>3.0864197530864196E-3</v>
      </c>
      <c r="Y133" s="63">
        <v>64938.57</v>
      </c>
      <c r="AD133" s="14">
        <v>283.14999999999998</v>
      </c>
      <c r="AE133" s="77">
        <v>0.62</v>
      </c>
      <c r="AF133" s="75">
        <v>25.996220000000001</v>
      </c>
      <c r="AG133" s="60">
        <v>15.391413</v>
      </c>
      <c r="AO133" s="86">
        <v>0.38</v>
      </c>
      <c r="AP133" s="150">
        <v>1835.4131</v>
      </c>
      <c r="AQ133" s="60">
        <v>88.429874999999996</v>
      </c>
      <c r="AR133" s="86">
        <v>0.38</v>
      </c>
      <c r="AS133" s="150">
        <v>4156.7830000000004</v>
      </c>
      <c r="AT133" s="61">
        <v>611.76106000000004</v>
      </c>
      <c r="AU133" s="86">
        <v>0.38</v>
      </c>
      <c r="AV133" s="150">
        <v>6637.5060000000003</v>
      </c>
      <c r="AW133" s="62">
        <v>1941.0726000000002</v>
      </c>
    </row>
    <row r="134" spans="17:49">
      <c r="Q134" s="53">
        <v>328.125</v>
      </c>
      <c r="R134" s="54">
        <f t="shared" si="3"/>
        <v>3.0476190476190477E-3</v>
      </c>
      <c r="S134" s="56">
        <v>225213.45284171001</v>
      </c>
      <c r="T134" s="53">
        <v>353.33333333333297</v>
      </c>
      <c r="U134" s="54">
        <f t="shared" si="4"/>
        <v>2.8301886792452859E-3</v>
      </c>
      <c r="V134" s="38">
        <v>174768.1</v>
      </c>
      <c r="W134" s="53">
        <v>325</v>
      </c>
      <c r="X134" s="54">
        <f t="shared" si="5"/>
        <v>3.0769230769230769E-3</v>
      </c>
      <c r="Y134" s="63">
        <v>67418.789999999994</v>
      </c>
      <c r="AD134" s="14">
        <v>283.14999999999998</v>
      </c>
      <c r="AE134" s="77">
        <v>0.625</v>
      </c>
      <c r="AF134" s="75">
        <v>25.862169999999999</v>
      </c>
      <c r="AG134" s="60">
        <v>15.294083000000001</v>
      </c>
      <c r="AO134" s="86">
        <v>0.375</v>
      </c>
      <c r="AP134" s="150">
        <v>1844.5675000000001</v>
      </c>
      <c r="AQ134" s="60">
        <v>89.61054</v>
      </c>
      <c r="AR134" s="86">
        <v>0.375</v>
      </c>
      <c r="AS134" s="150">
        <v>4183.1197999999995</v>
      </c>
      <c r="AT134" s="61">
        <v>620.20609999999999</v>
      </c>
      <c r="AU134" s="86">
        <v>0.375</v>
      </c>
      <c r="AV134" s="150">
        <v>6681.6075000000001</v>
      </c>
      <c r="AW134" s="62">
        <v>1970.6208999999999</v>
      </c>
    </row>
    <row r="135" spans="17:49">
      <c r="Q135" s="53">
        <v>329.15</v>
      </c>
      <c r="R135" s="54">
        <f t="shared" si="3"/>
        <v>3.0381285128360932E-3</v>
      </c>
      <c r="S135" s="56">
        <v>232633.896876263</v>
      </c>
      <c r="T135" s="53">
        <v>354</v>
      </c>
      <c r="U135" s="54">
        <f t="shared" si="4"/>
        <v>2.8248587570621469E-3</v>
      </c>
      <c r="V135" s="38">
        <v>178321.6</v>
      </c>
      <c r="W135" s="53">
        <v>326</v>
      </c>
      <c r="X135" s="54">
        <f t="shared" si="5"/>
        <v>3.0674846625766872E-3</v>
      </c>
      <c r="Y135" s="63">
        <v>69973.41</v>
      </c>
      <c r="AD135" s="14">
        <v>283.14999999999998</v>
      </c>
      <c r="AE135" s="77">
        <v>0.63</v>
      </c>
      <c r="AF135" s="75">
        <v>25.727319999999999</v>
      </c>
      <c r="AG135" s="60">
        <v>15.197886</v>
      </c>
      <c r="AO135" s="86">
        <v>0.37</v>
      </c>
      <c r="AP135" s="150">
        <v>1853.6632</v>
      </c>
      <c r="AQ135" s="60">
        <v>90.823119999999989</v>
      </c>
      <c r="AR135" s="86">
        <v>0.37</v>
      </c>
      <c r="AS135" s="150">
        <v>4209.4305000000004</v>
      </c>
      <c r="AT135" s="61">
        <v>628.88675000000001</v>
      </c>
      <c r="AU135" s="86">
        <v>0.37</v>
      </c>
      <c r="AV135" s="150">
        <v>6725.598</v>
      </c>
      <c r="AW135" s="62">
        <v>2001.0946000000001</v>
      </c>
    </row>
    <row r="136" spans="17:49">
      <c r="Q136" s="53">
        <v>330.17500000000001</v>
      </c>
      <c r="R136" s="54">
        <f t="shared" si="3"/>
        <v>3.0286969031574165E-3</v>
      </c>
      <c r="S136" s="56">
        <v>240239.55062745899</v>
      </c>
      <c r="T136" s="53">
        <v>354.666666666666</v>
      </c>
      <c r="U136" s="54">
        <f t="shared" si="4"/>
        <v>2.8195488721804566E-3</v>
      </c>
      <c r="V136" s="38">
        <v>181930.1</v>
      </c>
      <c r="W136" s="53">
        <v>327</v>
      </c>
      <c r="X136" s="54">
        <f t="shared" si="5"/>
        <v>3.0581039755351682E-3</v>
      </c>
      <c r="Y136" s="63">
        <v>72603.95</v>
      </c>
      <c r="AD136" s="14">
        <v>283.14999999999998</v>
      </c>
      <c r="AE136" s="77">
        <v>0.63500000000000001</v>
      </c>
      <c r="AF136" s="75">
        <v>25.591646000000001</v>
      </c>
      <c r="AG136" s="60">
        <v>15.102807</v>
      </c>
      <c r="AO136" s="86">
        <v>0.36499999999999999</v>
      </c>
      <c r="AP136" s="150">
        <v>1862.7023999999999</v>
      </c>
      <c r="AQ136" s="60">
        <v>92.068910000000002</v>
      </c>
      <c r="AR136" s="86">
        <v>0.36499999999999999</v>
      </c>
      <c r="AS136" s="150">
        <v>4235.7190000000001</v>
      </c>
      <c r="AT136" s="61">
        <v>637.81293999999991</v>
      </c>
      <c r="AU136" s="86">
        <v>0.36499999999999999</v>
      </c>
      <c r="AV136" s="150">
        <v>6769.4674999999997</v>
      </c>
      <c r="AW136" s="62">
        <v>2032.5396000000001</v>
      </c>
    </row>
    <row r="137" spans="17:49">
      <c r="Q137" s="53">
        <v>331.2</v>
      </c>
      <c r="R137" s="54">
        <f t="shared" si="3"/>
        <v>3.0193236714975845E-3</v>
      </c>
      <c r="S137" s="56">
        <v>248033.357879288</v>
      </c>
      <c r="T137" s="53">
        <v>355.33333333333297</v>
      </c>
      <c r="U137" s="54">
        <f t="shared" si="4"/>
        <v>2.8142589118198905E-3</v>
      </c>
      <c r="V137" s="38">
        <v>185594.4</v>
      </c>
      <c r="W137" s="53">
        <v>328</v>
      </c>
      <c r="X137" s="54">
        <f t="shared" si="5"/>
        <v>3.0487804878048782E-3</v>
      </c>
      <c r="Y137" s="63">
        <v>75311.990000000005</v>
      </c>
      <c r="AD137" s="14">
        <v>283.14999999999998</v>
      </c>
      <c r="AE137" s="77">
        <v>0.64</v>
      </c>
      <c r="AF137" s="75">
        <v>25.455126</v>
      </c>
      <c r="AG137" s="60">
        <v>15.008825999999999</v>
      </c>
      <c r="AO137" s="86">
        <v>0.36</v>
      </c>
      <c r="AP137" s="150">
        <v>1871.6869999999999</v>
      </c>
      <c r="AQ137" s="60">
        <v>93.349304999999987</v>
      </c>
      <c r="AR137" s="86">
        <v>0.36</v>
      </c>
      <c r="AS137" s="150">
        <v>4261.9904999999999</v>
      </c>
      <c r="AT137" s="61">
        <v>646.99530000000004</v>
      </c>
      <c r="AU137" s="86">
        <v>0.36</v>
      </c>
      <c r="AV137" s="150">
        <v>6813.2039999999997</v>
      </c>
      <c r="AW137" s="62">
        <v>2065.0039999999999</v>
      </c>
    </row>
    <row r="138" spans="17:49">
      <c r="Q138" s="53">
        <v>332.22500000000002</v>
      </c>
      <c r="R138" s="54">
        <f t="shared" ref="R138:R201" si="6">1/Q138</f>
        <v>3.0100082775227628E-3</v>
      </c>
      <c r="S138" s="56">
        <v>256018.27519170099</v>
      </c>
      <c r="T138" s="53">
        <v>356</v>
      </c>
      <c r="U138" s="54">
        <f t="shared" ref="U138:U158" si="7">1/T138</f>
        <v>2.8089887640449437E-3</v>
      </c>
      <c r="V138" s="38">
        <v>189314.8</v>
      </c>
      <c r="W138" s="53">
        <v>329</v>
      </c>
      <c r="X138" s="54">
        <f t="shared" ref="X138:X201" si="8">1/W138</f>
        <v>3.0395136778115501E-3</v>
      </c>
      <c r="Y138" s="63">
        <v>78099.08</v>
      </c>
      <c r="AD138" s="14">
        <v>283.14999999999998</v>
      </c>
      <c r="AE138" s="77">
        <v>0.64500000000000002</v>
      </c>
      <c r="AF138" s="75">
        <v>25.317736</v>
      </c>
      <c r="AG138" s="60">
        <v>14.915929</v>
      </c>
      <c r="AO138" s="86">
        <v>0.35499999999999998</v>
      </c>
      <c r="AP138" s="150">
        <v>1880.6189999999999</v>
      </c>
      <c r="AQ138" s="60">
        <v>94.665766000000005</v>
      </c>
      <c r="AR138" s="86">
        <v>0.35499999999999998</v>
      </c>
      <c r="AS138" s="150">
        <v>4288.25</v>
      </c>
      <c r="AT138" s="61">
        <v>656.44506000000001</v>
      </c>
      <c r="AU138" s="86">
        <v>0.35499999999999998</v>
      </c>
      <c r="AV138" s="150">
        <v>6856.7929999999997</v>
      </c>
      <c r="AW138" s="62">
        <v>2098.54</v>
      </c>
    </row>
    <row r="139" spans="17:49">
      <c r="Q139" s="53">
        <v>333.25</v>
      </c>
      <c r="R139" s="54">
        <f t="shared" si="6"/>
        <v>3.0007501875468868E-3</v>
      </c>
      <c r="S139" s="56">
        <v>264197.27158427599</v>
      </c>
      <c r="T139" s="53">
        <v>356.666666666666</v>
      </c>
      <c r="U139" s="54">
        <f t="shared" si="7"/>
        <v>2.8037383177570148E-3</v>
      </c>
      <c r="V139" s="38">
        <v>193092.1</v>
      </c>
      <c r="W139" s="53">
        <v>330</v>
      </c>
      <c r="X139" s="54">
        <f t="shared" si="8"/>
        <v>3.0303030303030303E-3</v>
      </c>
      <c r="Y139" s="63">
        <v>80966.81</v>
      </c>
      <c r="AD139" s="14">
        <v>283.14999999999998</v>
      </c>
      <c r="AE139" s="77">
        <v>0.65</v>
      </c>
      <c r="AF139" s="75">
        <v>25.179447</v>
      </c>
      <c r="AG139" s="60">
        <v>14.824097</v>
      </c>
      <c r="AO139" s="86">
        <v>0.35</v>
      </c>
      <c r="AP139" s="150">
        <v>1889.5008</v>
      </c>
      <c r="AQ139" s="60">
        <v>96.019835999999998</v>
      </c>
      <c r="AR139" s="86">
        <v>0.35</v>
      </c>
      <c r="AS139" s="150">
        <v>4314.5020000000004</v>
      </c>
      <c r="AT139" s="61">
        <v>666.17409999999995</v>
      </c>
      <c r="AU139" s="86">
        <v>0.35</v>
      </c>
      <c r="AV139" s="150">
        <v>6900.2190000000001</v>
      </c>
      <c r="AW139" s="62">
        <v>2133.2032000000004</v>
      </c>
    </row>
    <row r="140" spans="17:49">
      <c r="Q140" s="53">
        <v>334.27499999999998</v>
      </c>
      <c r="R140" s="54">
        <f t="shared" si="6"/>
        <v>2.9915488744297362E-3</v>
      </c>
      <c r="S140" s="56">
        <v>272573.32822635898</v>
      </c>
      <c r="T140" s="53">
        <v>357.33333333333297</v>
      </c>
      <c r="U140" s="54">
        <f t="shared" si="7"/>
        <v>2.79850746268657E-3</v>
      </c>
      <c r="V140" s="38">
        <v>196926.7</v>
      </c>
      <c r="W140" s="53">
        <v>331</v>
      </c>
      <c r="X140" s="54">
        <f t="shared" si="8"/>
        <v>3.0211480362537764E-3</v>
      </c>
      <c r="Y140" s="63">
        <v>83916.77</v>
      </c>
      <c r="AD140" s="14">
        <v>283.14999999999998</v>
      </c>
      <c r="AE140" s="77">
        <v>0.65500000000000003</v>
      </c>
      <c r="AF140" s="75">
        <v>25.040236</v>
      </c>
      <c r="AG140" s="60">
        <v>14.733314</v>
      </c>
      <c r="AO140" s="86">
        <v>0.34499999999999997</v>
      </c>
      <c r="AP140" s="150">
        <v>1898.3344</v>
      </c>
      <c r="AQ140" s="60">
        <v>97.413160000000005</v>
      </c>
      <c r="AR140" s="86">
        <v>0.34499999999999997</v>
      </c>
      <c r="AS140" s="150">
        <v>4340.7520000000004</v>
      </c>
      <c r="AT140" s="61">
        <v>676.19500000000005</v>
      </c>
      <c r="AU140" s="86">
        <v>0.34499999999999997</v>
      </c>
      <c r="AV140" s="150">
        <v>6943.4624999999996</v>
      </c>
      <c r="AW140" s="62">
        <v>2169.0535</v>
      </c>
    </row>
    <row r="141" spans="17:49">
      <c r="Q141" s="53">
        <v>335.3</v>
      </c>
      <c r="R141" s="54">
        <f t="shared" si="6"/>
        <v>2.9824038174768863E-3</v>
      </c>
      <c r="S141" s="56">
        <v>281149.43813343497</v>
      </c>
      <c r="T141" s="53">
        <v>358</v>
      </c>
      <c r="U141" s="54">
        <f t="shared" si="7"/>
        <v>2.7932960893854749E-3</v>
      </c>
      <c r="V141" s="38">
        <v>200819.20000000001</v>
      </c>
      <c r="W141" s="53">
        <v>332</v>
      </c>
      <c r="X141" s="54">
        <f t="shared" si="8"/>
        <v>3.0120481927710845E-3</v>
      </c>
      <c r="Y141" s="63">
        <v>86950.56</v>
      </c>
      <c r="AD141" s="14">
        <v>283.14999999999998</v>
      </c>
      <c r="AE141" s="77">
        <v>0.66</v>
      </c>
      <c r="AF141" s="75">
        <v>24.900078000000001</v>
      </c>
      <c r="AG141" s="60">
        <v>14.643564</v>
      </c>
      <c r="AO141" s="86">
        <v>0.33999999999999997</v>
      </c>
      <c r="AP141" s="150">
        <v>1907.1224</v>
      </c>
      <c r="AQ141" s="60">
        <v>98.847445000000008</v>
      </c>
      <c r="AR141" s="86">
        <v>0.33999999999999997</v>
      </c>
      <c r="AS141" s="150">
        <v>4367.0055000000002</v>
      </c>
      <c r="AT141" s="61">
        <v>686.52109999999993</v>
      </c>
      <c r="AU141" s="86">
        <v>0.33999999999999997</v>
      </c>
      <c r="AV141" s="150">
        <v>6986.5024999999996</v>
      </c>
      <c r="AW141" s="62">
        <v>2206.1547999999998</v>
      </c>
    </row>
    <row r="142" spans="17:49">
      <c r="Q142" s="53">
        <v>336.32499999999999</v>
      </c>
      <c r="R142" s="54">
        <f t="shared" si="6"/>
        <v>2.9733145023414852E-3</v>
      </c>
      <c r="S142" s="56">
        <v>289928.605870253</v>
      </c>
      <c r="T142" s="53">
        <v>358.666666666666</v>
      </c>
      <c r="U142" s="54">
        <f t="shared" si="7"/>
        <v>2.7881040892193359E-3</v>
      </c>
      <c r="V142" s="38">
        <v>204770.1</v>
      </c>
      <c r="W142" s="53">
        <v>333</v>
      </c>
      <c r="X142" s="54">
        <f t="shared" si="8"/>
        <v>3.003003003003003E-3</v>
      </c>
      <c r="Y142" s="63">
        <v>90069.83</v>
      </c>
      <c r="AD142" s="14">
        <v>283.14999999999998</v>
      </c>
      <c r="AE142" s="77">
        <v>0.66500000000000004</v>
      </c>
      <c r="AF142" s="75">
        <v>24.758944</v>
      </c>
      <c r="AG142" s="60">
        <v>14.554831999999999</v>
      </c>
      <c r="AO142" s="86">
        <v>0.33499999999999996</v>
      </c>
      <c r="AP142" s="150">
        <v>1915.8671000000002</v>
      </c>
      <c r="AQ142" s="61">
        <v>100.32455</v>
      </c>
      <c r="AR142" s="86">
        <v>0.33499999999999996</v>
      </c>
      <c r="AS142" s="150">
        <v>4393.2674999999999</v>
      </c>
      <c r="AT142" s="61">
        <v>697.16656</v>
      </c>
      <c r="AU142" s="86">
        <v>0.33499999999999996</v>
      </c>
      <c r="AV142" s="150">
        <v>7029.3125</v>
      </c>
      <c r="AW142" s="62">
        <v>2244.5765000000001</v>
      </c>
    </row>
    <row r="143" spans="17:49">
      <c r="Q143" s="53">
        <v>337.35</v>
      </c>
      <c r="R143" s="54">
        <f t="shared" si="6"/>
        <v>2.9642804209278196E-3</v>
      </c>
      <c r="S143" s="56">
        <v>298913.84726070601</v>
      </c>
      <c r="T143" s="53">
        <v>359.33333333333297</v>
      </c>
      <c r="U143" s="54">
        <f t="shared" si="7"/>
        <v>2.7829313543599288E-3</v>
      </c>
      <c r="V143" s="38">
        <v>208780.1</v>
      </c>
      <c r="W143" s="53">
        <v>334</v>
      </c>
      <c r="X143" s="54">
        <f t="shared" si="8"/>
        <v>2.9940119760479044E-3</v>
      </c>
      <c r="Y143" s="63">
        <v>93276.19</v>
      </c>
      <c r="AD143" s="14">
        <v>283.14999999999998</v>
      </c>
      <c r="AE143" s="77">
        <v>0.67</v>
      </c>
      <c r="AF143" s="75">
        <v>24.616803999999998</v>
      </c>
      <c r="AG143" s="60">
        <v>14.467102000000001</v>
      </c>
      <c r="AO143" s="86">
        <v>0.32999999999999996</v>
      </c>
      <c r="AP143" s="150">
        <v>1924.5709999999999</v>
      </c>
      <c r="AQ143" s="61">
        <v>101.84641000000001</v>
      </c>
      <c r="AR143" s="86">
        <v>0.32999999999999996</v>
      </c>
      <c r="AS143" s="150">
        <v>4419.5445</v>
      </c>
      <c r="AT143" s="61">
        <v>708.14656000000002</v>
      </c>
      <c r="AU143" s="86">
        <v>0.32999999999999996</v>
      </c>
      <c r="AV143" s="150">
        <v>7071.8635000000004</v>
      </c>
      <c r="AW143" s="62">
        <v>2284.3927999999996</v>
      </c>
    </row>
    <row r="144" spans="17:49">
      <c r="Q144" s="53">
        <v>338.375</v>
      </c>
      <c r="R144" s="54">
        <f t="shared" si="6"/>
        <v>2.9553010712966383E-3</v>
      </c>
      <c r="S144" s="56">
        <v>308108.189104777</v>
      </c>
      <c r="T144" s="53">
        <v>360</v>
      </c>
      <c r="U144" s="54">
        <f t="shared" si="7"/>
        <v>2.7777777777777779E-3</v>
      </c>
      <c r="V144" s="38">
        <v>212849.7</v>
      </c>
      <c r="W144" s="53">
        <v>335</v>
      </c>
      <c r="X144" s="54">
        <f t="shared" si="8"/>
        <v>2.9850746268656717E-3</v>
      </c>
      <c r="Y144" s="63">
        <v>96571.3</v>
      </c>
      <c r="AD144" s="14">
        <v>283.14999999999998</v>
      </c>
      <c r="AE144" s="77">
        <v>0.67500000000000004</v>
      </c>
      <c r="AF144" s="75">
        <v>24.473633</v>
      </c>
      <c r="AG144" s="60">
        <v>14.380357999999999</v>
      </c>
      <c r="AO144" s="86">
        <v>0.32499999999999996</v>
      </c>
      <c r="AP144" s="150">
        <v>1933.2368000000001</v>
      </c>
      <c r="AQ144" s="61">
        <v>103.415086</v>
      </c>
      <c r="AR144" s="86">
        <v>0.32499999999999996</v>
      </c>
      <c r="AS144" s="150">
        <v>4445.8424999999997</v>
      </c>
      <c r="AT144" s="61">
        <v>719.47699999999998</v>
      </c>
      <c r="AU144" s="86">
        <v>0.32499999999999996</v>
      </c>
      <c r="AV144" s="150">
        <v>7114.1210000000001</v>
      </c>
      <c r="AW144" s="62">
        <v>2325.6844999999998</v>
      </c>
    </row>
    <row r="145" spans="17:49">
      <c r="Q145" s="53">
        <v>339.4</v>
      </c>
      <c r="R145" s="54">
        <f t="shared" si="6"/>
        <v>2.9463759575721863E-3</v>
      </c>
      <c r="S145" s="56">
        <v>317514.66890259902</v>
      </c>
      <c r="T145" s="53">
        <v>360.666666666666</v>
      </c>
      <c r="U145" s="54">
        <f t="shared" si="7"/>
        <v>2.7726432532347556E-3</v>
      </c>
      <c r="V145" s="38">
        <v>216979.4</v>
      </c>
      <c r="W145" s="53">
        <v>336</v>
      </c>
      <c r="X145" s="54">
        <f t="shared" si="8"/>
        <v>2.976190476190476E-3</v>
      </c>
      <c r="Y145" s="63">
        <v>99956.81</v>
      </c>
      <c r="AD145" s="14">
        <v>283.14999999999998</v>
      </c>
      <c r="AE145" s="77">
        <v>0.68</v>
      </c>
      <c r="AF145" s="75">
        <v>24.329401000000001</v>
      </c>
      <c r="AG145" s="60">
        <v>14.294585</v>
      </c>
      <c r="AO145" s="86">
        <v>0.31999999999999995</v>
      </c>
      <c r="AP145" s="150">
        <v>1941.8669</v>
      </c>
      <c r="AQ145" s="61">
        <v>105.03277</v>
      </c>
      <c r="AR145" s="86">
        <v>0.31999999999999995</v>
      </c>
      <c r="AS145" s="150">
        <v>4472.1674999999996</v>
      </c>
      <c r="AT145" s="61">
        <v>731.17506000000003</v>
      </c>
      <c r="AU145" s="86">
        <v>0.31999999999999995</v>
      </c>
      <c r="AV145" s="150">
        <v>7156.0450000000001</v>
      </c>
      <c r="AW145" s="62">
        <v>2368.5387999999998</v>
      </c>
    </row>
    <row r="146" spans="17:49">
      <c r="Q146" s="53">
        <v>340.42500000000001</v>
      </c>
      <c r="R146" s="54">
        <f t="shared" si="6"/>
        <v>2.9375045898509216E-3</v>
      </c>
      <c r="S146" s="56">
        <v>327136.33458586701</v>
      </c>
      <c r="T146" s="53">
        <v>361.33333333333297</v>
      </c>
      <c r="U146" s="54">
        <f t="shared" si="7"/>
        <v>2.7675276752767556E-3</v>
      </c>
      <c r="V146" s="38">
        <v>221169.9</v>
      </c>
      <c r="W146" s="53">
        <v>337</v>
      </c>
      <c r="X146" s="54">
        <f t="shared" si="8"/>
        <v>2.967359050445104E-3</v>
      </c>
      <c r="Y146" s="63">
        <v>103434.4</v>
      </c>
      <c r="AD146" s="14">
        <v>283.14999999999998</v>
      </c>
      <c r="AE146" s="77">
        <v>0.68500000000000005</v>
      </c>
      <c r="AF146" s="75">
        <v>24.184076000000001</v>
      </c>
      <c r="AG146" s="60">
        <v>14.209770000000001</v>
      </c>
      <c r="AO146" s="86">
        <v>0.31499999999999995</v>
      </c>
      <c r="AP146" s="150">
        <v>1950.4641000000001</v>
      </c>
      <c r="AQ146" s="61">
        <v>106.70182000000001</v>
      </c>
      <c r="AR146" s="86">
        <v>0.31499999999999995</v>
      </c>
      <c r="AS146" s="150">
        <v>4498.5264999999999</v>
      </c>
      <c r="AT146" s="61">
        <v>743.25900000000001</v>
      </c>
      <c r="AU146" s="86">
        <v>0.31499999999999995</v>
      </c>
      <c r="AV146" s="150">
        <v>7197.5895</v>
      </c>
      <c r="AW146" s="62">
        <v>2413.0497999999998</v>
      </c>
    </row>
    <row r="147" spans="17:49">
      <c r="Q147" s="53">
        <v>341.45</v>
      </c>
      <c r="R147" s="54">
        <f t="shared" si="6"/>
        <v>2.9286864841118758E-3</v>
      </c>
      <c r="S147" s="56">
        <v>336976.24425680499</v>
      </c>
      <c r="T147" s="53">
        <v>362</v>
      </c>
      <c r="U147" s="54">
        <f t="shared" si="7"/>
        <v>2.7624309392265192E-3</v>
      </c>
      <c r="V147" s="38">
        <v>225421.6</v>
      </c>
      <c r="W147" s="53">
        <v>338</v>
      </c>
      <c r="X147" s="54">
        <f t="shared" si="8"/>
        <v>2.9585798816568047E-3</v>
      </c>
      <c r="Y147" s="63">
        <v>107005.7</v>
      </c>
      <c r="AD147" s="14">
        <v>283.14999999999998</v>
      </c>
      <c r="AE147" s="77">
        <v>0.69</v>
      </c>
      <c r="AF147" s="75">
        <v>24.037625999999999</v>
      </c>
      <c r="AG147" s="60">
        <v>14.125895999999999</v>
      </c>
      <c r="AO147" s="86">
        <v>0.31000000000000005</v>
      </c>
      <c r="AP147" s="150">
        <v>1959.0313999999998</v>
      </c>
      <c r="AQ147" s="61">
        <v>108.42469</v>
      </c>
      <c r="AR147" s="86">
        <v>0.31000000000000005</v>
      </c>
      <c r="AS147" s="150">
        <v>4524.9255000000003</v>
      </c>
      <c r="AT147" s="61">
        <v>755.7482</v>
      </c>
      <c r="AU147" s="86">
        <v>0.31000000000000005</v>
      </c>
      <c r="AV147" s="150">
        <v>7238.7</v>
      </c>
      <c r="AW147" s="62">
        <v>2459.3202000000001</v>
      </c>
    </row>
    <row r="148" spans="17:49">
      <c r="Q148" s="53">
        <v>342.47500000000002</v>
      </c>
      <c r="R148" s="54">
        <f t="shared" si="6"/>
        <v>2.9199211621286224E-3</v>
      </c>
      <c r="S148" s="56">
        <v>347037.46593470901</v>
      </c>
      <c r="T148" s="53">
        <v>362.666666666666</v>
      </c>
      <c r="U148" s="54">
        <f t="shared" si="7"/>
        <v>2.7573529411764755E-3</v>
      </c>
      <c r="V148" s="38">
        <v>229735.2</v>
      </c>
      <c r="W148" s="53">
        <v>339</v>
      </c>
      <c r="X148" s="54">
        <f t="shared" si="8"/>
        <v>2.9498525073746312E-3</v>
      </c>
      <c r="Y148" s="63">
        <v>110672.5</v>
      </c>
      <c r="AD148" s="14">
        <v>283.14999999999998</v>
      </c>
      <c r="AE148" s="77">
        <v>0.69499999999999995</v>
      </c>
      <c r="AF148" s="75">
        <v>23.890021999999998</v>
      </c>
      <c r="AG148" s="60">
        <v>14.042951</v>
      </c>
      <c r="AO148" s="86">
        <v>0.30500000000000005</v>
      </c>
      <c r="AP148" s="150">
        <v>1967.5713999999998</v>
      </c>
      <c r="AQ148" s="61">
        <v>110.20403999999999</v>
      </c>
      <c r="AR148" s="86">
        <v>0.30500000000000005</v>
      </c>
      <c r="AS148" s="150">
        <v>4551.3720000000003</v>
      </c>
      <c r="AT148" s="61">
        <v>768.66343999999992</v>
      </c>
      <c r="AU148" s="86">
        <v>0.30500000000000005</v>
      </c>
      <c r="AV148" s="150">
        <v>7279.3135000000002</v>
      </c>
      <c r="AW148" s="62">
        <v>2507.4622000000004</v>
      </c>
    </row>
    <row r="149" spans="17:49">
      <c r="Q149" s="53">
        <v>343.5</v>
      </c>
      <c r="R149" s="54">
        <f t="shared" si="6"/>
        <v>2.911208151382824E-3</v>
      </c>
      <c r="S149" s="56">
        <v>357323.077310319</v>
      </c>
      <c r="T149" s="53">
        <v>363.33333333333297</v>
      </c>
      <c r="U149" s="54">
        <f t="shared" si="7"/>
        <v>2.7522935779816541E-3</v>
      </c>
      <c r="V149" s="38">
        <v>234111.3</v>
      </c>
      <c r="W149" s="53">
        <v>340</v>
      </c>
      <c r="X149" s="54">
        <f t="shared" si="8"/>
        <v>2.9411764705882353E-3</v>
      </c>
      <c r="Y149" s="63">
        <v>114436.5</v>
      </c>
      <c r="AD149" s="14">
        <v>283.14999999999998</v>
      </c>
      <c r="AE149" s="77">
        <v>0.7</v>
      </c>
      <c r="AF149" s="75">
        <v>23.741228</v>
      </c>
      <c r="AG149" s="60">
        <v>13.960917999999999</v>
      </c>
      <c r="AO149" s="86">
        <v>0.30000000000000004</v>
      </c>
      <c r="AP149" s="150">
        <v>1976.0871999999999</v>
      </c>
      <c r="AQ149" s="61">
        <v>112.04269500000001</v>
      </c>
      <c r="AR149" s="86">
        <v>0.30000000000000004</v>
      </c>
      <c r="AS149" s="150">
        <v>4577.8729999999996</v>
      </c>
      <c r="AT149" s="61">
        <v>782.02700000000004</v>
      </c>
      <c r="AU149" s="86">
        <v>0.30000000000000004</v>
      </c>
      <c r="AV149" s="150">
        <v>7319.3564999999999</v>
      </c>
      <c r="AW149" s="62">
        <v>2557.5974999999999</v>
      </c>
    </row>
    <row r="150" spans="17:49">
      <c r="Q150" s="53">
        <v>344.52499999999998</v>
      </c>
      <c r="R150" s="54">
        <f t="shared" si="6"/>
        <v>2.9025469849793197E-3</v>
      </c>
      <c r="S150" s="56">
        <v>367836.16550818301</v>
      </c>
      <c r="T150" s="53">
        <v>364</v>
      </c>
      <c r="U150" s="54">
        <f t="shared" si="7"/>
        <v>2.7472527472527475E-3</v>
      </c>
      <c r="V150" s="38">
        <v>238550.3</v>
      </c>
      <c r="W150" s="53">
        <v>341</v>
      </c>
      <c r="X150" s="54">
        <f t="shared" si="8"/>
        <v>2.9325513196480938E-3</v>
      </c>
      <c r="Y150" s="63">
        <v>118299.3</v>
      </c>
      <c r="AD150" s="14">
        <v>283.14999999999998</v>
      </c>
      <c r="AE150" s="77">
        <v>0.70499999999999996</v>
      </c>
      <c r="AF150" s="75">
        <v>23.591211000000001</v>
      </c>
      <c r="AG150" s="60">
        <v>13.879787</v>
      </c>
      <c r="AO150" s="86">
        <v>0.29500000000000004</v>
      </c>
      <c r="AP150" s="150">
        <v>1984.5821000000001</v>
      </c>
      <c r="AQ150" s="61">
        <v>113.94367</v>
      </c>
      <c r="AR150" s="86">
        <v>0.29500000000000004</v>
      </c>
      <c r="AS150" s="150">
        <v>4604.4364999999998</v>
      </c>
      <c r="AT150" s="61">
        <v>795.8626999999999</v>
      </c>
      <c r="AU150" s="86">
        <v>0.29500000000000004</v>
      </c>
      <c r="AV150" s="150">
        <v>7358.7430000000004</v>
      </c>
      <c r="AW150" s="62">
        <v>2609.86</v>
      </c>
    </row>
    <row r="151" spans="17:49">
      <c r="Q151" s="53">
        <v>345.55</v>
      </c>
      <c r="R151" s="54">
        <f t="shared" si="6"/>
        <v>2.8939372015627258E-3</v>
      </c>
      <c r="S151" s="56">
        <v>378579.82685704599</v>
      </c>
      <c r="T151" s="53">
        <v>364.666666666666</v>
      </c>
      <c r="U151" s="54">
        <f t="shared" si="7"/>
        <v>2.7422303473491824E-3</v>
      </c>
      <c r="V151" s="38">
        <v>243052.9</v>
      </c>
      <c r="W151" s="53">
        <v>342</v>
      </c>
      <c r="X151" s="54">
        <f t="shared" si="8"/>
        <v>2.9239766081871343E-3</v>
      </c>
      <c r="Y151" s="63">
        <v>122262.8</v>
      </c>
      <c r="AD151" s="14">
        <v>283.14999999999998</v>
      </c>
      <c r="AE151" s="77">
        <v>0.71</v>
      </c>
      <c r="AF151" s="75">
        <v>23.439935999999999</v>
      </c>
      <c r="AG151" s="60">
        <v>13.799541</v>
      </c>
      <c r="AO151" s="86">
        <v>0.29000000000000004</v>
      </c>
      <c r="AP151" s="150">
        <v>1993.059</v>
      </c>
      <c r="AQ151" s="61">
        <v>115.91018</v>
      </c>
      <c r="AR151" s="86">
        <v>0.29000000000000004</v>
      </c>
      <c r="AS151" s="150">
        <v>4631.07</v>
      </c>
      <c r="AT151" s="61">
        <v>810.19600000000003</v>
      </c>
      <c r="AU151" s="86">
        <v>0.29000000000000004</v>
      </c>
      <c r="AV151" s="150">
        <v>7397.3725000000004</v>
      </c>
      <c r="AW151" s="62">
        <v>2664.3964999999998</v>
      </c>
    </row>
    <row r="152" spans="17:49">
      <c r="Q152" s="53">
        <v>346.57499999999999</v>
      </c>
      <c r="R152" s="54">
        <f t="shared" si="6"/>
        <v>2.8853783452355191E-3</v>
      </c>
      <c r="S152" s="56">
        <v>389557.16666842101</v>
      </c>
      <c r="T152" s="53">
        <v>365.33333333333297</v>
      </c>
      <c r="U152" s="54">
        <f t="shared" si="7"/>
        <v>2.7372262773722655E-3</v>
      </c>
      <c r="V152" s="38">
        <v>247619.7</v>
      </c>
      <c r="W152" s="53">
        <v>343</v>
      </c>
      <c r="X152" s="54">
        <f t="shared" si="8"/>
        <v>2.9154518950437317E-3</v>
      </c>
      <c r="Y152" s="63">
        <v>126328.6</v>
      </c>
      <c r="AD152" s="14">
        <v>283.14999999999998</v>
      </c>
      <c r="AE152" s="77">
        <v>0.71499999999999997</v>
      </c>
      <c r="AF152" s="75">
        <v>23.287367</v>
      </c>
      <c r="AG152" s="60">
        <v>13.720167999999999</v>
      </c>
      <c r="AO152" s="86">
        <v>0.28500000000000003</v>
      </c>
      <c r="AP152" s="150">
        <v>2001.5213999999999</v>
      </c>
      <c r="AQ152" s="61">
        <v>117.94566999999999</v>
      </c>
      <c r="AR152" s="86">
        <v>0.28500000000000003</v>
      </c>
      <c r="AS152" s="150">
        <v>4657.7815000000001</v>
      </c>
      <c r="AT152" s="61">
        <v>825.05430000000001</v>
      </c>
      <c r="AU152" s="86">
        <v>0.28500000000000003</v>
      </c>
      <c r="AV152" s="150">
        <v>7435.1279999999997</v>
      </c>
      <c r="AW152" s="62">
        <v>2721.3679999999999</v>
      </c>
    </row>
    <row r="153" spans="17:49">
      <c r="Q153" s="53">
        <v>347.6</v>
      </c>
      <c r="R153" s="54">
        <f t="shared" si="6"/>
        <v>2.8768699654775601E-3</v>
      </c>
      <c r="S153" s="56">
        <v>400771.299023623</v>
      </c>
      <c r="T153" s="53">
        <v>366</v>
      </c>
      <c r="U153" s="54">
        <f t="shared" si="7"/>
        <v>2.7322404371584699E-3</v>
      </c>
      <c r="V153" s="38">
        <v>252251.2</v>
      </c>
      <c r="W153" s="53">
        <v>344</v>
      </c>
      <c r="X153" s="54">
        <f t="shared" si="8"/>
        <v>2.9069767441860465E-3</v>
      </c>
      <c r="Y153" s="63">
        <v>130498.5</v>
      </c>
      <c r="AD153" s="14">
        <v>283.14999999999998</v>
      </c>
      <c r="AE153" s="77">
        <v>0.72</v>
      </c>
      <c r="AF153" s="75">
        <v>23.133465000000001</v>
      </c>
      <c r="AG153" s="60">
        <v>13.641655999999999</v>
      </c>
      <c r="AO153" s="86">
        <v>0.28000000000000003</v>
      </c>
      <c r="AP153" s="150">
        <v>2009.9721999999999</v>
      </c>
      <c r="AQ153" s="61">
        <v>120.05385000000001</v>
      </c>
      <c r="AR153" s="86">
        <v>0.28000000000000003</v>
      </c>
      <c r="AS153" s="150">
        <v>4684.58</v>
      </c>
      <c r="AT153" s="61">
        <v>840.46719999999993</v>
      </c>
      <c r="AU153" s="86">
        <v>0.28000000000000003</v>
      </c>
      <c r="AV153" s="150">
        <v>7471.8720000000003</v>
      </c>
      <c r="AW153" s="62">
        <v>2780.9535000000001</v>
      </c>
    </row>
    <row r="154" spans="17:49">
      <c r="Q154" s="53">
        <v>348.625</v>
      </c>
      <c r="R154" s="54">
        <f t="shared" si="6"/>
        <v>2.8684116170670493E-3</v>
      </c>
      <c r="S154" s="56">
        <v>412225.34656909801</v>
      </c>
      <c r="T154" s="53">
        <v>366.666666666666</v>
      </c>
      <c r="U154" s="54">
        <f t="shared" si="7"/>
        <v>2.7272727272727323E-3</v>
      </c>
      <c r="V154" s="38">
        <v>256948</v>
      </c>
      <c r="W154" s="53">
        <v>345</v>
      </c>
      <c r="X154" s="54">
        <f t="shared" si="8"/>
        <v>2.8985507246376812E-3</v>
      </c>
      <c r="Y154" s="63">
        <v>134774.29999999999</v>
      </c>
      <c r="AD154" s="14">
        <v>283.14999999999998</v>
      </c>
      <c r="AE154" s="77">
        <v>0.72499999999999998</v>
      </c>
      <c r="AF154" s="75">
        <v>22.978193000000001</v>
      </c>
      <c r="AG154" s="60">
        <v>13.563991</v>
      </c>
      <c r="AO154" s="86">
        <v>0.27500000000000002</v>
      </c>
      <c r="AP154" s="150">
        <v>2018.4155000000001</v>
      </c>
      <c r="AQ154" s="61">
        <v>122.23867999999999</v>
      </c>
      <c r="AR154" s="86">
        <v>0.27500000000000002</v>
      </c>
      <c r="AS154" s="150">
        <v>4711.473</v>
      </c>
      <c r="AT154" s="61">
        <v>856.46630000000005</v>
      </c>
      <c r="AU154" s="86">
        <v>0.27500000000000002</v>
      </c>
      <c r="AV154" s="150">
        <v>7507.4425000000001</v>
      </c>
      <c r="AW154" s="62">
        <v>2843.3505</v>
      </c>
    </row>
    <row r="155" spans="17:49">
      <c r="Q155" s="53">
        <v>349.65</v>
      </c>
      <c r="R155" s="54">
        <f t="shared" si="6"/>
        <v>2.8600028600028601E-3</v>
      </c>
      <c r="S155" s="56">
        <v>423922.440320389</v>
      </c>
      <c r="T155" s="53">
        <v>367.33333333333297</v>
      </c>
      <c r="U155" s="54">
        <f t="shared" si="7"/>
        <v>2.7223230490018174E-3</v>
      </c>
      <c r="V155" s="38">
        <v>261710.7</v>
      </c>
      <c r="W155" s="53">
        <v>346</v>
      </c>
      <c r="X155" s="54">
        <f t="shared" si="8"/>
        <v>2.8901734104046241E-3</v>
      </c>
      <c r="Y155" s="63">
        <v>139157.70000000001</v>
      </c>
      <c r="AD155" s="14">
        <v>283.14999999999998</v>
      </c>
      <c r="AE155" s="77">
        <v>0.73</v>
      </c>
      <c r="AF155" s="75">
        <v>22.82151</v>
      </c>
      <c r="AG155" s="60">
        <v>13.487159999999999</v>
      </c>
      <c r="AO155" s="86">
        <v>0.27</v>
      </c>
      <c r="AP155" s="150">
        <v>2026.8543999999999</v>
      </c>
      <c r="AQ155" s="61">
        <v>124.50439999999999</v>
      </c>
      <c r="AR155" s="86">
        <v>0.27</v>
      </c>
      <c r="AS155" s="150">
        <v>4738.4705000000004</v>
      </c>
      <c r="AT155" s="61">
        <v>873.08580000000006</v>
      </c>
      <c r="AU155" s="86">
        <v>0.27</v>
      </c>
      <c r="AV155" s="150">
        <v>7541.6514999999999</v>
      </c>
      <c r="AW155" s="62">
        <v>2908.7792000000004</v>
      </c>
    </row>
    <row r="156" spans="17:49">
      <c r="Q156" s="53">
        <v>350.67500000000001</v>
      </c>
      <c r="R156" s="54">
        <f t="shared" si="6"/>
        <v>2.8516432594282454E-3</v>
      </c>
      <c r="S156" s="56">
        <v>435865.71947486</v>
      </c>
      <c r="T156" s="53">
        <v>368</v>
      </c>
      <c r="U156" s="54">
        <f t="shared" si="7"/>
        <v>2.717391304347826E-3</v>
      </c>
      <c r="V156" s="38">
        <v>266539.90000000002</v>
      </c>
      <c r="W156" s="53">
        <v>347</v>
      </c>
      <c r="X156" s="54">
        <f t="shared" si="8"/>
        <v>2.881844380403458E-3</v>
      </c>
      <c r="Y156" s="63">
        <v>143650.5</v>
      </c>
      <c r="AD156" s="14">
        <v>283.14999999999998</v>
      </c>
      <c r="AE156" s="77">
        <v>0.73499999999999999</v>
      </c>
      <c r="AF156" s="75">
        <v>22.663378000000002</v>
      </c>
      <c r="AG156" s="60">
        <v>13.411152</v>
      </c>
      <c r="AO156" s="86">
        <v>0.26500000000000001</v>
      </c>
      <c r="AP156" s="150">
        <v>2035.2926</v>
      </c>
      <c r="AQ156" s="61">
        <v>126.85560000000001</v>
      </c>
      <c r="AR156" s="86">
        <v>0.26500000000000001</v>
      </c>
      <c r="AS156" s="150">
        <v>4765.5815000000002</v>
      </c>
      <c r="AT156" s="61">
        <v>890.3626999999999</v>
      </c>
      <c r="AU156" s="86">
        <v>0.26500000000000001</v>
      </c>
      <c r="AV156" s="150">
        <v>7574.2759999999998</v>
      </c>
      <c r="AW156" s="62">
        <v>2977.4854999999998</v>
      </c>
    </row>
    <row r="157" spans="17:49">
      <c r="Q157" s="53">
        <v>351.7</v>
      </c>
      <c r="R157" s="54">
        <f t="shared" si="6"/>
        <v>2.8433323855558716E-3</v>
      </c>
      <c r="S157" s="56">
        <v>448058.33123307</v>
      </c>
      <c r="T157" s="53">
        <v>368.666666666666</v>
      </c>
      <c r="U157" s="54">
        <f t="shared" si="7"/>
        <v>2.7124773960217046E-3</v>
      </c>
      <c r="V157" s="38">
        <v>271436.09999999998</v>
      </c>
      <c r="W157" s="53">
        <v>348</v>
      </c>
      <c r="X157" s="54">
        <f t="shared" si="8"/>
        <v>2.8735632183908046E-3</v>
      </c>
      <c r="Y157" s="63">
        <v>148254.5</v>
      </c>
      <c r="AD157" s="14">
        <v>283.14999999999998</v>
      </c>
      <c r="AE157" s="77">
        <v>0.74</v>
      </c>
      <c r="AF157" s="75">
        <v>22.503751999999999</v>
      </c>
      <c r="AG157" s="60">
        <v>13.335953</v>
      </c>
      <c r="AO157" s="86">
        <v>0.26</v>
      </c>
      <c r="AP157" s="150">
        <v>2043.7341000000001</v>
      </c>
      <c r="AQ157" s="61">
        <v>129.29721000000001</v>
      </c>
      <c r="AR157" s="86">
        <v>0.26</v>
      </c>
      <c r="AS157" s="150">
        <v>4792.8159999999998</v>
      </c>
      <c r="AT157" s="61">
        <v>908.33680000000004</v>
      </c>
      <c r="AU157" s="86">
        <v>0.26</v>
      </c>
      <c r="AV157" s="150">
        <v>7605.0550000000003</v>
      </c>
      <c r="AW157" s="62">
        <v>3049.7460000000001</v>
      </c>
    </row>
    <row r="158" spans="17:49" ht="15" thickBot="1">
      <c r="Q158" s="53">
        <v>352.72500000000002</v>
      </c>
      <c r="R158" s="54">
        <f t="shared" si="6"/>
        <v>2.8350698135941594E-3</v>
      </c>
      <c r="S158" s="56">
        <v>460503.43062911899</v>
      </c>
      <c r="T158" s="57">
        <v>369.33333333333297</v>
      </c>
      <c r="U158" s="58">
        <f t="shared" si="7"/>
        <v>2.7075812274368256E-3</v>
      </c>
      <c r="V158" s="39">
        <v>276399.90000000002</v>
      </c>
      <c r="W158" s="53">
        <v>349</v>
      </c>
      <c r="X158" s="54">
        <f t="shared" si="8"/>
        <v>2.8653295128939827E-3</v>
      </c>
      <c r="Y158" s="63">
        <v>152971.6</v>
      </c>
      <c r="AD158" s="14">
        <v>283.14999999999998</v>
      </c>
      <c r="AE158" s="77">
        <v>0.745</v>
      </c>
      <c r="AF158" s="75">
        <v>22.342587999999999</v>
      </c>
      <c r="AG158" s="60">
        <v>13.261552</v>
      </c>
      <c r="AO158" s="86">
        <v>0.255</v>
      </c>
      <c r="AP158" s="150">
        <v>2052.1826000000001</v>
      </c>
      <c r="AQ158" s="61">
        <v>131.83453</v>
      </c>
      <c r="AR158" s="86">
        <v>0.255</v>
      </c>
      <c r="AS158" s="150">
        <v>4820.1840000000002</v>
      </c>
      <c r="AT158" s="61">
        <v>927.05140000000006</v>
      </c>
      <c r="AU158" s="86">
        <v>0.255</v>
      </c>
      <c r="AV158" s="150">
        <v>7633.6805000000004</v>
      </c>
      <c r="AW158" s="62">
        <v>3125.8722000000002</v>
      </c>
    </row>
    <row r="159" spans="17:49">
      <c r="Q159" s="53">
        <v>353.75</v>
      </c>
      <c r="R159" s="54">
        <f t="shared" si="6"/>
        <v>2.8268551236749115E-3</v>
      </c>
      <c r="S159" s="56">
        <v>473204.18036994297</v>
      </c>
      <c r="U159" s="3"/>
      <c r="W159" s="53">
        <v>350</v>
      </c>
      <c r="X159" s="54">
        <f t="shared" si="8"/>
        <v>2.8571428571428571E-3</v>
      </c>
      <c r="Y159" s="63">
        <v>157803.4</v>
      </c>
      <c r="AD159" s="14">
        <v>283.14999999999998</v>
      </c>
      <c r="AE159" s="77">
        <v>0.75</v>
      </c>
      <c r="AF159" s="75">
        <v>22.179842000000001</v>
      </c>
      <c r="AG159" s="60">
        <v>13.187938000000001</v>
      </c>
      <c r="AO159" s="86">
        <v>0.25</v>
      </c>
      <c r="AP159" s="150">
        <v>2060.6421999999998</v>
      </c>
      <c r="AQ159" s="61">
        <v>134.47332999999998</v>
      </c>
      <c r="AR159" s="86">
        <v>0.25</v>
      </c>
      <c r="AS159" s="150">
        <v>4847.6949999999997</v>
      </c>
      <c r="AT159" s="61">
        <v>946.55325000000005</v>
      </c>
      <c r="AU159" s="86">
        <v>0.25</v>
      </c>
      <c r="AV159" s="150">
        <v>7659.7889999999998</v>
      </c>
      <c r="AW159" s="62">
        <v>3206.2184999999999</v>
      </c>
    </row>
    <row r="160" spans="17:49">
      <c r="Q160" s="53">
        <v>354.77499999999998</v>
      </c>
      <c r="R160" s="54">
        <f t="shared" si="6"/>
        <v>2.8186879007821861E-3</v>
      </c>
      <c r="S160" s="56">
        <v>486163.750683769</v>
      </c>
      <c r="U160" s="3"/>
      <c r="W160" s="53">
        <v>351</v>
      </c>
      <c r="X160" s="54">
        <f t="shared" si="8"/>
        <v>2.8490028490028491E-3</v>
      </c>
      <c r="Y160" s="63">
        <v>162752</v>
      </c>
      <c r="AD160" s="14">
        <v>283.14999999999998</v>
      </c>
      <c r="AE160" s="77">
        <v>0.755</v>
      </c>
      <c r="AF160" s="75">
        <v>22.015469</v>
      </c>
      <c r="AG160" s="60">
        <v>13.115097</v>
      </c>
      <c r="AO160" s="86">
        <v>0.245</v>
      </c>
      <c r="AP160" s="150">
        <v>2069.1170999999999</v>
      </c>
      <c r="AQ160" s="61">
        <v>137.21979999999999</v>
      </c>
      <c r="AR160" s="86">
        <v>0.245</v>
      </c>
      <c r="AS160" s="150">
        <v>4875.3609999999999</v>
      </c>
      <c r="AT160" s="61">
        <v>966.89340000000004</v>
      </c>
      <c r="AU160" s="86">
        <v>0.245</v>
      </c>
      <c r="AV160" s="150">
        <v>7682.9525000000003</v>
      </c>
      <c r="AW160" s="62">
        <v>3291.1895</v>
      </c>
    </row>
    <row r="161" spans="17:49">
      <c r="Q161" s="53">
        <v>355.8</v>
      </c>
      <c r="R161" s="54">
        <f t="shared" si="6"/>
        <v>2.8105677346824056E-3</v>
      </c>
      <c r="S161" s="56">
        <v>499385.31917754799</v>
      </c>
      <c r="U161" s="3"/>
      <c r="W161" s="53">
        <v>352</v>
      </c>
      <c r="X161" s="54">
        <f t="shared" si="8"/>
        <v>2.840909090909091E-3</v>
      </c>
      <c r="Y161" s="63">
        <v>167819</v>
      </c>
      <c r="AD161" s="14">
        <v>283.14999999999998</v>
      </c>
      <c r="AE161" s="77">
        <v>0.76</v>
      </c>
      <c r="AF161" s="75">
        <v>21.849419000000001</v>
      </c>
      <c r="AG161" s="60">
        <v>13.04302</v>
      </c>
      <c r="AO161" s="86">
        <v>0.24</v>
      </c>
      <c r="AP161" s="150">
        <v>2077.6113999999998</v>
      </c>
      <c r="AQ161" s="61">
        <v>140.08065999999999</v>
      </c>
      <c r="AR161" s="86">
        <v>0.24</v>
      </c>
      <c r="AS161" s="150">
        <v>4903.1930000000002</v>
      </c>
      <c r="AT161" s="61">
        <v>988.1271999999999</v>
      </c>
      <c r="AU161" s="86">
        <v>0.24</v>
      </c>
      <c r="AV161" s="150">
        <v>7702.6625000000004</v>
      </c>
      <c r="AW161" s="62">
        <v>3381.2518</v>
      </c>
    </row>
    <row r="162" spans="17:49">
      <c r="Q162" s="53">
        <v>356.82499999999999</v>
      </c>
      <c r="R162" s="54">
        <f t="shared" si="6"/>
        <v>2.8024942198556714E-3</v>
      </c>
      <c r="S162" s="56">
        <v>512872.07070397597</v>
      </c>
      <c r="U162" s="3"/>
      <c r="W162" s="53">
        <v>353</v>
      </c>
      <c r="X162" s="54">
        <f t="shared" si="8"/>
        <v>2.8328611898016999E-3</v>
      </c>
      <c r="Y162" s="63">
        <v>173006.3</v>
      </c>
      <c r="AD162" s="14">
        <v>283.14999999999998</v>
      </c>
      <c r="AE162" s="77">
        <v>0.76500000000000001</v>
      </c>
      <c r="AF162" s="75">
        <v>21.681643999999999</v>
      </c>
      <c r="AG162" s="60">
        <v>12.971696</v>
      </c>
      <c r="AO162" s="86">
        <v>0.23499999999999999</v>
      </c>
      <c r="AP162" s="150">
        <v>2086.1293999999998</v>
      </c>
      <c r="AQ162" s="61">
        <v>143.06322</v>
      </c>
      <c r="AR162" s="86">
        <v>0.23499999999999999</v>
      </c>
      <c r="AS162" s="150">
        <v>4931.2020000000002</v>
      </c>
      <c r="AT162" s="62">
        <v>1010.3151</v>
      </c>
      <c r="AU162" s="86">
        <v>0.23499999999999999</v>
      </c>
      <c r="AV162" s="150">
        <v>7718.3190000000004</v>
      </c>
      <c r="AW162" s="62">
        <v>3476.9467999999997</v>
      </c>
    </row>
    <row r="163" spans="17:49">
      <c r="Q163" s="53">
        <v>357.85</v>
      </c>
      <c r="R163" s="54">
        <f t="shared" si="6"/>
        <v>2.7944669554282519E-3</v>
      </c>
      <c r="S163" s="56">
        <v>526627.197237427</v>
      </c>
      <c r="U163" s="3"/>
      <c r="W163" s="53">
        <v>354</v>
      </c>
      <c r="X163" s="54">
        <f t="shared" si="8"/>
        <v>2.8248587570621469E-3</v>
      </c>
      <c r="Y163" s="63">
        <v>178315.8</v>
      </c>
      <c r="AD163" s="14">
        <v>283.14999999999998</v>
      </c>
      <c r="AE163" s="77">
        <v>0.77</v>
      </c>
      <c r="AF163" s="75">
        <v>21.512090000000001</v>
      </c>
      <c r="AG163" s="60">
        <v>12.901111999999999</v>
      </c>
      <c r="AO163" s="86">
        <v>0.22999999999999998</v>
      </c>
      <c r="AP163" s="150">
        <v>2094.6758</v>
      </c>
      <c r="AQ163" s="61">
        <v>146.1754</v>
      </c>
      <c r="AR163" s="86">
        <v>0.22999999999999998</v>
      </c>
      <c r="AS163" s="150">
        <v>4959.4004999999997</v>
      </c>
      <c r="AT163" s="62">
        <v>1033.52325</v>
      </c>
      <c r="AU163" s="86">
        <v>0.22999999999999998</v>
      </c>
      <c r="AV163" s="150">
        <v>7729.2094999999999</v>
      </c>
      <c r="AW163" s="62">
        <v>3578.9110000000001</v>
      </c>
    </row>
    <row r="164" spans="17:49">
      <c r="Q164" s="53">
        <v>358.875</v>
      </c>
      <c r="R164" s="54">
        <f t="shared" si="6"/>
        <v>2.7864855451062349E-3</v>
      </c>
      <c r="S164" s="56">
        <v>540653.897759713</v>
      </c>
      <c r="U164" s="3"/>
      <c r="W164" s="53">
        <v>355</v>
      </c>
      <c r="X164" s="54">
        <f t="shared" si="8"/>
        <v>2.8169014084507044E-3</v>
      </c>
      <c r="Y164" s="63">
        <v>183749.3</v>
      </c>
      <c r="AD164" s="14">
        <v>283.14999999999998</v>
      </c>
      <c r="AE164" s="77">
        <v>0.77500000000000002</v>
      </c>
      <c r="AF164" s="75">
        <v>21.340707999999999</v>
      </c>
      <c r="AG164" s="60">
        <v>12.831258999999999</v>
      </c>
      <c r="AO164" s="86">
        <v>0.22499999999999998</v>
      </c>
      <c r="AP164" s="150">
        <v>2103.2550000000001</v>
      </c>
      <c r="AQ164" s="61">
        <v>149.42583999999999</v>
      </c>
      <c r="AR164" s="86">
        <v>0.22499999999999998</v>
      </c>
      <c r="AS164" s="150">
        <v>4987.8010000000004</v>
      </c>
      <c r="AT164" s="62">
        <v>1057.8238000000001</v>
      </c>
      <c r="AU164" s="86">
        <v>0.22499999999999998</v>
      </c>
      <c r="AV164" s="150">
        <v>7734.4894999999997</v>
      </c>
      <c r="AW164" s="62">
        <v>3687.8995</v>
      </c>
    </row>
    <row r="165" spans="17:49" ht="15" thickBot="1">
      <c r="Q165" s="53">
        <v>359.9</v>
      </c>
      <c r="R165" s="54">
        <f t="shared" si="6"/>
        <v>2.7785495971103086E-3</v>
      </c>
      <c r="S165" s="56">
        <v>554955.37815513799</v>
      </c>
      <c r="U165" s="3"/>
      <c r="W165" s="53">
        <v>356</v>
      </c>
      <c r="X165" s="54">
        <f t="shared" si="8"/>
        <v>2.8089887640449437E-3</v>
      </c>
      <c r="Y165" s="63">
        <v>189308.7</v>
      </c>
      <c r="AD165" s="14">
        <v>283.14999999999998</v>
      </c>
      <c r="AE165" s="77">
        <v>0.78</v>
      </c>
      <c r="AF165" s="75">
        <v>21.167439000000002</v>
      </c>
      <c r="AG165" s="60">
        <v>12.762124999999999</v>
      </c>
      <c r="AO165" s="86">
        <v>0.21999999999999997</v>
      </c>
      <c r="AP165" s="150">
        <v>2111.8717999999999</v>
      </c>
      <c r="AQ165" s="61">
        <v>152.82398000000001</v>
      </c>
      <c r="AR165" s="86">
        <v>0.21999999999999997</v>
      </c>
      <c r="AS165" s="150">
        <v>5016.4165000000003</v>
      </c>
      <c r="AT165" s="62">
        <v>1083.296</v>
      </c>
      <c r="AU165" s="143">
        <v>0.21999999999999997</v>
      </c>
      <c r="AV165" s="211">
        <v>7729.4605000000001</v>
      </c>
      <c r="AW165" s="155">
        <v>3804.8227999999999</v>
      </c>
    </row>
    <row r="166" spans="17:49">
      <c r="Q166" s="53">
        <v>360.92500000000001</v>
      </c>
      <c r="R166" s="54">
        <f t="shared" si="6"/>
        <v>2.7706587241116574E-3</v>
      </c>
      <c r="S166" s="56">
        <v>569534.851115125</v>
      </c>
      <c r="U166" s="3"/>
      <c r="W166" s="53">
        <v>357</v>
      </c>
      <c r="X166" s="54">
        <f t="shared" si="8"/>
        <v>2.8011204481792717E-3</v>
      </c>
      <c r="Y166" s="63">
        <v>194995.9</v>
      </c>
      <c r="AD166" s="14">
        <v>283.14999999999998</v>
      </c>
      <c r="AE166" s="77">
        <v>0.78500000000000003</v>
      </c>
      <c r="AF166" s="75">
        <v>20.992229999999999</v>
      </c>
      <c r="AG166" s="60">
        <v>12.6937</v>
      </c>
      <c r="AO166" s="86">
        <v>0.21499999999999997</v>
      </c>
      <c r="AP166" s="150">
        <v>2120.5312000000004</v>
      </c>
      <c r="AQ166" s="61">
        <v>156.3801</v>
      </c>
      <c r="AR166" s="86">
        <v>0.21499999999999997</v>
      </c>
      <c r="AS166" s="150">
        <v>5045.26</v>
      </c>
      <c r="AT166" s="62">
        <v>1110.0273999999999</v>
      </c>
      <c r="AU166" s="140"/>
    </row>
    <row r="167" spans="17:49">
      <c r="Q167" s="53">
        <v>361.95</v>
      </c>
      <c r="R167" s="54">
        <f t="shared" si="6"/>
        <v>2.7628125431689459E-3</v>
      </c>
      <c r="S167" s="56">
        <v>584395.53605257301</v>
      </c>
      <c r="U167" s="3"/>
      <c r="W167" s="53">
        <v>358</v>
      </c>
      <c r="X167" s="54">
        <f t="shared" si="8"/>
        <v>2.7932960893854749E-3</v>
      </c>
      <c r="Y167" s="63">
        <v>200812.79999999999</v>
      </c>
      <c r="AD167" s="14">
        <v>283.14999999999998</v>
      </c>
      <c r="AE167" s="77">
        <v>0.79</v>
      </c>
      <c r="AF167" s="75">
        <v>20.815017999999998</v>
      </c>
      <c r="AG167" s="60">
        <v>12.625975</v>
      </c>
      <c r="AO167" s="86">
        <v>0.20999999999999996</v>
      </c>
      <c r="AP167" s="150">
        <v>2129.2384999999999</v>
      </c>
      <c r="AQ167" s="61">
        <v>160.10545000000002</v>
      </c>
      <c r="AR167" s="86">
        <v>0.20999999999999996</v>
      </c>
      <c r="AS167" s="150">
        <v>5074.3459999999995</v>
      </c>
      <c r="AT167" s="62">
        <v>1138.1138000000001</v>
      </c>
      <c r="AU167" s="140"/>
    </row>
    <row r="168" spans="17:49">
      <c r="Q168" s="53">
        <v>362.97500000000002</v>
      </c>
      <c r="R168" s="54">
        <f t="shared" si="6"/>
        <v>2.7550106756663679E-3</v>
      </c>
      <c r="S168" s="56">
        <v>599540.65902597597</v>
      </c>
      <c r="U168" s="3"/>
      <c r="W168" s="53">
        <v>359</v>
      </c>
      <c r="X168" s="54">
        <f t="shared" si="8"/>
        <v>2.7855153203342618E-3</v>
      </c>
      <c r="Y168" s="63">
        <v>206761.1</v>
      </c>
      <c r="AD168" s="14">
        <v>283.14999999999998</v>
      </c>
      <c r="AE168" s="77">
        <v>0.79500000000000004</v>
      </c>
      <c r="AF168" s="75">
        <v>20.635746000000001</v>
      </c>
      <c r="AG168" s="60">
        <v>12.558937999999999</v>
      </c>
      <c r="AO168" s="86">
        <v>0.20499999999999996</v>
      </c>
      <c r="AP168" s="150">
        <v>2137.9982</v>
      </c>
      <c r="AQ168" s="61">
        <v>164.01245</v>
      </c>
      <c r="AR168" s="86">
        <v>0.20499999999999996</v>
      </c>
      <c r="AS168" s="150">
        <v>5103.6885000000002</v>
      </c>
      <c r="AT168" s="62">
        <v>1167.6614999999999</v>
      </c>
      <c r="AU168" s="140"/>
    </row>
    <row r="169" spans="17:49">
      <c r="Q169" s="53">
        <v>364</v>
      </c>
      <c r="R169" s="54">
        <f t="shared" si="6"/>
        <v>2.7472527472527475E-3</v>
      </c>
      <c r="S169" s="56">
        <v>614973.45267315698</v>
      </c>
      <c r="U169" s="3"/>
      <c r="W169" s="53">
        <v>360</v>
      </c>
      <c r="X169" s="54">
        <f t="shared" si="8"/>
        <v>2.7777777777777779E-3</v>
      </c>
      <c r="Y169" s="63">
        <v>212842.9</v>
      </c>
      <c r="AD169" s="14">
        <v>283.14999999999998</v>
      </c>
      <c r="AE169" s="77">
        <v>0.8</v>
      </c>
      <c r="AF169" s="75">
        <v>20.454350999999999</v>
      </c>
      <c r="AG169" s="60">
        <v>12.49258</v>
      </c>
      <c r="AO169" s="86">
        <v>0.19999999999999996</v>
      </c>
      <c r="AP169" s="150">
        <v>2146.8164999999999</v>
      </c>
      <c r="AQ169" s="61">
        <v>168.11467000000002</v>
      </c>
      <c r="AR169" s="86">
        <v>0.19999999999999996</v>
      </c>
      <c r="AS169" s="150">
        <v>5133.3029999999999</v>
      </c>
      <c r="AT169" s="62">
        <v>1198.7882</v>
      </c>
      <c r="AU169" s="140"/>
    </row>
    <row r="170" spans="17:49">
      <c r="Q170" s="53">
        <v>365.02499999999998</v>
      </c>
      <c r="R170" s="54">
        <f t="shared" si="6"/>
        <v>2.7395383877816589E-3</v>
      </c>
      <c r="S170" s="56">
        <v>630697.156155142</v>
      </c>
      <c r="U170" s="3"/>
      <c r="W170" s="53">
        <v>361</v>
      </c>
      <c r="X170" s="54">
        <f t="shared" si="8"/>
        <v>2.7700831024930748E-3</v>
      </c>
      <c r="Y170" s="63">
        <v>219060.1</v>
      </c>
      <c r="AD170" s="14">
        <v>283.14999999999998</v>
      </c>
      <c r="AE170" s="77">
        <v>0.80500000000000005</v>
      </c>
      <c r="AF170" s="75">
        <v>20.270765000000001</v>
      </c>
      <c r="AG170" s="60">
        <v>12.426892</v>
      </c>
      <c r="AO170" s="86">
        <v>0.19499999999999995</v>
      </c>
      <c r="AP170" s="150">
        <v>2155.6982000000003</v>
      </c>
      <c r="AQ170" s="61">
        <v>172.42714000000001</v>
      </c>
      <c r="AR170" s="86">
        <v>0.19499999999999995</v>
      </c>
      <c r="AS170" s="150">
        <v>5163.2044999999998</v>
      </c>
      <c r="AT170" s="62">
        <v>1231.6248000000001</v>
      </c>
      <c r="AU170" s="140"/>
    </row>
    <row r="171" spans="17:49">
      <c r="Q171" s="53">
        <v>366.05</v>
      </c>
      <c r="R171" s="54">
        <f t="shared" si="6"/>
        <v>2.7318672312525612E-3</v>
      </c>
      <c r="S171" s="56">
        <v>646715.01510968001</v>
      </c>
      <c r="U171" s="3"/>
      <c r="W171" s="53">
        <v>362</v>
      </c>
      <c r="X171" s="54">
        <f t="shared" si="8"/>
        <v>2.7624309392265192E-3</v>
      </c>
      <c r="Y171" s="63">
        <v>225414.5</v>
      </c>
      <c r="AD171" s="14">
        <v>283.14999999999998</v>
      </c>
      <c r="AE171" s="77">
        <v>0.81</v>
      </c>
      <c r="AF171" s="75">
        <v>20.084924999999998</v>
      </c>
      <c r="AG171" s="60">
        <v>12.361864000000001</v>
      </c>
      <c r="AO171" s="86">
        <v>0.18999999999999995</v>
      </c>
      <c r="AP171" s="150">
        <v>2164.6495</v>
      </c>
      <c r="AQ171" s="61">
        <v>176.96644000000001</v>
      </c>
      <c r="AR171" s="86">
        <v>0.18999999999999995</v>
      </c>
      <c r="AS171" s="150">
        <v>5193.41</v>
      </c>
      <c r="AT171" s="62">
        <v>1266.3164999999999</v>
      </c>
      <c r="AU171" s="140"/>
    </row>
    <row r="172" spans="17:49">
      <c r="Q172" s="53">
        <v>367.07499999999999</v>
      </c>
      <c r="R172" s="54">
        <f t="shared" si="6"/>
        <v>2.7242389157529118E-3</v>
      </c>
      <c r="S172" s="56">
        <v>663030.28161506401</v>
      </c>
      <c r="U172" s="3"/>
      <c r="W172" s="53">
        <v>363</v>
      </c>
      <c r="X172" s="54">
        <f t="shared" si="8"/>
        <v>2.7548209366391185E-3</v>
      </c>
      <c r="Y172" s="63">
        <v>231908.1</v>
      </c>
      <c r="AD172" s="14">
        <v>283.14999999999998</v>
      </c>
      <c r="AE172" s="77">
        <v>0.81499999999999995</v>
      </c>
      <c r="AF172" s="75">
        <v>19.896754999999999</v>
      </c>
      <c r="AG172" s="60">
        <v>12.297487</v>
      </c>
      <c r="AO172" s="86">
        <v>0.18500000000000005</v>
      </c>
      <c r="AP172" s="150">
        <v>2173.6758</v>
      </c>
      <c r="AQ172" s="61">
        <v>181.75092000000001</v>
      </c>
      <c r="AR172" s="86">
        <v>0.18500000000000005</v>
      </c>
      <c r="AS172" s="150">
        <v>5223.9354999999996</v>
      </c>
      <c r="AT172" s="62">
        <v>1303.0262</v>
      </c>
      <c r="AU172" s="140"/>
    </row>
    <row r="173" spans="17:49">
      <c r="Q173" s="53">
        <v>368.1</v>
      </c>
      <c r="R173" s="54">
        <f t="shared" si="6"/>
        <v>2.7166530834012493E-3</v>
      </c>
      <c r="S173" s="56">
        <v>679646.21416374203</v>
      </c>
      <c r="U173" s="3"/>
      <c r="W173" s="53">
        <v>364</v>
      </c>
      <c r="X173" s="54">
        <f t="shared" si="8"/>
        <v>2.7472527472527475E-3</v>
      </c>
      <c r="Y173" s="63">
        <v>238542.8</v>
      </c>
      <c r="AD173" s="14">
        <v>283.14999999999998</v>
      </c>
      <c r="AE173" s="77">
        <v>0.82</v>
      </c>
      <c r="AF173" s="75">
        <v>19.706188000000001</v>
      </c>
      <c r="AG173" s="60">
        <v>12.233750000000001</v>
      </c>
      <c r="AO173" s="86">
        <v>0.18000000000000005</v>
      </c>
      <c r="AP173" s="150">
        <v>2182.7832000000003</v>
      </c>
      <c r="AQ173" s="61">
        <v>186.80099999999999</v>
      </c>
      <c r="AR173" s="86">
        <v>0.18000000000000005</v>
      </c>
      <c r="AS173" s="150">
        <v>5254.7984999999999</v>
      </c>
      <c r="AT173" s="62">
        <v>1341.9363999999998</v>
      </c>
      <c r="AU173" s="140"/>
    </row>
    <row r="174" spans="17:49">
      <c r="Q174" s="53">
        <v>369.125</v>
      </c>
      <c r="R174" s="54">
        <f t="shared" si="6"/>
        <v>2.7091093802912294E-3</v>
      </c>
      <c r="S174" s="56">
        <v>696565.34662752203</v>
      </c>
      <c r="U174" s="3"/>
      <c r="W174" s="53">
        <v>365</v>
      </c>
      <c r="X174" s="54">
        <f t="shared" si="8"/>
        <v>2.7397260273972603E-3</v>
      </c>
      <c r="Y174" s="63">
        <v>245320.6</v>
      </c>
      <c r="AD174" s="14">
        <v>283.14999999999998</v>
      </c>
      <c r="AE174" s="77">
        <v>0.82499999999999996</v>
      </c>
      <c r="AF174" s="75">
        <v>19.513145000000002</v>
      </c>
      <c r="AG174" s="60">
        <v>12.170647000000001</v>
      </c>
      <c r="AO174" s="86">
        <v>0.17500000000000004</v>
      </c>
      <c r="AP174" s="150">
        <v>2191.9785000000002</v>
      </c>
      <c r="AQ174" s="61">
        <v>192.13942</v>
      </c>
      <c r="AR174" s="86">
        <v>0.17500000000000004</v>
      </c>
      <c r="AS174" s="150">
        <v>5286.0169999999998</v>
      </c>
      <c r="AT174" s="62">
        <v>1383.2521000000002</v>
      </c>
      <c r="AU174" s="140"/>
    </row>
    <row r="175" spans="17:49">
      <c r="Q175" s="53">
        <v>370.15</v>
      </c>
      <c r="R175" s="54">
        <f t="shared" si="6"/>
        <v>2.7016074564365799E-3</v>
      </c>
      <c r="S175" s="56">
        <v>713792.50384637096</v>
      </c>
      <c r="U175" s="3"/>
      <c r="W175" s="53">
        <v>366</v>
      </c>
      <c r="X175" s="54">
        <f t="shared" si="8"/>
        <v>2.7322404371584699E-3</v>
      </c>
      <c r="Y175" s="63">
        <v>252243.4</v>
      </c>
      <c r="AD175" s="14">
        <v>283.14999999999998</v>
      </c>
      <c r="AE175" s="77">
        <v>0.83</v>
      </c>
      <c r="AF175" s="75">
        <v>19.317550000000001</v>
      </c>
      <c r="AG175" s="60">
        <v>12.108166000000001</v>
      </c>
      <c r="AO175" s="86">
        <v>0.17000000000000004</v>
      </c>
      <c r="AP175" s="150">
        <v>2201.2674999999999</v>
      </c>
      <c r="AQ175" s="61">
        <v>197.79157999999998</v>
      </c>
      <c r="AR175" s="86">
        <v>0.17000000000000004</v>
      </c>
      <c r="AS175" s="150">
        <v>5317.6094999999996</v>
      </c>
      <c r="AT175" s="62">
        <v>1427.2049999999999</v>
      </c>
      <c r="AU175" s="140"/>
    </row>
    <row r="176" spans="17:49">
      <c r="Q176" s="53">
        <v>371.17500000000001</v>
      </c>
      <c r="R176" s="54">
        <f t="shared" si="6"/>
        <v>2.6941469657169796E-3</v>
      </c>
      <c r="S176" s="56">
        <v>731330.13473954098</v>
      </c>
      <c r="U176" s="3"/>
      <c r="W176" s="53">
        <v>367</v>
      </c>
      <c r="X176" s="54">
        <f t="shared" si="8"/>
        <v>2.7247956403269754E-3</v>
      </c>
      <c r="Y176" s="63">
        <v>259313.1</v>
      </c>
      <c r="AD176" s="14">
        <v>283.14999999999998</v>
      </c>
      <c r="AE176" s="77">
        <v>0.83499999999999996</v>
      </c>
      <c r="AF176" s="75">
        <v>19.119322</v>
      </c>
      <c r="AG176" s="60">
        <v>12.0463</v>
      </c>
      <c r="AO176" s="86">
        <v>0.16500000000000004</v>
      </c>
      <c r="AP176" s="150">
        <v>2210.6567999999997</v>
      </c>
      <c r="AQ176" s="61">
        <v>203.78596999999999</v>
      </c>
      <c r="AR176" s="86">
        <v>0.16500000000000004</v>
      </c>
      <c r="AS176" s="150">
        <v>5349.5955000000004</v>
      </c>
      <c r="AT176" s="62">
        <v>1474.0574999999999</v>
      </c>
      <c r="AU176" s="140"/>
    </row>
    <row r="177" spans="17:47">
      <c r="Q177" s="53">
        <v>372.2</v>
      </c>
      <c r="R177" s="54">
        <f t="shared" si="6"/>
        <v>2.6867275658248257E-3</v>
      </c>
      <c r="S177" s="56">
        <v>749181.52319563995</v>
      </c>
      <c r="U177" s="3"/>
      <c r="W177" s="53">
        <v>368</v>
      </c>
      <c r="X177" s="54">
        <f t="shared" si="8"/>
        <v>2.717391304347826E-3</v>
      </c>
      <c r="Y177" s="63">
        <v>266531.7</v>
      </c>
      <c r="AD177" s="14">
        <v>283.14999999999998</v>
      </c>
      <c r="AE177" s="77">
        <v>0.84</v>
      </c>
      <c r="AF177" s="75">
        <v>18.918377</v>
      </c>
      <c r="AG177" s="60">
        <v>11.98504</v>
      </c>
      <c r="AO177" s="86">
        <v>0.16000000000000003</v>
      </c>
      <c r="AP177" s="150">
        <v>2220.1534999999999</v>
      </c>
      <c r="AQ177" s="61">
        <v>210.15460000000002</v>
      </c>
      <c r="AR177" s="86">
        <v>0.16000000000000003</v>
      </c>
      <c r="AS177" s="150">
        <v>5381.9939999999997</v>
      </c>
      <c r="AT177" s="62">
        <v>1524.1083999999998</v>
      </c>
      <c r="AU177" s="140"/>
    </row>
    <row r="178" spans="17:47">
      <c r="Q178" s="53">
        <v>373.22500000000002</v>
      </c>
      <c r="R178" s="54">
        <f t="shared" si="6"/>
        <v>2.679348918212874E-3</v>
      </c>
      <c r="S178" s="56">
        <v>767349.95959750505</v>
      </c>
      <c r="U178" s="3"/>
      <c r="W178" s="53">
        <v>369</v>
      </c>
      <c r="X178" s="54">
        <f t="shared" si="8"/>
        <v>2.7100271002710027E-3</v>
      </c>
      <c r="Y178" s="63">
        <v>273901.09999999998</v>
      </c>
      <c r="AD178" s="14">
        <v>283.14999999999998</v>
      </c>
      <c r="AE178" s="77">
        <v>0.84499999999999997</v>
      </c>
      <c r="AF178" s="75">
        <v>18.714624000000001</v>
      </c>
      <c r="AG178" s="60">
        <v>11.924377</v>
      </c>
      <c r="AO178" s="86">
        <v>0.15500000000000003</v>
      </c>
      <c r="AP178" s="150">
        <v>2229.7645000000002</v>
      </c>
      <c r="AQ178" s="61">
        <v>216.93364000000003</v>
      </c>
      <c r="AR178" s="86">
        <v>0.15500000000000003</v>
      </c>
      <c r="AS178" s="150">
        <v>5414.826</v>
      </c>
      <c r="AT178" s="62">
        <v>1577.6990000000001</v>
      </c>
      <c r="AU178" s="140"/>
    </row>
    <row r="179" spans="17:47">
      <c r="Q179" s="53">
        <v>374.25</v>
      </c>
      <c r="R179" s="54">
        <f t="shared" si="6"/>
        <v>2.6720106880427524E-3</v>
      </c>
      <c r="S179" s="56">
        <v>785838.74086191598</v>
      </c>
      <c r="U179" s="3"/>
      <c r="W179" s="53">
        <v>370</v>
      </c>
      <c r="X179" s="54">
        <f t="shared" si="8"/>
        <v>2.7027027027027029E-3</v>
      </c>
      <c r="Y179" s="63">
        <v>281423.40000000002</v>
      </c>
      <c r="AD179" s="14">
        <v>283.14999999999998</v>
      </c>
      <c r="AE179" s="77">
        <v>0.85</v>
      </c>
      <c r="AF179" s="75">
        <v>18.507974999999998</v>
      </c>
      <c r="AG179" s="60">
        <v>11.864305</v>
      </c>
      <c r="AO179" s="86">
        <v>0.15000000000000002</v>
      </c>
      <c r="AP179" s="150">
        <v>2239.4972000000002</v>
      </c>
      <c r="AQ179" s="61">
        <v>224.16404999999997</v>
      </c>
      <c r="AR179" s="86">
        <v>0.15000000000000002</v>
      </c>
      <c r="AS179" s="150">
        <v>5448.1120000000001</v>
      </c>
      <c r="AT179" s="62">
        <v>1635.2212</v>
      </c>
      <c r="AU179" s="140"/>
    </row>
    <row r="180" spans="17:47">
      <c r="Q180" s="53">
        <v>375.27499999999998</v>
      </c>
      <c r="R180" s="54">
        <f t="shared" si="6"/>
        <v>2.6647125441343015E-3</v>
      </c>
      <c r="S180" s="56">
        <v>804651.17048947699</v>
      </c>
      <c r="U180" s="3"/>
      <c r="W180" s="53">
        <v>371</v>
      </c>
      <c r="X180" s="54">
        <f t="shared" si="8"/>
        <v>2.6954177897574125E-3</v>
      </c>
      <c r="Y180" s="63">
        <v>289100.5</v>
      </c>
      <c r="AD180" s="14">
        <v>283.14999999999998</v>
      </c>
      <c r="AE180" s="77">
        <v>0.85499999999999998</v>
      </c>
      <c r="AF180" s="75">
        <v>18.298335999999999</v>
      </c>
      <c r="AG180" s="60">
        <v>11.804812</v>
      </c>
      <c r="AO180" s="86">
        <v>0.14500000000000002</v>
      </c>
      <c r="AP180" s="150">
        <v>2249.3588</v>
      </c>
      <c r="AQ180" s="61">
        <v>231.89239999999998</v>
      </c>
      <c r="AR180" s="86">
        <v>0.14500000000000002</v>
      </c>
      <c r="AS180" s="150">
        <v>5481.8725000000004</v>
      </c>
      <c r="AT180" s="62">
        <v>1697.1276</v>
      </c>
      <c r="AU180" s="140"/>
    </row>
    <row r="181" spans="17:47">
      <c r="Q181" s="53">
        <v>376.3</v>
      </c>
      <c r="R181" s="54">
        <f t="shared" si="6"/>
        <v>2.6574541589157587E-3</v>
      </c>
      <c r="S181" s="56">
        <v>823790.55862440798</v>
      </c>
      <c r="U181" s="3"/>
      <c r="W181" s="53">
        <v>372</v>
      </c>
      <c r="X181" s="54">
        <f t="shared" si="8"/>
        <v>2.6881720430107529E-3</v>
      </c>
      <c r="Y181" s="63">
        <v>296934.3</v>
      </c>
      <c r="AD181" s="14">
        <v>283.14999999999998</v>
      </c>
      <c r="AE181" s="77">
        <v>0.86</v>
      </c>
      <c r="AF181" s="75">
        <v>18.085605999999999</v>
      </c>
      <c r="AG181" s="60">
        <v>11.745894</v>
      </c>
      <c r="AO181" s="86">
        <v>0.14000000000000001</v>
      </c>
      <c r="AP181" s="150">
        <v>2259.3572000000004</v>
      </c>
      <c r="AQ181" s="61">
        <v>240.17196999999999</v>
      </c>
      <c r="AR181" s="86">
        <v>0.14000000000000001</v>
      </c>
      <c r="AS181" s="150">
        <v>5516.1289999999999</v>
      </c>
      <c r="AT181" s="62">
        <v>1763.9428</v>
      </c>
      <c r="AU181" s="140"/>
    </row>
    <row r="182" spans="17:47">
      <c r="Q182" s="53">
        <v>377.32499999999999</v>
      </c>
      <c r="R182" s="54">
        <f t="shared" si="6"/>
        <v>2.6502352083747432E-3</v>
      </c>
      <c r="S182" s="56">
        <v>843260.22212418495</v>
      </c>
      <c r="U182" s="3"/>
      <c r="W182" s="53">
        <v>373</v>
      </c>
      <c r="X182" s="54">
        <f t="shared" si="8"/>
        <v>2.6809651474530832E-3</v>
      </c>
      <c r="Y182" s="63">
        <v>304927</v>
      </c>
      <c r="AD182" s="14">
        <v>283.14999999999998</v>
      </c>
      <c r="AE182" s="77">
        <v>0.86499999999999999</v>
      </c>
      <c r="AF182" s="75">
        <v>17.869686000000002</v>
      </c>
      <c r="AG182" s="60">
        <v>11.68754</v>
      </c>
      <c r="AO182" s="86">
        <v>0.13500000000000001</v>
      </c>
      <c r="AP182" s="150">
        <v>2269.5002000000004</v>
      </c>
      <c r="AQ182" s="61">
        <v>249.06380999999999</v>
      </c>
      <c r="AR182" s="86">
        <v>0.13500000000000001</v>
      </c>
      <c r="AS182" s="150">
        <v>5550.9030000000002</v>
      </c>
      <c r="AT182" s="62">
        <v>1836.2788</v>
      </c>
      <c r="AU182" s="140"/>
    </row>
    <row r="183" spans="17:47">
      <c r="Q183" s="53">
        <v>378.35</v>
      </c>
      <c r="R183" s="54">
        <f t="shared" si="6"/>
        <v>2.6430553720100435E-3</v>
      </c>
      <c r="S183" s="56">
        <v>863063.48463910399</v>
      </c>
      <c r="W183" s="53">
        <v>374</v>
      </c>
      <c r="X183" s="54">
        <f t="shared" si="8"/>
        <v>2.6737967914438501E-3</v>
      </c>
      <c r="Y183" s="63">
        <v>313080.40000000002</v>
      </c>
      <c r="AD183" s="14">
        <v>283.14999999999998</v>
      </c>
      <c r="AE183" s="77">
        <v>0.87</v>
      </c>
      <c r="AF183" s="75">
        <v>17.650466999999999</v>
      </c>
      <c r="AG183" s="60">
        <v>11.629745</v>
      </c>
      <c r="AO183" s="86">
        <v>0.13</v>
      </c>
      <c r="AP183" s="150">
        <v>2279.7964999999999</v>
      </c>
      <c r="AQ183" s="61">
        <v>258.63839999999999</v>
      </c>
      <c r="AR183" s="86">
        <v>0.13</v>
      </c>
      <c r="AS183" s="150">
        <v>5586.2139999999999</v>
      </c>
      <c r="AT183" s="62">
        <v>1914.8544999999999</v>
      </c>
      <c r="AU183" s="140"/>
    </row>
    <row r="184" spans="17:47">
      <c r="Q184" s="53">
        <v>379.375</v>
      </c>
      <c r="R184" s="54">
        <f t="shared" si="6"/>
        <v>2.6359143327841844E-3</v>
      </c>
      <c r="S184" s="56">
        <v>883203.67670124397</v>
      </c>
      <c r="W184" s="53">
        <v>375</v>
      </c>
      <c r="X184" s="54">
        <f t="shared" si="8"/>
        <v>2.6666666666666666E-3</v>
      </c>
      <c r="Y184" s="63">
        <v>321396.59999999998</v>
      </c>
      <c r="AD184" s="14">
        <v>283.14999999999998</v>
      </c>
      <c r="AE184" s="77">
        <v>0.875</v>
      </c>
      <c r="AF184" s="75">
        <v>17.427837</v>
      </c>
      <c r="AG184" s="60">
        <v>11.572498</v>
      </c>
      <c r="AO184" s="86">
        <v>0.125</v>
      </c>
      <c r="AP184" s="150">
        <v>2290.2542000000003</v>
      </c>
      <c r="AQ184" s="61">
        <v>268.97740000000005</v>
      </c>
      <c r="AR184" s="86">
        <v>0.125</v>
      </c>
      <c r="AS184" s="150">
        <v>5622.0820000000003</v>
      </c>
      <c r="AT184" s="62">
        <v>2000.5188999999998</v>
      </c>
      <c r="AU184" s="140"/>
    </row>
    <row r="185" spans="17:47">
      <c r="Q185" s="53">
        <v>380.4</v>
      </c>
      <c r="R185" s="54">
        <f t="shared" si="6"/>
        <v>2.6288117770767614E-3</v>
      </c>
      <c r="S185" s="56">
        <v>903684.13582319103</v>
      </c>
      <c r="W185" s="53">
        <v>376</v>
      </c>
      <c r="X185" s="54">
        <f t="shared" si="8"/>
        <v>2.6595744680851063E-3</v>
      </c>
      <c r="Y185" s="63">
        <v>329877.5</v>
      </c>
      <c r="AD185" s="14">
        <v>283.14999999999998</v>
      </c>
      <c r="AE185" s="77">
        <v>0.88</v>
      </c>
      <c r="AF185" s="75">
        <v>17.201682999999999</v>
      </c>
      <c r="AG185" s="60">
        <v>11.515795000000001</v>
      </c>
      <c r="AO185" s="86">
        <v>0.12</v>
      </c>
      <c r="AP185" s="150">
        <v>2300.8822</v>
      </c>
      <c r="AQ185" s="61">
        <v>280.17603000000003</v>
      </c>
      <c r="AR185" s="86">
        <v>0.12</v>
      </c>
      <c r="AS185" s="150">
        <v>5658.5245000000004</v>
      </c>
      <c r="AT185" s="62">
        <v>2094.2815000000001</v>
      </c>
      <c r="AU185" s="140"/>
    </row>
    <row r="186" spans="17:47">
      <c r="Q186" s="53">
        <v>381.42500000000001</v>
      </c>
      <c r="R186" s="54">
        <f t="shared" si="6"/>
        <v>2.6217473946385265E-3</v>
      </c>
      <c r="S186" s="56">
        <v>924508.206605652</v>
      </c>
      <c r="W186" s="53">
        <v>377</v>
      </c>
      <c r="X186" s="54">
        <f t="shared" si="8"/>
        <v>2.6525198938992041E-3</v>
      </c>
      <c r="Y186" s="63">
        <v>338525.3</v>
      </c>
      <c r="AD186" s="14">
        <v>283.14999999999998</v>
      </c>
      <c r="AE186" s="77">
        <v>0.88500000000000001</v>
      </c>
      <c r="AF186" s="75">
        <v>16.971883999999999</v>
      </c>
      <c r="AG186" s="60">
        <v>11.459626999999999</v>
      </c>
      <c r="AO186" s="86">
        <v>0.11499999999999999</v>
      </c>
      <c r="AP186" s="150">
        <v>2311.6895</v>
      </c>
      <c r="AQ186" s="61">
        <v>292.346</v>
      </c>
      <c r="AR186" s="86">
        <v>0.11499999999999999</v>
      </c>
      <c r="AS186" s="150">
        <v>5695.5555000000004</v>
      </c>
      <c r="AT186" s="62">
        <v>2197.3519999999999</v>
      </c>
      <c r="AU186" s="140"/>
    </row>
    <row r="187" spans="17:47">
      <c r="Q187" s="53">
        <v>382.45</v>
      </c>
      <c r="R187" s="54">
        <f t="shared" si="6"/>
        <v>2.6147208785462154E-3</v>
      </c>
      <c r="S187" s="56">
        <v>945679.24085440696</v>
      </c>
      <c r="W187" s="53">
        <v>378</v>
      </c>
      <c r="X187" s="54">
        <f t="shared" si="8"/>
        <v>2.6455026455026454E-3</v>
      </c>
      <c r="Y187" s="63">
        <v>347341.8</v>
      </c>
      <c r="AD187" s="14">
        <v>283.14999999999998</v>
      </c>
      <c r="AE187" s="77">
        <v>0.89</v>
      </c>
      <c r="AF187" s="75">
        <v>16.738313999999999</v>
      </c>
      <c r="AG187" s="60">
        <v>11.403986</v>
      </c>
      <c r="AO187" s="86">
        <v>0.10999999999999999</v>
      </c>
      <c r="AP187" s="150">
        <v>2322.6857999999997</v>
      </c>
      <c r="AQ187" s="61">
        <v>305.61921999999998</v>
      </c>
      <c r="AR187" s="86">
        <v>0.10999999999999999</v>
      </c>
      <c r="AS187" s="150">
        <v>5733.1835000000001</v>
      </c>
      <c r="AT187" s="62">
        <v>2311.1902</v>
      </c>
      <c r="AU187" s="140"/>
    </row>
    <row r="188" spans="17:47">
      <c r="Q188" s="53">
        <v>383.47500000000002</v>
      </c>
      <c r="R188" s="54">
        <f t="shared" si="6"/>
        <v>2.6077319251580936E-3</v>
      </c>
      <c r="S188" s="56">
        <v>967200.597705664</v>
      </c>
      <c r="W188" s="53">
        <v>379</v>
      </c>
      <c r="X188" s="54">
        <f t="shared" si="8"/>
        <v>2.6385224274406332E-3</v>
      </c>
      <c r="Y188" s="63">
        <v>356329.1</v>
      </c>
      <c r="AD188" s="14">
        <v>283.14999999999998</v>
      </c>
      <c r="AE188" s="77">
        <v>0.89500000000000002</v>
      </c>
      <c r="AF188" s="75">
        <v>16.50084</v>
      </c>
      <c r="AG188" s="60">
        <v>11.348865999999999</v>
      </c>
      <c r="AO188" s="86">
        <v>0.10499999999999998</v>
      </c>
      <c r="AP188" s="150">
        <v>2333.8805000000002</v>
      </c>
      <c r="AQ188" s="61">
        <v>320.15249999999997</v>
      </c>
      <c r="AR188" s="86">
        <v>0.10499999999999998</v>
      </c>
      <c r="AS188" s="150">
        <v>5771.41</v>
      </c>
      <c r="AT188" s="62">
        <v>2437.5702000000001</v>
      </c>
      <c r="AU188" s="140"/>
    </row>
    <row r="189" spans="17:47">
      <c r="Q189" s="53">
        <v>384.5</v>
      </c>
      <c r="R189" s="54">
        <f t="shared" si="6"/>
        <v>2.6007802340702211E-3</v>
      </c>
      <c r="S189" s="56">
        <v>989075.64376017696</v>
      </c>
      <c r="W189" s="53">
        <v>380</v>
      </c>
      <c r="X189" s="54">
        <f t="shared" si="8"/>
        <v>2.631578947368421E-3</v>
      </c>
      <c r="Y189" s="63">
        <v>365489.3</v>
      </c>
      <c r="AD189" s="14">
        <v>283.14999999999998</v>
      </c>
      <c r="AE189" s="77">
        <v>0.9</v>
      </c>
      <c r="AF189" s="75">
        <v>16.259325</v>
      </c>
      <c r="AG189" s="60">
        <v>11.294261000000001</v>
      </c>
      <c r="AO189" s="86">
        <v>9.9999999999999978E-2</v>
      </c>
      <c r="AP189" s="150">
        <v>2345.2840000000001</v>
      </c>
      <c r="AQ189" s="61">
        <v>336.13387999999998</v>
      </c>
      <c r="AR189" s="86">
        <v>9.9999999999999978E-2</v>
      </c>
      <c r="AS189" s="150">
        <v>5810.2224999999999</v>
      </c>
      <c r="AT189" s="62">
        <v>2578.6637999999998</v>
      </c>
      <c r="AU189" s="140"/>
    </row>
    <row r="190" spans="17:47">
      <c r="Q190" s="53">
        <v>385.52499999999998</v>
      </c>
      <c r="R190" s="54">
        <f t="shared" si="6"/>
        <v>2.5938655080734066E-3</v>
      </c>
      <c r="S190" s="56">
        <v>1011307.75322494</v>
      </c>
      <c r="W190" s="53">
        <v>381</v>
      </c>
      <c r="X190" s="54">
        <f t="shared" si="8"/>
        <v>2.6246719160104987E-3</v>
      </c>
      <c r="Y190" s="63">
        <v>374824.4</v>
      </c>
      <c r="AD190" s="14">
        <v>283.14999999999998</v>
      </c>
      <c r="AE190" s="77">
        <v>0.90500000000000003</v>
      </c>
      <c r="AF190" s="75">
        <v>16.013628000000001</v>
      </c>
      <c r="AG190" s="60">
        <v>11.240162</v>
      </c>
      <c r="AO190" s="86">
        <v>9.4999999999999973E-2</v>
      </c>
      <c r="AP190" s="150">
        <v>2356.9067999999997</v>
      </c>
      <c r="AQ190" s="61">
        <v>353.79055999999997</v>
      </c>
      <c r="AR190" s="86">
        <v>9.4999999999999973E-2</v>
      </c>
      <c r="AS190" s="150">
        <v>5849.5884999999998</v>
      </c>
      <c r="AT190" s="62">
        <v>2737.1410000000001</v>
      </c>
      <c r="AU190" s="140"/>
    </row>
    <row r="191" spans="17:47">
      <c r="Q191" s="53">
        <v>386.55</v>
      </c>
      <c r="R191" s="54">
        <f t="shared" si="6"/>
        <v>2.5869874531108525E-3</v>
      </c>
      <c r="S191" s="56">
        <v>1033900.30806284</v>
      </c>
      <c r="W191" s="53">
        <v>382</v>
      </c>
      <c r="X191" s="54">
        <f t="shared" si="8"/>
        <v>2.617801047120419E-3</v>
      </c>
      <c r="Y191" s="63">
        <v>384336.4</v>
      </c>
      <c r="AD191" s="14">
        <v>283.14999999999998</v>
      </c>
      <c r="AE191" s="77">
        <v>0.91</v>
      </c>
      <c r="AF191" s="75">
        <v>15.763598</v>
      </c>
      <c r="AG191" s="60">
        <v>11.186563</v>
      </c>
      <c r="AO191" s="86">
        <v>8.9999999999999969E-2</v>
      </c>
      <c r="AP191" s="150">
        <v>2368.7592</v>
      </c>
      <c r="AQ191" s="61">
        <v>373.39984000000004</v>
      </c>
      <c r="AR191" s="86">
        <v>8.9999999999999969E-2</v>
      </c>
      <c r="AS191" s="150">
        <v>5889.4435000000003</v>
      </c>
      <c r="AT191" s="62">
        <v>2916.2905000000001</v>
      </c>
      <c r="AU191" s="140"/>
    </row>
    <row r="192" spans="17:47">
      <c r="Q192" s="53">
        <v>387.57499999999999</v>
      </c>
      <c r="R192" s="54">
        <f t="shared" si="6"/>
        <v>2.5801457782364703E-3</v>
      </c>
      <c r="S192" s="56">
        <v>1056856.6981490201</v>
      </c>
      <c r="W192" s="53">
        <v>383</v>
      </c>
      <c r="X192" s="54">
        <f t="shared" si="8"/>
        <v>2.6109660574412533E-3</v>
      </c>
      <c r="Y192" s="63">
        <v>394027.3</v>
      </c>
      <c r="AD192" s="14">
        <v>283.14999999999998</v>
      </c>
      <c r="AE192" s="77">
        <v>0.91500000000000004</v>
      </c>
      <c r="AF192" s="75">
        <v>15.509078000000001</v>
      </c>
      <c r="AG192" s="60">
        <v>11.133457999999999</v>
      </c>
      <c r="AO192" s="86">
        <v>8.4999999999999964E-2</v>
      </c>
      <c r="AP192" s="150">
        <v>2380.8530000000001</v>
      </c>
      <c r="AQ192" s="61">
        <v>395.30340000000001</v>
      </c>
      <c r="AR192" s="86">
        <v>8.4999999999999964E-2</v>
      </c>
      <c r="AS192" s="150">
        <v>5929.6695</v>
      </c>
      <c r="AT192" s="62">
        <v>3120.1329999999998</v>
      </c>
      <c r="AU192" s="140"/>
    </row>
    <row r="193" spans="17:47">
      <c r="Q193" s="53">
        <v>388.6</v>
      </c>
      <c r="R193" s="54">
        <f t="shared" si="6"/>
        <v>2.5733401955738548E-3</v>
      </c>
      <c r="S193" s="56">
        <v>1080180.3214338899</v>
      </c>
      <c r="W193" s="53">
        <v>384</v>
      </c>
      <c r="X193" s="54">
        <f t="shared" si="8"/>
        <v>2.6041666666666665E-3</v>
      </c>
      <c r="Y193" s="63">
        <v>403899.3</v>
      </c>
      <c r="AD193" s="14">
        <v>283.14999999999998</v>
      </c>
      <c r="AE193" s="77">
        <v>0.92</v>
      </c>
      <c r="AF193" s="75">
        <v>15.249905999999999</v>
      </c>
      <c r="AG193" s="60">
        <v>11.080838999999999</v>
      </c>
      <c r="AO193" s="86">
        <v>7.999999999999996E-2</v>
      </c>
      <c r="AP193" s="150">
        <v>2393.1997999999999</v>
      </c>
      <c r="AQ193" s="61">
        <v>419.9273</v>
      </c>
      <c r="AR193" s="86">
        <v>7.999999999999996E-2</v>
      </c>
      <c r="AS193" s="150">
        <v>5970.0590000000002</v>
      </c>
      <c r="AT193" s="62">
        <v>3353.4597999999996</v>
      </c>
      <c r="AU193" s="140"/>
    </row>
    <row r="194" spans="17:47">
      <c r="Q194" s="53">
        <v>389.625</v>
      </c>
      <c r="R194" s="54">
        <f t="shared" si="6"/>
        <v>2.5665704202759063E-3</v>
      </c>
      <c r="S194" s="56">
        <v>1103874.5841119101</v>
      </c>
      <c r="W194" s="53">
        <v>385</v>
      </c>
      <c r="X194" s="54">
        <f t="shared" si="8"/>
        <v>2.5974025974025974E-3</v>
      </c>
      <c r="Y194" s="63">
        <v>413954.3</v>
      </c>
      <c r="AD194" s="14">
        <v>283.14999999999998</v>
      </c>
      <c r="AE194" s="77">
        <v>0.92500000000000004</v>
      </c>
      <c r="AF194" s="75">
        <v>14.985908</v>
      </c>
      <c r="AG194" s="60">
        <v>11.028701999999999</v>
      </c>
      <c r="AO194" s="86">
        <v>7.4999999999999956E-2</v>
      </c>
      <c r="AP194" s="150">
        <v>2405.8112000000001</v>
      </c>
      <c r="AQ194" s="61">
        <v>447.80950000000001</v>
      </c>
      <c r="AR194" s="86">
        <v>7.4999999999999956E-2</v>
      </c>
      <c r="AS194" s="150">
        <v>6010.2470000000003</v>
      </c>
      <c r="AT194" s="62">
        <v>3621.5847999999996</v>
      </c>
      <c r="AU194" s="140"/>
    </row>
    <row r="195" spans="17:47">
      <c r="Q195" s="53">
        <v>390.65</v>
      </c>
      <c r="R195" s="54">
        <f t="shared" si="6"/>
        <v>2.5598361704850889E-3</v>
      </c>
      <c r="S195" s="56">
        <v>1127942.90079532</v>
      </c>
      <c r="W195" s="53">
        <v>386</v>
      </c>
      <c r="X195" s="54">
        <f t="shared" si="8"/>
        <v>2.5906735751295338E-3</v>
      </c>
      <c r="Y195" s="63">
        <v>424194.3</v>
      </c>
      <c r="AD195" s="14">
        <v>283.14999999999998</v>
      </c>
      <c r="AE195" s="77">
        <v>0.93</v>
      </c>
      <c r="AF195" s="75">
        <v>14.716906</v>
      </c>
      <c r="AG195" s="60">
        <v>10.977038</v>
      </c>
      <c r="AO195" s="86">
        <v>6.9999999999999951E-2</v>
      </c>
      <c r="AP195" s="150">
        <v>2418.6999999999998</v>
      </c>
      <c r="AQ195" s="61">
        <v>479.63865999999996</v>
      </c>
      <c r="AR195" s="86">
        <v>6.9999999999999951E-2</v>
      </c>
      <c r="AS195" s="150">
        <v>6049.5730000000003</v>
      </c>
      <c r="AT195" s="62">
        <v>3929.2972</v>
      </c>
      <c r="AU195" s="140"/>
    </row>
    <row r="196" spans="17:47">
      <c r="Q196" s="53">
        <v>391.67500000000001</v>
      </c>
      <c r="R196" s="54">
        <f t="shared" si="6"/>
        <v>2.553137167294313E-3</v>
      </c>
      <c r="S196" s="56">
        <v>1152388.39517839</v>
      </c>
      <c r="W196" s="53">
        <v>387</v>
      </c>
      <c r="X196" s="54">
        <f t="shared" si="8"/>
        <v>2.5839793281653748E-3</v>
      </c>
      <c r="Y196" s="63">
        <v>434621.6</v>
      </c>
      <c r="AD196" s="14">
        <v>283.14999999999998</v>
      </c>
      <c r="AE196" s="77">
        <v>0.93500000000000005</v>
      </c>
      <c r="AF196" s="75">
        <v>14.442710999999999</v>
      </c>
      <c r="AG196" s="60">
        <v>10.925843</v>
      </c>
      <c r="AO196" s="86">
        <v>6.4999999999999947E-2</v>
      </c>
      <c r="AP196" s="150">
        <v>2431.8795</v>
      </c>
      <c r="AQ196" s="61">
        <v>516.31056000000001</v>
      </c>
      <c r="AR196" s="86">
        <v>6.4999999999999947E-2</v>
      </c>
      <c r="AS196" s="150">
        <v>6086.7855</v>
      </c>
      <c r="AT196" s="62">
        <v>4278.0855000000001</v>
      </c>
      <c r="AU196" s="140"/>
    </row>
    <row r="197" spans="17:47">
      <c r="Q197" s="53">
        <v>392.7</v>
      </c>
      <c r="R197" s="54">
        <f t="shared" si="6"/>
        <v>2.5464731347084289E-3</v>
      </c>
      <c r="S197" s="56">
        <v>1177215.3977864999</v>
      </c>
      <c r="W197" s="53">
        <v>388</v>
      </c>
      <c r="X197" s="54">
        <f t="shared" si="8"/>
        <v>2.5773195876288659E-3</v>
      </c>
      <c r="Y197" s="63">
        <v>445238.1</v>
      </c>
      <c r="AD197" s="14">
        <v>283.14999999999998</v>
      </c>
      <c r="AE197" s="77">
        <v>0.94</v>
      </c>
      <c r="AF197" s="75">
        <v>14.163126</v>
      </c>
      <c r="AG197" s="60">
        <v>10.875109999999999</v>
      </c>
      <c r="AO197" s="86">
        <v>6.0000000000000053E-2</v>
      </c>
      <c r="AP197" s="150">
        <v>2445.3627999999999</v>
      </c>
      <c r="AQ197" s="61">
        <v>559.01119999999992</v>
      </c>
      <c r="AR197" s="86">
        <v>6.0000000000000053E-2</v>
      </c>
      <c r="AS197" s="150">
        <v>6119.3135000000002</v>
      </c>
      <c r="AT197" s="62">
        <v>4661.5540000000001</v>
      </c>
      <c r="AU197" s="140"/>
    </row>
    <row r="198" spans="17:47" ht="15" thickBot="1">
      <c r="Q198" s="53">
        <v>393.72500000000002</v>
      </c>
      <c r="R198" s="54">
        <f t="shared" si="6"/>
        <v>2.5398437996063243E-3</v>
      </c>
      <c r="S198" s="56">
        <v>1202426.45102317</v>
      </c>
      <c r="W198" s="53">
        <v>389</v>
      </c>
      <c r="X198" s="54">
        <f t="shared" si="8"/>
        <v>2.5706940874035988E-3</v>
      </c>
      <c r="Y198" s="63">
        <v>456045.9</v>
      </c>
      <c r="AD198" s="14">
        <v>283.14999999999998</v>
      </c>
      <c r="AE198" s="77">
        <v>0.94499999999999995</v>
      </c>
      <c r="AF198" s="75">
        <v>13.877943</v>
      </c>
      <c r="AG198" s="60">
        <v>10.824833</v>
      </c>
      <c r="AO198" s="86">
        <v>5.5000000000000049E-2</v>
      </c>
      <c r="AP198" s="150">
        <v>2459.1642000000002</v>
      </c>
      <c r="AQ198" s="61">
        <v>609.34219999999993</v>
      </c>
      <c r="AR198" s="143">
        <v>5.5000000000000049E-2</v>
      </c>
      <c r="AS198" s="211">
        <v>6141.1054999999997</v>
      </c>
      <c r="AT198" s="155">
        <v>5064.7555000000002</v>
      </c>
      <c r="AU198" s="140"/>
    </row>
    <row r="199" spans="17:47">
      <c r="Q199" s="53">
        <v>394.75</v>
      </c>
      <c r="R199" s="54">
        <f t="shared" si="6"/>
        <v>2.5332488917036099E-3</v>
      </c>
      <c r="S199" s="56">
        <v>1228025.3044896</v>
      </c>
      <c r="W199" s="53">
        <v>390</v>
      </c>
      <c r="X199" s="54">
        <f t="shared" si="8"/>
        <v>2.5641025641025641E-3</v>
      </c>
      <c r="Y199" s="63">
        <v>467047.1</v>
      </c>
      <c r="AD199" s="14">
        <v>283.14999999999998</v>
      </c>
      <c r="AE199" s="77">
        <v>0.95</v>
      </c>
      <c r="AF199" s="75">
        <v>13.586945999999999</v>
      </c>
      <c r="AG199" s="60">
        <v>10.775005</v>
      </c>
      <c r="AO199" s="86">
        <v>5.0000000000000044E-2</v>
      </c>
      <c r="AP199" s="150">
        <v>2473.2982000000002</v>
      </c>
      <c r="AQ199" s="61">
        <v>669.51589999999999</v>
      </c>
      <c r="AR199" s="140"/>
      <c r="AU199" s="140"/>
    </row>
    <row r="200" spans="17:47">
      <c r="Q200" s="53">
        <v>395.77499999999998</v>
      </c>
      <c r="R200" s="54">
        <f t="shared" si="6"/>
        <v>2.5266881435158867E-3</v>
      </c>
      <c r="S200" s="56">
        <v>1254015.41759974</v>
      </c>
      <c r="W200" s="53">
        <v>391</v>
      </c>
      <c r="X200" s="54">
        <f t="shared" si="8"/>
        <v>2.5575447570332483E-3</v>
      </c>
      <c r="Y200" s="63">
        <v>478243.8</v>
      </c>
      <c r="AD200" s="14">
        <v>283.14999999999998</v>
      </c>
      <c r="AE200" s="77">
        <v>0.95499999999999996</v>
      </c>
      <c r="AF200" s="75">
        <v>13.289904</v>
      </c>
      <c r="AG200" s="60">
        <v>10.725622</v>
      </c>
      <c r="AO200" s="86">
        <v>4.500000000000004E-2</v>
      </c>
      <c r="AP200" s="150">
        <v>2487.7802000000001</v>
      </c>
      <c r="AQ200" s="61">
        <v>742.66600000000005</v>
      </c>
      <c r="AR200" s="140"/>
      <c r="AU200" s="140"/>
    </row>
    <row r="201" spans="17:47">
      <c r="Q201" s="53">
        <v>396.8</v>
      </c>
      <c r="R201" s="54">
        <f t="shared" si="6"/>
        <v>2.5201612903225806E-3</v>
      </c>
      <c r="S201" s="56">
        <v>1280400.25927436</v>
      </c>
      <c r="W201" s="53">
        <v>392</v>
      </c>
      <c r="X201" s="54">
        <f t="shared" si="8"/>
        <v>2.5510204081632651E-3</v>
      </c>
      <c r="Y201" s="63">
        <v>489637.9</v>
      </c>
      <c r="AD201" s="14">
        <v>283.14999999999998</v>
      </c>
      <c r="AE201" s="77">
        <v>0.96</v>
      </c>
      <c r="AF201" s="75">
        <v>12.986577</v>
      </c>
      <c r="AG201" s="60">
        <v>10.676678000000001</v>
      </c>
      <c r="AO201" s="86">
        <v>4.0000000000000036E-2</v>
      </c>
      <c r="AP201" s="150">
        <v>2502.6260000000002</v>
      </c>
      <c r="AQ201" s="61">
        <v>833.35390000000007</v>
      </c>
      <c r="AR201" s="140"/>
      <c r="AU201" s="140"/>
    </row>
    <row r="202" spans="17:47">
      <c r="Q202" s="53">
        <v>397.82499999999999</v>
      </c>
      <c r="R202" s="54">
        <f t="shared" ref="R202:R208" si="9">1/Q202</f>
        <v>2.5136680701313393E-3</v>
      </c>
      <c r="S202" s="56">
        <v>1307183.30811691</v>
      </c>
      <c r="W202" s="53">
        <v>393</v>
      </c>
      <c r="X202" s="54">
        <f t="shared" ref="X202:X213" si="10">1/W202</f>
        <v>2.5445292620865142E-3</v>
      </c>
      <c r="Y202" s="63">
        <v>501231.8</v>
      </c>
      <c r="AD202" s="14">
        <v>283.14999999999998</v>
      </c>
      <c r="AE202" s="77">
        <v>0.96499999999999997</v>
      </c>
      <c r="AF202" s="75">
        <v>12.676712</v>
      </c>
      <c r="AG202" s="60">
        <v>10.628166</v>
      </c>
      <c r="AO202" s="86">
        <v>3.5000000000000031E-2</v>
      </c>
      <c r="AP202" s="150">
        <v>2517.8517999999999</v>
      </c>
      <c r="AQ202" s="61">
        <v>948.40409999999997</v>
      </c>
      <c r="AR202" s="140"/>
      <c r="AU202" s="140"/>
    </row>
    <row r="203" spans="17:47">
      <c r="Q203" s="53">
        <v>398.85</v>
      </c>
      <c r="R203" s="54">
        <f t="shared" si="9"/>
        <v>2.5072082236429734E-3</v>
      </c>
      <c r="S203" s="56">
        <v>1334368.0525835101</v>
      </c>
      <c r="W203" s="53">
        <v>394</v>
      </c>
      <c r="X203" s="54">
        <f t="shared" si="10"/>
        <v>2.5380710659898475E-3</v>
      </c>
      <c r="Y203" s="63">
        <v>513027.3</v>
      </c>
      <c r="AD203" s="14">
        <v>283.14999999999998</v>
      </c>
      <c r="AE203" s="77">
        <v>0.97</v>
      </c>
      <c r="AF203" s="75">
        <v>12.360042999999999</v>
      </c>
      <c r="AG203" s="60">
        <v>10.580082000000001</v>
      </c>
      <c r="AO203" s="86">
        <v>3.0000000000000027E-2</v>
      </c>
      <c r="AP203" s="150">
        <v>2533.4752000000003</v>
      </c>
      <c r="AQ203" s="62">
        <v>1098.2311999999999</v>
      </c>
      <c r="AR203" s="140"/>
      <c r="AU203" s="140"/>
    </row>
    <row r="204" spans="17:47">
      <c r="Q204" s="53">
        <v>399.875</v>
      </c>
      <c r="R204" s="54">
        <f t="shared" si="9"/>
        <v>2.5007814942169426E-3</v>
      </c>
      <c r="S204" s="56">
        <v>1361957.9911432201</v>
      </c>
      <c r="W204" s="53">
        <v>395</v>
      </c>
      <c r="X204" s="54">
        <f t="shared" si="10"/>
        <v>2.5316455696202532E-3</v>
      </c>
      <c r="Y204" s="63">
        <v>525026.6</v>
      </c>
      <c r="AD204" s="14">
        <v>283.14999999999998</v>
      </c>
      <c r="AE204" s="77">
        <v>0.97499999999999998</v>
      </c>
      <c r="AF204" s="75">
        <v>12.036288000000001</v>
      </c>
      <c r="AG204" s="60">
        <v>10.532419000000001</v>
      </c>
      <c r="AO204" s="86">
        <v>2.5000000000000022E-2</v>
      </c>
      <c r="AP204" s="150">
        <v>2549.5137999999997</v>
      </c>
      <c r="AQ204" s="62">
        <v>1298.4608000000001</v>
      </c>
      <c r="AR204" s="140"/>
      <c r="AU204" s="140"/>
    </row>
    <row r="205" spans="17:47">
      <c r="Q205" s="53">
        <v>400.9</v>
      </c>
      <c r="R205" s="54">
        <f t="shared" si="9"/>
        <v>2.4943876278373661E-3</v>
      </c>
      <c r="S205" s="56">
        <v>1389956.6324273199</v>
      </c>
      <c r="W205" s="53">
        <v>396</v>
      </c>
      <c r="X205" s="54">
        <f t="shared" si="10"/>
        <v>2.5252525252525255E-3</v>
      </c>
      <c r="Y205" s="63">
        <v>537231.9</v>
      </c>
      <c r="AD205" s="14">
        <v>283.14999999999998</v>
      </c>
      <c r="AE205" s="77">
        <v>0.98</v>
      </c>
      <c r="AF205" s="75">
        <v>11.705152</v>
      </c>
      <c r="AG205" s="60">
        <v>10.485173</v>
      </c>
      <c r="AO205" s="86">
        <v>2.0000000000000018E-2</v>
      </c>
      <c r="AP205" s="150">
        <v>2565.9865</v>
      </c>
      <c r="AQ205" s="62">
        <v>1568.3615</v>
      </c>
      <c r="AR205" s="140"/>
      <c r="AU205" s="140"/>
    </row>
    <row r="206" spans="17:47">
      <c r="Q206" s="53">
        <v>401.92500000000001</v>
      </c>
      <c r="R206" s="54">
        <f t="shared" si="9"/>
        <v>2.4880263730795546E-3</v>
      </c>
      <c r="S206" s="56">
        <v>1418367.49536317</v>
      </c>
      <c r="W206" s="53">
        <v>397</v>
      </c>
      <c r="X206" s="54">
        <f t="shared" si="10"/>
        <v>2.5188916876574307E-3</v>
      </c>
      <c r="Y206" s="63">
        <v>549645.30000000005</v>
      </c>
      <c r="AD206" s="14">
        <v>283.14999999999998</v>
      </c>
      <c r="AE206" s="77">
        <v>0.98499999999999999</v>
      </c>
      <c r="AF206" s="75">
        <v>11.36632</v>
      </c>
      <c r="AG206" s="60">
        <v>10.438338999999999</v>
      </c>
      <c r="AO206" s="86">
        <v>1.5000000000000013E-2</v>
      </c>
      <c r="AP206" s="150">
        <v>2582.9124999999999</v>
      </c>
      <c r="AQ206" s="62">
        <v>1904.847</v>
      </c>
      <c r="AR206" s="140"/>
      <c r="AU206" s="140"/>
    </row>
    <row r="207" spans="17:47">
      <c r="Q207" s="53">
        <v>402.95</v>
      </c>
      <c r="R207" s="54">
        <f t="shared" si="9"/>
        <v>2.4816974810770568E-3</v>
      </c>
      <c r="S207" s="56">
        <v>1447194.1092902799</v>
      </c>
      <c r="W207" s="53">
        <v>398</v>
      </c>
      <c r="X207" s="54">
        <f t="shared" si="10"/>
        <v>2.5125628140703518E-3</v>
      </c>
      <c r="Y207" s="63">
        <v>562268.6</v>
      </c>
      <c r="AD207" s="14">
        <v>283.14999999999998</v>
      </c>
      <c r="AE207" s="77">
        <v>0.99</v>
      </c>
      <c r="AF207" s="75">
        <v>11.019462000000001</v>
      </c>
      <c r="AG207" s="60">
        <v>10.391911</v>
      </c>
      <c r="AO207" s="86">
        <v>1.0000000000000009E-2</v>
      </c>
      <c r="AP207" s="150">
        <v>2600.3125</v>
      </c>
      <c r="AQ207" s="62">
        <v>2220.7347999999997</v>
      </c>
      <c r="AR207" s="140"/>
      <c r="AU207" s="140"/>
    </row>
    <row r="208" spans="17:47" ht="15" thickBot="1">
      <c r="Q208" s="57">
        <v>403.97500000000002</v>
      </c>
      <c r="R208" s="58">
        <f t="shared" si="9"/>
        <v>2.4754007054892009E-3</v>
      </c>
      <c r="S208" s="59">
        <v>1476440.01405345</v>
      </c>
      <c r="W208" s="53">
        <v>399</v>
      </c>
      <c r="X208" s="54">
        <f t="shared" si="10"/>
        <v>2.5062656641604009E-3</v>
      </c>
      <c r="Y208" s="63">
        <v>575104.30000000005</v>
      </c>
      <c r="AD208" s="14">
        <v>283.14999999999998</v>
      </c>
      <c r="AE208" s="77">
        <v>0.995</v>
      </c>
      <c r="AF208" s="75">
        <v>10.664229000000001</v>
      </c>
      <c r="AG208" s="60">
        <v>10.345883000000001</v>
      </c>
      <c r="AO208" s="86">
        <v>5.0000000000000044E-3</v>
      </c>
      <c r="AP208" s="150">
        <v>2618.2077999999997</v>
      </c>
      <c r="AQ208" s="62">
        <v>2455.5418</v>
      </c>
      <c r="AR208" s="140"/>
      <c r="AU208" s="140"/>
    </row>
    <row r="209" spans="23:47" ht="15" thickBot="1">
      <c r="W209" s="53">
        <v>400</v>
      </c>
      <c r="X209" s="54">
        <f t="shared" si="10"/>
        <v>2.5000000000000001E-3</v>
      </c>
      <c r="Y209" s="63">
        <v>588154.4</v>
      </c>
      <c r="AD209" s="14">
        <v>283.14999999999998</v>
      </c>
      <c r="AE209" s="78">
        <v>1</v>
      </c>
      <c r="AF209" s="75">
        <v>10.300252</v>
      </c>
      <c r="AG209" s="60">
        <v>10.300252</v>
      </c>
      <c r="AO209" s="143">
        <v>0</v>
      </c>
      <c r="AP209" s="211">
        <v>2636.6202000000003</v>
      </c>
      <c r="AQ209" s="155">
        <v>2636.6202000000003</v>
      </c>
      <c r="AR209" s="140"/>
      <c r="AU209" s="140"/>
    </row>
    <row r="210" spans="23:47">
      <c r="W210" s="53">
        <v>401</v>
      </c>
      <c r="X210" s="54">
        <f t="shared" si="10"/>
        <v>2.4937655860349127E-3</v>
      </c>
      <c r="Y210" s="63">
        <v>601420.30000000005</v>
      </c>
      <c r="AD210" s="14">
        <v>313.14999999999998</v>
      </c>
      <c r="AE210" s="54">
        <v>0</v>
      </c>
      <c r="AF210" s="79">
        <v>136.09569999999999</v>
      </c>
      <c r="AG210" s="61">
        <v>136.09569999999999</v>
      </c>
    </row>
    <row r="211" spans="23:47">
      <c r="W211" s="53">
        <v>402</v>
      </c>
      <c r="X211" s="54">
        <f t="shared" si="10"/>
        <v>2.4875621890547263E-3</v>
      </c>
      <c r="Y211" s="63">
        <v>614905.4</v>
      </c>
      <c r="AD211" s="14">
        <v>313.14999999999998</v>
      </c>
      <c r="AE211" s="54">
        <v>5.0000000000000001E-3</v>
      </c>
      <c r="AF211" s="79">
        <v>135.70070000000001</v>
      </c>
      <c r="AG211" s="61">
        <v>135.19880000000001</v>
      </c>
    </row>
    <row r="212" spans="23:47">
      <c r="W212" s="53">
        <v>403</v>
      </c>
      <c r="X212" s="54">
        <f t="shared" si="10"/>
        <v>2.4813895781637717E-3</v>
      </c>
      <c r="Y212" s="63">
        <v>628611.4</v>
      </c>
      <c r="AD212" s="14">
        <v>313.14999999999998</v>
      </c>
      <c r="AE212" s="76">
        <v>0.01</v>
      </c>
      <c r="AF212" s="79">
        <v>135.30619999999999</v>
      </c>
      <c r="AG212" s="61">
        <v>134.30160000000001</v>
      </c>
    </row>
    <row r="213" spans="23:47" ht="15" thickBot="1">
      <c r="W213" s="57">
        <v>404</v>
      </c>
      <c r="X213" s="58">
        <f t="shared" si="10"/>
        <v>2.4752475247524753E-3</v>
      </c>
      <c r="Y213" s="64">
        <v>642540.19999999995</v>
      </c>
      <c r="AD213" s="14">
        <v>313.14999999999998</v>
      </c>
      <c r="AE213" s="76">
        <v>1.4999999999999999E-2</v>
      </c>
      <c r="AF213" s="79">
        <v>134.9119</v>
      </c>
      <c r="AG213" s="61">
        <v>133.4041</v>
      </c>
    </row>
    <row r="214" spans="23:47">
      <c r="AD214" s="14">
        <v>313.14999999999998</v>
      </c>
      <c r="AE214" s="76">
        <v>0.02</v>
      </c>
      <c r="AF214" s="79">
        <v>134.518</v>
      </c>
      <c r="AG214" s="61">
        <v>132.50649999999999</v>
      </c>
    </row>
    <row r="215" spans="23:47">
      <c r="AD215" s="14">
        <v>313.14999999999998</v>
      </c>
      <c r="AE215" s="76">
        <v>2.5000000000000001E-2</v>
      </c>
      <c r="AF215" s="79">
        <v>134.12440000000001</v>
      </c>
      <c r="AG215" s="61">
        <v>131.6088</v>
      </c>
    </row>
    <row r="216" spans="23:47">
      <c r="AD216" s="14">
        <v>313.14999999999998</v>
      </c>
      <c r="AE216" s="76">
        <v>0.03</v>
      </c>
      <c r="AF216" s="79">
        <v>133.7311</v>
      </c>
      <c r="AG216" s="61">
        <v>130.71119999999999</v>
      </c>
    </row>
    <row r="217" spans="23:47">
      <c r="AD217" s="14">
        <v>313.14999999999998</v>
      </c>
      <c r="AE217" s="76">
        <v>3.5000000000000003E-2</v>
      </c>
      <c r="AF217" s="79">
        <v>133.3382</v>
      </c>
      <c r="AG217" s="61">
        <v>129.81379999999999</v>
      </c>
    </row>
    <row r="218" spans="23:47">
      <c r="AD218" s="14">
        <v>313.14999999999998</v>
      </c>
      <c r="AE218" s="76">
        <v>0.04</v>
      </c>
      <c r="AF218" s="79">
        <v>132.94550000000001</v>
      </c>
      <c r="AG218" s="61">
        <v>128.91659999999999</v>
      </c>
    </row>
    <row r="219" spans="23:47">
      <c r="AD219" s="14">
        <v>313.14999999999998</v>
      </c>
      <c r="AE219" s="76">
        <v>4.4999999999999998E-2</v>
      </c>
      <c r="AF219" s="79">
        <v>132.5531</v>
      </c>
      <c r="AG219" s="61">
        <v>128.02000000000001</v>
      </c>
    </row>
    <row r="220" spans="23:47">
      <c r="AD220" s="14">
        <v>313.14999999999998</v>
      </c>
      <c r="AE220" s="76">
        <v>0.05</v>
      </c>
      <c r="AF220" s="79">
        <v>132.1611</v>
      </c>
      <c r="AG220" s="61">
        <v>127.12390000000001</v>
      </c>
    </row>
    <row r="221" spans="23:47">
      <c r="AD221" s="14">
        <v>313.14999999999998</v>
      </c>
      <c r="AE221" s="76">
        <v>5.5E-2</v>
      </c>
      <c r="AF221" s="79">
        <v>131.76929999999999</v>
      </c>
      <c r="AG221" s="61">
        <v>126.2285</v>
      </c>
    </row>
    <row r="222" spans="23:47">
      <c r="AD222" s="14">
        <v>313.14999999999998</v>
      </c>
      <c r="AE222" s="76">
        <v>0.06</v>
      </c>
      <c r="AF222" s="79">
        <v>131.37780000000001</v>
      </c>
      <c r="AG222" s="61">
        <v>125.33410000000001</v>
      </c>
    </row>
    <row r="223" spans="23:47">
      <c r="AD223" s="14">
        <v>313.14999999999998</v>
      </c>
      <c r="AE223" s="76">
        <v>6.5000000000000002E-2</v>
      </c>
      <c r="AF223" s="79">
        <v>130.98660000000001</v>
      </c>
      <c r="AG223" s="61">
        <v>124.44070000000001</v>
      </c>
    </row>
    <row r="224" spans="23:47">
      <c r="AD224" s="14">
        <v>313.14999999999998</v>
      </c>
      <c r="AE224" s="76">
        <v>7.0000000000000007E-2</v>
      </c>
      <c r="AF224" s="79">
        <v>130.59569999999999</v>
      </c>
      <c r="AG224" s="61">
        <v>123.5485</v>
      </c>
    </row>
    <row r="225" spans="30:33">
      <c r="AD225" s="14">
        <v>313.14999999999998</v>
      </c>
      <c r="AE225" s="76">
        <v>7.4999999999999997E-2</v>
      </c>
      <c r="AF225" s="79">
        <v>130.20509999999999</v>
      </c>
      <c r="AG225" s="61">
        <v>122.6576</v>
      </c>
    </row>
    <row r="226" spans="30:33">
      <c r="AD226" s="14">
        <v>313.14999999999998</v>
      </c>
      <c r="AE226" s="76">
        <v>0.08</v>
      </c>
      <c r="AF226" s="79">
        <v>129.81469999999999</v>
      </c>
      <c r="AG226" s="61">
        <v>121.7683</v>
      </c>
    </row>
    <row r="227" spans="30:33">
      <c r="AD227" s="14">
        <v>313.14999999999998</v>
      </c>
      <c r="AE227" s="76">
        <v>8.5000000000000006E-2</v>
      </c>
      <c r="AF227" s="79">
        <v>129.42449999999999</v>
      </c>
      <c r="AG227" s="61">
        <v>120.8807</v>
      </c>
    </row>
    <row r="228" spans="30:33">
      <c r="AD228" s="14">
        <v>313.14999999999998</v>
      </c>
      <c r="AE228" s="76">
        <v>0.09</v>
      </c>
      <c r="AF228" s="79">
        <v>129.03460000000001</v>
      </c>
      <c r="AG228" s="61">
        <v>119.9949</v>
      </c>
    </row>
    <row r="229" spans="30:33">
      <c r="AD229" s="14">
        <v>313.14999999999998</v>
      </c>
      <c r="AE229" s="76">
        <v>9.5000000000000001E-2</v>
      </c>
      <c r="AF229" s="79">
        <v>128.64490000000001</v>
      </c>
      <c r="AG229" s="61">
        <v>119.11109999999999</v>
      </c>
    </row>
    <row r="230" spans="30:33">
      <c r="AD230" s="14">
        <v>313.14999999999998</v>
      </c>
      <c r="AE230" s="77">
        <v>0.1</v>
      </c>
      <c r="AF230" s="79">
        <v>128.25550000000001</v>
      </c>
      <c r="AG230" s="61">
        <v>118.2296</v>
      </c>
    </row>
    <row r="231" spans="30:33">
      <c r="AD231" s="14">
        <v>313.14999999999998</v>
      </c>
      <c r="AE231" s="77">
        <v>0.105</v>
      </c>
      <c r="AF231" s="79">
        <v>127.8663</v>
      </c>
      <c r="AG231" s="61">
        <v>117.3505</v>
      </c>
    </row>
    <row r="232" spans="30:33">
      <c r="AD232" s="14">
        <v>313.14999999999998</v>
      </c>
      <c r="AE232" s="77">
        <v>0.11</v>
      </c>
      <c r="AF232" s="79">
        <v>127.4773</v>
      </c>
      <c r="AG232" s="61">
        <v>116.4739</v>
      </c>
    </row>
    <row r="233" spans="30:33">
      <c r="AD233" s="14">
        <v>313.14999999999998</v>
      </c>
      <c r="AE233" s="77">
        <v>0.115</v>
      </c>
      <c r="AF233" s="79">
        <v>127.0885</v>
      </c>
      <c r="AG233" s="61">
        <v>115.6</v>
      </c>
    </row>
    <row r="234" spans="30:33">
      <c r="AD234" s="14">
        <v>313.14999999999998</v>
      </c>
      <c r="AE234" s="77">
        <v>0.12</v>
      </c>
      <c r="AF234" s="79">
        <v>126.6999</v>
      </c>
      <c r="AG234" s="61">
        <v>114.7291</v>
      </c>
    </row>
    <row r="235" spans="30:33">
      <c r="AD235" s="14">
        <v>313.14999999999998</v>
      </c>
      <c r="AE235" s="77">
        <v>0.125</v>
      </c>
      <c r="AF235" s="79">
        <v>126.3115</v>
      </c>
      <c r="AG235" s="61">
        <v>113.8613</v>
      </c>
    </row>
    <row r="236" spans="30:33">
      <c r="AD236" s="14">
        <v>313.14999999999998</v>
      </c>
      <c r="AE236" s="77">
        <v>0.13</v>
      </c>
      <c r="AF236" s="79">
        <v>125.9233</v>
      </c>
      <c r="AG236" s="61">
        <v>112.9967</v>
      </c>
    </row>
    <row r="237" spans="30:33">
      <c r="AD237" s="14">
        <v>313.14999999999998</v>
      </c>
      <c r="AE237" s="77">
        <v>0.13500000000000001</v>
      </c>
      <c r="AF237" s="79">
        <v>125.5352</v>
      </c>
      <c r="AG237" s="61">
        <v>112.1356</v>
      </c>
    </row>
    <row r="238" spans="30:33">
      <c r="AD238" s="14">
        <v>313.14999999999998</v>
      </c>
      <c r="AE238" s="77">
        <v>0.14000000000000001</v>
      </c>
      <c r="AF238" s="79">
        <v>125.1473</v>
      </c>
      <c r="AG238" s="61">
        <v>111.27809999999999</v>
      </c>
    </row>
    <row r="239" spans="30:33">
      <c r="AD239" s="14">
        <v>313.14999999999998</v>
      </c>
      <c r="AE239" s="77">
        <v>0.14499999999999999</v>
      </c>
      <c r="AF239" s="79">
        <v>124.7595</v>
      </c>
      <c r="AG239" s="61">
        <v>110.4243</v>
      </c>
    </row>
    <row r="240" spans="30:33">
      <c r="AD240" s="14">
        <v>313.14999999999998</v>
      </c>
      <c r="AE240" s="77">
        <v>0.15</v>
      </c>
      <c r="AF240" s="79">
        <v>124.3719</v>
      </c>
      <c r="AG240" s="61">
        <v>109.5746</v>
      </c>
    </row>
    <row r="241" spans="30:33">
      <c r="AD241" s="14">
        <v>313.14999999999998</v>
      </c>
      <c r="AE241" s="77">
        <v>0.155</v>
      </c>
      <c r="AF241" s="79">
        <v>123.98439999999999</v>
      </c>
      <c r="AG241" s="61">
        <v>108.7289</v>
      </c>
    </row>
    <row r="242" spans="30:33">
      <c r="AD242" s="14">
        <v>313.14999999999998</v>
      </c>
      <c r="AE242" s="77">
        <v>0.16</v>
      </c>
      <c r="AF242" s="79">
        <v>123.59699999999999</v>
      </c>
      <c r="AG242" s="61">
        <v>107.88760000000001</v>
      </c>
    </row>
    <row r="243" spans="30:33">
      <c r="AD243" s="14">
        <v>313.14999999999998</v>
      </c>
      <c r="AE243" s="77">
        <v>0.16500000000000001</v>
      </c>
      <c r="AF243" s="79">
        <v>123.2098</v>
      </c>
      <c r="AG243" s="61">
        <v>107.05070000000001</v>
      </c>
    </row>
    <row r="244" spans="30:33">
      <c r="AD244" s="14">
        <v>313.14999999999998</v>
      </c>
      <c r="AE244" s="77">
        <v>0.17</v>
      </c>
      <c r="AF244" s="79">
        <v>122.82259999999999</v>
      </c>
      <c r="AG244" s="61">
        <v>106.2184</v>
      </c>
    </row>
    <row r="245" spans="30:33">
      <c r="AD245" s="14">
        <v>313.14999999999998</v>
      </c>
      <c r="AE245" s="77">
        <v>0.17499999999999999</v>
      </c>
      <c r="AF245" s="79">
        <v>122.4355</v>
      </c>
      <c r="AG245" s="61">
        <v>105.3909</v>
      </c>
    </row>
    <row r="246" spans="30:33">
      <c r="AD246" s="14">
        <v>313.14999999999998</v>
      </c>
      <c r="AE246" s="77">
        <v>0.18</v>
      </c>
      <c r="AF246" s="79">
        <v>122.0485</v>
      </c>
      <c r="AG246" s="61">
        <v>104.5682</v>
      </c>
    </row>
    <row r="247" spans="30:33">
      <c r="AD247" s="14">
        <v>313.14999999999998</v>
      </c>
      <c r="AE247" s="77">
        <v>0.185</v>
      </c>
      <c r="AF247" s="79">
        <v>121.6615</v>
      </c>
      <c r="AG247" s="61">
        <v>103.75069999999999</v>
      </c>
    </row>
    <row r="248" spans="30:33">
      <c r="AD248" s="14">
        <v>313.14999999999998</v>
      </c>
      <c r="AE248" s="77">
        <v>0.19</v>
      </c>
      <c r="AF248" s="79">
        <v>121.27460000000001</v>
      </c>
      <c r="AG248" s="61">
        <v>102.9383</v>
      </c>
    </row>
    <row r="249" spans="30:33">
      <c r="AD249" s="14">
        <v>313.14999999999998</v>
      </c>
      <c r="AE249" s="77">
        <v>0.19500000000000001</v>
      </c>
      <c r="AF249" s="79">
        <v>120.8877</v>
      </c>
      <c r="AG249" s="61">
        <v>102.13120000000001</v>
      </c>
    </row>
    <row r="250" spans="30:33">
      <c r="AD250" s="14">
        <v>313.14999999999998</v>
      </c>
      <c r="AE250" s="77">
        <v>0.2</v>
      </c>
      <c r="AF250" s="79">
        <v>120.5008</v>
      </c>
      <c r="AG250" s="61">
        <v>101.3296</v>
      </c>
    </row>
    <row r="251" spans="30:33">
      <c r="AD251" s="14">
        <v>313.14999999999998</v>
      </c>
      <c r="AE251" s="77">
        <v>0.20499999999999999</v>
      </c>
      <c r="AF251" s="79">
        <v>120.1139</v>
      </c>
      <c r="AG251" s="61">
        <v>100.5335</v>
      </c>
    </row>
    <row r="252" spans="30:33">
      <c r="AD252" s="14">
        <v>313.14999999999998</v>
      </c>
      <c r="AE252" s="77">
        <v>0.21</v>
      </c>
      <c r="AF252" s="79">
        <v>119.72709999999999</v>
      </c>
      <c r="AG252" s="60">
        <v>99.74315</v>
      </c>
    </row>
    <row r="253" spans="30:33">
      <c r="AD253" s="14">
        <v>313.14999999999998</v>
      </c>
      <c r="AE253" s="77">
        <v>0.215</v>
      </c>
      <c r="AF253" s="79">
        <v>119.3402</v>
      </c>
      <c r="AG253" s="60">
        <v>98.958579999999998</v>
      </c>
    </row>
    <row r="254" spans="30:33">
      <c r="AD254" s="14">
        <v>313.14999999999998</v>
      </c>
      <c r="AE254" s="77">
        <v>0.22</v>
      </c>
      <c r="AF254" s="79">
        <v>118.9533</v>
      </c>
      <c r="AG254" s="60">
        <v>98.179919999999996</v>
      </c>
    </row>
    <row r="255" spans="30:33">
      <c r="AD255" s="14">
        <v>313.14999999999998</v>
      </c>
      <c r="AE255" s="77">
        <v>0.22500000000000001</v>
      </c>
      <c r="AF255" s="79">
        <v>118.5663</v>
      </c>
      <c r="AG255" s="60">
        <v>97.407259999999994</v>
      </c>
    </row>
    <row r="256" spans="30:33">
      <c r="AD256" s="14">
        <v>313.14999999999998</v>
      </c>
      <c r="AE256" s="77">
        <v>0.23</v>
      </c>
      <c r="AF256" s="79">
        <v>118.1793</v>
      </c>
      <c r="AG256" s="60">
        <v>96.640690000000006</v>
      </c>
    </row>
    <row r="257" spans="30:33">
      <c r="AD257" s="14">
        <v>313.14999999999998</v>
      </c>
      <c r="AE257" s="77">
        <v>0.23499999999999999</v>
      </c>
      <c r="AF257" s="79">
        <v>117.79219999999999</v>
      </c>
      <c r="AG257" s="60">
        <v>95.880300000000005</v>
      </c>
    </row>
    <row r="258" spans="30:33">
      <c r="AD258" s="14">
        <v>313.14999999999998</v>
      </c>
      <c r="AE258" s="77">
        <v>0.24</v>
      </c>
      <c r="AF258" s="79">
        <v>117.4051</v>
      </c>
      <c r="AG258" s="60">
        <v>95.126180000000005</v>
      </c>
    </row>
    <row r="259" spans="30:33">
      <c r="AD259" s="14">
        <v>313.14999999999998</v>
      </c>
      <c r="AE259" s="77">
        <v>0.245</v>
      </c>
      <c r="AF259" s="79">
        <v>117.01779999999999</v>
      </c>
      <c r="AG259" s="60">
        <v>94.378380000000007</v>
      </c>
    </row>
    <row r="260" spans="30:33">
      <c r="AD260" s="14">
        <v>313.14999999999998</v>
      </c>
      <c r="AE260" s="77">
        <v>0.25</v>
      </c>
      <c r="AF260" s="79">
        <v>116.63039999999999</v>
      </c>
      <c r="AG260" s="60">
        <v>93.636989999999997</v>
      </c>
    </row>
    <row r="261" spans="30:33">
      <c r="AD261" s="14">
        <v>313.14999999999998</v>
      </c>
      <c r="AE261" s="77">
        <v>0.255</v>
      </c>
      <c r="AF261" s="79">
        <v>116.24290000000001</v>
      </c>
      <c r="AG261" s="60">
        <v>92.902060000000006</v>
      </c>
    </row>
    <row r="262" spans="30:33">
      <c r="AD262" s="14">
        <v>313.14999999999998</v>
      </c>
      <c r="AE262" s="77">
        <v>0.26</v>
      </c>
      <c r="AF262" s="79">
        <v>115.8552</v>
      </c>
      <c r="AG262" s="60">
        <v>92.173649999999995</v>
      </c>
    </row>
    <row r="263" spans="30:33">
      <c r="AD263" s="14">
        <v>313.14999999999998</v>
      </c>
      <c r="AE263" s="77">
        <v>0.26500000000000001</v>
      </c>
      <c r="AF263" s="79">
        <v>115.4674</v>
      </c>
      <c r="AG263" s="60">
        <v>91.451809999999995</v>
      </c>
    </row>
    <row r="264" spans="30:33">
      <c r="AD264" s="14">
        <v>313.14999999999998</v>
      </c>
      <c r="AE264" s="77">
        <v>0.27</v>
      </c>
      <c r="AF264" s="79">
        <v>115.0793</v>
      </c>
      <c r="AG264" s="60">
        <v>90.73657</v>
      </c>
    </row>
    <row r="265" spans="30:33">
      <c r="AD265" s="14">
        <v>313.14999999999998</v>
      </c>
      <c r="AE265" s="77">
        <v>0.27500000000000002</v>
      </c>
      <c r="AF265" s="79">
        <v>114.69110000000001</v>
      </c>
      <c r="AG265" s="60">
        <v>90.027990000000003</v>
      </c>
    </row>
    <row r="266" spans="30:33">
      <c r="AD266" s="14">
        <v>313.14999999999998</v>
      </c>
      <c r="AE266" s="77">
        <v>0.28000000000000003</v>
      </c>
      <c r="AF266" s="79">
        <v>114.3027</v>
      </c>
      <c r="AG266" s="60">
        <v>89.326080000000005</v>
      </c>
    </row>
    <row r="267" spans="30:33">
      <c r="AD267" s="14">
        <v>313.14999999999998</v>
      </c>
      <c r="AE267" s="77">
        <v>0.28499999999999998</v>
      </c>
      <c r="AF267" s="79">
        <v>113.9141</v>
      </c>
      <c r="AG267" s="60">
        <v>88.630880000000005</v>
      </c>
    </row>
    <row r="268" spans="30:33">
      <c r="AD268" s="14">
        <v>313.14999999999998</v>
      </c>
      <c r="AE268" s="77">
        <v>0.28999999999999998</v>
      </c>
      <c r="AF268" s="79">
        <v>113.5252</v>
      </c>
      <c r="AG268" s="60">
        <v>87.942409999999995</v>
      </c>
    </row>
    <row r="269" spans="30:33">
      <c r="AD269" s="14">
        <v>313.14999999999998</v>
      </c>
      <c r="AE269" s="77">
        <v>0.29499999999999998</v>
      </c>
      <c r="AF269" s="79">
        <v>113.136</v>
      </c>
      <c r="AG269" s="60">
        <v>87.260689999999997</v>
      </c>
    </row>
    <row r="270" spans="30:33">
      <c r="AD270" s="14">
        <v>313.14999999999998</v>
      </c>
      <c r="AE270" s="77">
        <v>0.3</v>
      </c>
      <c r="AF270" s="79">
        <v>112.7466</v>
      </c>
      <c r="AG270" s="60">
        <v>86.585719999999995</v>
      </c>
    </row>
    <row r="271" spans="30:33">
      <c r="AD271" s="14">
        <v>313.14999999999998</v>
      </c>
      <c r="AE271" s="77">
        <v>0.30499999999999999</v>
      </c>
      <c r="AF271" s="79">
        <v>112.3569</v>
      </c>
      <c r="AG271" s="60">
        <v>85.917500000000004</v>
      </c>
    </row>
    <row r="272" spans="30:33">
      <c r="AD272" s="14">
        <v>313.14999999999998</v>
      </c>
      <c r="AE272" s="77">
        <v>0.31</v>
      </c>
      <c r="AF272" s="79">
        <v>111.96680000000001</v>
      </c>
      <c r="AG272" s="60">
        <v>85.256060000000005</v>
      </c>
    </row>
    <row r="273" spans="30:33">
      <c r="AD273" s="14">
        <v>313.14999999999998</v>
      </c>
      <c r="AE273" s="77">
        <v>0.315</v>
      </c>
      <c r="AF273" s="79">
        <v>111.5765</v>
      </c>
      <c r="AG273" s="60">
        <v>84.60136</v>
      </c>
    </row>
    <row r="274" spans="30:33">
      <c r="AD274" s="14">
        <v>313.14999999999998</v>
      </c>
      <c r="AE274" s="77">
        <v>0.32</v>
      </c>
      <c r="AF274" s="79">
        <v>111.1858</v>
      </c>
      <c r="AG274" s="60">
        <v>83.953419999999994</v>
      </c>
    </row>
    <row r="275" spans="30:33">
      <c r="AD275" s="14">
        <v>313.14999999999998</v>
      </c>
      <c r="AE275" s="77">
        <v>0.32500000000000001</v>
      </c>
      <c r="AF275" s="79">
        <v>110.79470000000001</v>
      </c>
      <c r="AG275" s="60">
        <v>83.312219999999996</v>
      </c>
    </row>
    <row r="276" spans="30:33">
      <c r="AD276" s="14">
        <v>313.14999999999998</v>
      </c>
      <c r="AE276" s="77">
        <v>0.33</v>
      </c>
      <c r="AF276" s="79">
        <v>110.4032</v>
      </c>
      <c r="AG276" s="60">
        <v>82.677729999999997</v>
      </c>
    </row>
    <row r="277" spans="30:33">
      <c r="AD277" s="14">
        <v>313.14999999999998</v>
      </c>
      <c r="AE277" s="77">
        <v>0.33500000000000002</v>
      </c>
      <c r="AF277" s="79">
        <v>110.01130000000001</v>
      </c>
      <c r="AG277" s="60">
        <v>82.049959999999999</v>
      </c>
    </row>
    <row r="278" spans="30:33">
      <c r="AD278" s="14">
        <v>313.14999999999998</v>
      </c>
      <c r="AE278" s="77">
        <v>0.34</v>
      </c>
      <c r="AF278" s="79">
        <v>109.619</v>
      </c>
      <c r="AG278" s="60">
        <v>81.428849999999997</v>
      </c>
    </row>
    <row r="279" spans="30:33">
      <c r="AD279" s="14">
        <v>313.14999999999998</v>
      </c>
      <c r="AE279" s="77">
        <v>0.34499999999999997</v>
      </c>
      <c r="AF279" s="79">
        <v>109.22620000000001</v>
      </c>
      <c r="AG279" s="60">
        <v>80.814400000000006</v>
      </c>
    </row>
    <row r="280" spans="30:33">
      <c r="AD280" s="14">
        <v>313.14999999999998</v>
      </c>
      <c r="AE280" s="77">
        <v>0.35</v>
      </c>
      <c r="AF280" s="79">
        <v>108.833</v>
      </c>
      <c r="AG280" s="60">
        <v>80.206569999999999</v>
      </c>
    </row>
    <row r="281" spans="30:33">
      <c r="AD281" s="14">
        <v>313.14999999999998</v>
      </c>
      <c r="AE281" s="77">
        <v>0.35499999999999998</v>
      </c>
      <c r="AF281" s="79">
        <v>108.4393</v>
      </c>
      <c r="AG281" s="60">
        <v>79.605329999999995</v>
      </c>
    </row>
    <row r="282" spans="30:33">
      <c r="AD282" s="14">
        <v>313.14999999999998</v>
      </c>
      <c r="AE282" s="77">
        <v>0.36</v>
      </c>
      <c r="AF282" s="79">
        <v>108.04510000000001</v>
      </c>
      <c r="AG282" s="60">
        <v>79.010639999999995</v>
      </c>
    </row>
    <row r="283" spans="30:33">
      <c r="AD283" s="14">
        <v>313.14999999999998</v>
      </c>
      <c r="AE283" s="77">
        <v>0.36499999999999999</v>
      </c>
      <c r="AF283" s="79">
        <v>107.6503</v>
      </c>
      <c r="AG283" s="60">
        <v>78.422460000000001</v>
      </c>
    </row>
    <row r="284" spans="30:33">
      <c r="AD284" s="14">
        <v>313.14999999999998</v>
      </c>
      <c r="AE284" s="77">
        <v>0.37</v>
      </c>
      <c r="AF284" s="79">
        <v>107.255</v>
      </c>
      <c r="AG284" s="60">
        <v>77.840760000000003</v>
      </c>
    </row>
    <row r="285" spans="30:33">
      <c r="AD285" s="14">
        <v>313.14999999999998</v>
      </c>
      <c r="AE285" s="77">
        <v>0.375</v>
      </c>
      <c r="AF285" s="79">
        <v>106.8591</v>
      </c>
      <c r="AG285" s="60">
        <v>77.265479999999997</v>
      </c>
    </row>
    <row r="286" spans="30:33">
      <c r="AD286" s="14">
        <v>313.14999999999998</v>
      </c>
      <c r="AE286" s="77">
        <v>0.38</v>
      </c>
      <c r="AF286" s="79">
        <v>106.4627</v>
      </c>
      <c r="AG286" s="60">
        <v>76.69659</v>
      </c>
    </row>
    <row r="287" spans="30:33">
      <c r="AD287" s="14">
        <v>313.14999999999998</v>
      </c>
      <c r="AE287" s="77">
        <v>0.38500000000000001</v>
      </c>
      <c r="AF287" s="79">
        <v>106.0656</v>
      </c>
      <c r="AG287" s="60">
        <v>76.134029999999996</v>
      </c>
    </row>
    <row r="288" spans="30:33">
      <c r="AD288" s="14">
        <v>313.14999999999998</v>
      </c>
      <c r="AE288" s="77">
        <v>0.39</v>
      </c>
      <c r="AF288" s="79">
        <v>105.6679</v>
      </c>
      <c r="AG288" s="60">
        <v>75.577749999999995</v>
      </c>
    </row>
    <row r="289" spans="30:33">
      <c r="AD289" s="14">
        <v>313.14999999999998</v>
      </c>
      <c r="AE289" s="77">
        <v>0.39500000000000002</v>
      </c>
      <c r="AF289" s="79">
        <v>105.26949999999999</v>
      </c>
      <c r="AG289" s="60">
        <v>75.027709999999999</v>
      </c>
    </row>
    <row r="290" spans="30:33">
      <c r="AD290" s="14">
        <v>313.14999999999998</v>
      </c>
      <c r="AE290" s="77">
        <v>0.4</v>
      </c>
      <c r="AF290" s="79">
        <v>104.8704</v>
      </c>
      <c r="AG290" s="60">
        <v>74.483850000000004</v>
      </c>
    </row>
    <row r="291" spans="30:33">
      <c r="AD291" s="14">
        <v>313.14999999999998</v>
      </c>
      <c r="AE291" s="77">
        <v>0.40500000000000003</v>
      </c>
      <c r="AF291" s="79">
        <v>104.4706</v>
      </c>
      <c r="AG291" s="60">
        <v>73.946110000000004</v>
      </c>
    </row>
    <row r="292" spans="30:33">
      <c r="AD292" s="14">
        <v>313.14999999999998</v>
      </c>
      <c r="AE292" s="77">
        <v>0.41</v>
      </c>
      <c r="AF292" s="79">
        <v>104.0701</v>
      </c>
      <c r="AG292" s="60">
        <v>73.414450000000002</v>
      </c>
    </row>
    <row r="293" spans="30:33">
      <c r="AD293" s="14">
        <v>313.14999999999998</v>
      </c>
      <c r="AE293" s="77">
        <v>0.41499999999999998</v>
      </c>
      <c r="AF293" s="79">
        <v>103.6688</v>
      </c>
      <c r="AG293" s="60">
        <v>72.88879</v>
      </c>
    </row>
    <row r="294" spans="30:33">
      <c r="AD294" s="14">
        <v>313.14999999999998</v>
      </c>
      <c r="AE294" s="77">
        <v>0.42</v>
      </c>
      <c r="AF294" s="79">
        <v>103.2668</v>
      </c>
      <c r="AG294" s="60">
        <v>72.369100000000003</v>
      </c>
    </row>
    <row r="295" spans="30:33">
      <c r="AD295" s="14">
        <v>313.14999999999998</v>
      </c>
      <c r="AE295" s="77">
        <v>0.42499999999999999</v>
      </c>
      <c r="AF295" s="79">
        <v>102.8639</v>
      </c>
      <c r="AG295" s="60">
        <v>71.855289999999997</v>
      </c>
    </row>
    <row r="296" spans="30:33">
      <c r="AD296" s="14">
        <v>313.14999999999998</v>
      </c>
      <c r="AE296" s="77">
        <v>0.43</v>
      </c>
      <c r="AF296" s="79">
        <v>102.4602</v>
      </c>
      <c r="AG296" s="60">
        <v>71.347319999999996</v>
      </c>
    </row>
    <row r="297" spans="30:33">
      <c r="AD297" s="14">
        <v>313.14999999999998</v>
      </c>
      <c r="AE297" s="77">
        <v>0.435</v>
      </c>
      <c r="AF297" s="79">
        <v>102.0557</v>
      </c>
      <c r="AG297" s="60">
        <v>70.845129999999997</v>
      </c>
    </row>
    <row r="298" spans="30:33">
      <c r="AD298" s="14">
        <v>313.14999999999998</v>
      </c>
      <c r="AE298" s="77">
        <v>0.44</v>
      </c>
      <c r="AF298" s="79">
        <v>101.6502</v>
      </c>
      <c r="AG298" s="60">
        <v>70.348650000000006</v>
      </c>
    </row>
    <row r="299" spans="30:33">
      <c r="AD299" s="14">
        <v>313.14999999999998</v>
      </c>
      <c r="AE299" s="77">
        <v>0.44500000000000001</v>
      </c>
      <c r="AF299" s="79">
        <v>101.2439</v>
      </c>
      <c r="AG299" s="60">
        <v>69.857820000000004</v>
      </c>
    </row>
    <row r="300" spans="30:33">
      <c r="AD300" s="14">
        <v>313.14999999999998</v>
      </c>
      <c r="AE300" s="77">
        <v>0.45</v>
      </c>
      <c r="AF300" s="79">
        <v>100.8366</v>
      </c>
      <c r="AG300" s="60">
        <v>69.372579999999999</v>
      </c>
    </row>
    <row r="301" spans="30:33">
      <c r="AD301" s="14">
        <v>313.14999999999998</v>
      </c>
      <c r="AE301" s="77">
        <v>0.45500000000000002</v>
      </c>
      <c r="AF301" s="79">
        <v>100.42829999999999</v>
      </c>
      <c r="AG301" s="60">
        <v>68.892870000000002</v>
      </c>
    </row>
    <row r="302" spans="30:33">
      <c r="AD302" s="14">
        <v>313.14999999999998</v>
      </c>
      <c r="AE302" s="77">
        <v>0.46</v>
      </c>
      <c r="AF302" s="79">
        <v>100.01900000000001</v>
      </c>
      <c r="AG302" s="60">
        <v>68.418620000000004</v>
      </c>
    </row>
    <row r="303" spans="30:33">
      <c r="AD303" s="14">
        <v>313.14999999999998</v>
      </c>
      <c r="AE303" s="77">
        <v>0.46500000000000002</v>
      </c>
      <c r="AF303" s="75">
        <v>99.608729999999994</v>
      </c>
      <c r="AG303" s="60">
        <v>67.949770000000001</v>
      </c>
    </row>
    <row r="304" spans="30:33">
      <c r="AD304" s="14">
        <v>313.14999999999998</v>
      </c>
      <c r="AE304" s="77">
        <v>0.47</v>
      </c>
      <c r="AF304" s="75">
        <v>99.197379999999995</v>
      </c>
      <c r="AG304" s="60">
        <v>67.486260000000001</v>
      </c>
    </row>
    <row r="305" spans="30:33">
      <c r="AD305" s="14">
        <v>313.14999999999998</v>
      </c>
      <c r="AE305" s="77">
        <v>0.47499999999999998</v>
      </c>
      <c r="AF305" s="75">
        <v>98.784949999999995</v>
      </c>
      <c r="AG305" s="60">
        <v>67.028019999999998</v>
      </c>
    </row>
    <row r="306" spans="30:33">
      <c r="AD306" s="14">
        <v>313.14999999999998</v>
      </c>
      <c r="AE306" s="77">
        <v>0.48</v>
      </c>
      <c r="AF306" s="75">
        <v>98.371399999999994</v>
      </c>
      <c r="AG306" s="60">
        <v>66.575000000000003</v>
      </c>
    </row>
    <row r="307" spans="30:33">
      <c r="AD307" s="14">
        <v>313.14999999999998</v>
      </c>
      <c r="AE307" s="77">
        <v>0.48499999999999999</v>
      </c>
      <c r="AF307" s="75">
        <v>97.956699999999998</v>
      </c>
      <c r="AG307" s="60">
        <v>66.127110000000002</v>
      </c>
    </row>
    <row r="308" spans="30:33">
      <c r="AD308" s="14">
        <v>313.14999999999998</v>
      </c>
      <c r="AE308" s="77">
        <v>0.49</v>
      </c>
      <c r="AF308" s="75">
        <v>97.54083</v>
      </c>
      <c r="AG308" s="60">
        <v>65.68432</v>
      </c>
    </row>
    <row r="309" spans="30:33">
      <c r="AD309" s="14">
        <v>313.14999999999998</v>
      </c>
      <c r="AE309" s="77">
        <v>0.495</v>
      </c>
      <c r="AF309" s="75">
        <v>97.123729999999995</v>
      </c>
      <c r="AG309" s="60">
        <v>65.246539999999996</v>
      </c>
    </row>
    <row r="310" spans="30:33">
      <c r="AD310" s="14">
        <v>313.14999999999998</v>
      </c>
      <c r="AE310" s="77">
        <v>0.5</v>
      </c>
      <c r="AF310" s="75">
        <v>96.705410000000001</v>
      </c>
      <c r="AG310" s="60">
        <v>64.813730000000007</v>
      </c>
    </row>
    <row r="311" spans="30:33">
      <c r="AD311" s="14">
        <v>313.14999999999998</v>
      </c>
      <c r="AE311" s="77">
        <v>0.505</v>
      </c>
      <c r="AF311" s="75">
        <v>96.285809999999998</v>
      </c>
      <c r="AG311" s="60">
        <v>64.385810000000006</v>
      </c>
    </row>
    <row r="312" spans="30:33">
      <c r="AD312" s="14">
        <v>313.14999999999998</v>
      </c>
      <c r="AE312" s="77">
        <v>0.51</v>
      </c>
      <c r="AF312" s="75">
        <v>95.864890000000003</v>
      </c>
      <c r="AG312" s="60">
        <v>63.962719999999997</v>
      </c>
    </row>
    <row r="313" spans="30:33">
      <c r="AD313" s="14">
        <v>313.14999999999998</v>
      </c>
      <c r="AE313" s="77">
        <v>0.51500000000000001</v>
      </c>
      <c r="AF313" s="75">
        <v>95.442639999999997</v>
      </c>
      <c r="AG313" s="60">
        <v>63.544409999999999</v>
      </c>
    </row>
    <row r="314" spans="30:33">
      <c r="AD314" s="14">
        <v>313.14999999999998</v>
      </c>
      <c r="AE314" s="77">
        <v>0.52</v>
      </c>
      <c r="AF314" s="75">
        <v>95.019009999999994</v>
      </c>
      <c r="AG314" s="60">
        <v>63.130800000000001</v>
      </c>
    </row>
    <row r="315" spans="30:33">
      <c r="AD315" s="14">
        <v>313.14999999999998</v>
      </c>
      <c r="AE315" s="77">
        <v>0.52500000000000002</v>
      </c>
      <c r="AF315" s="75">
        <v>94.593959999999996</v>
      </c>
      <c r="AG315" s="60">
        <v>62.72184</v>
      </c>
    </row>
    <row r="316" spans="30:33">
      <c r="AD316" s="14">
        <v>313.14999999999998</v>
      </c>
      <c r="AE316" s="77">
        <v>0.53</v>
      </c>
      <c r="AF316" s="75">
        <v>94.167460000000005</v>
      </c>
      <c r="AG316" s="60">
        <v>62.317480000000003</v>
      </c>
    </row>
    <row r="317" spans="30:33">
      <c r="AD317" s="14">
        <v>313.14999999999998</v>
      </c>
      <c r="AE317" s="77">
        <v>0.53500000000000003</v>
      </c>
      <c r="AF317" s="75">
        <v>93.73948</v>
      </c>
      <c r="AG317" s="60">
        <v>61.917639999999999</v>
      </c>
    </row>
    <row r="318" spans="30:33">
      <c r="AD318" s="14">
        <v>313.14999999999998</v>
      </c>
      <c r="AE318" s="77">
        <v>0.54</v>
      </c>
      <c r="AF318" s="75">
        <v>93.309979999999996</v>
      </c>
      <c r="AG318" s="60">
        <v>61.522269999999999</v>
      </c>
    </row>
    <row r="319" spans="30:33">
      <c r="AD319" s="14">
        <v>313.14999999999998</v>
      </c>
      <c r="AE319" s="77">
        <v>0.54500000000000004</v>
      </c>
      <c r="AF319" s="75">
        <v>92.878910000000005</v>
      </c>
      <c r="AG319" s="60">
        <v>61.131300000000003</v>
      </c>
    </row>
    <row r="320" spans="30:33">
      <c r="AD320" s="14">
        <v>313.14999999999998</v>
      </c>
      <c r="AE320" s="77">
        <v>0.55000000000000004</v>
      </c>
      <c r="AF320" s="75">
        <v>92.446240000000003</v>
      </c>
      <c r="AG320" s="60">
        <v>60.744689999999999</v>
      </c>
    </row>
    <row r="321" spans="30:33">
      <c r="AD321" s="14">
        <v>313.14999999999998</v>
      </c>
      <c r="AE321" s="77">
        <v>0.55500000000000005</v>
      </c>
      <c r="AF321" s="75">
        <v>92.011939999999996</v>
      </c>
      <c r="AG321" s="60">
        <v>60.362369999999999</v>
      </c>
    </row>
    <row r="322" spans="30:33">
      <c r="AD322" s="14">
        <v>313.14999999999998</v>
      </c>
      <c r="AE322" s="77">
        <v>0.56000000000000005</v>
      </c>
      <c r="AF322" s="75">
        <v>91.575950000000006</v>
      </c>
      <c r="AG322" s="60">
        <v>59.984290000000001</v>
      </c>
    </row>
    <row r="323" spans="30:33">
      <c r="AD323" s="14">
        <v>313.14999999999998</v>
      </c>
      <c r="AE323" s="77">
        <v>0.56499999999999995</v>
      </c>
      <c r="AF323" s="75">
        <v>91.138249999999999</v>
      </c>
      <c r="AG323" s="60">
        <v>59.610379999999999</v>
      </c>
    </row>
    <row r="324" spans="30:33">
      <c r="AD324" s="14">
        <v>313.14999999999998</v>
      </c>
      <c r="AE324" s="77">
        <v>0.56999999999999995</v>
      </c>
      <c r="AF324" s="75">
        <v>90.698779999999999</v>
      </c>
      <c r="AG324" s="60">
        <v>59.240589999999997</v>
      </c>
    </row>
    <row r="325" spans="30:33">
      <c r="AD325" s="14">
        <v>313.14999999999998</v>
      </c>
      <c r="AE325" s="77">
        <v>0.57499999999999996</v>
      </c>
      <c r="AF325" s="75">
        <v>90.257499999999993</v>
      </c>
      <c r="AG325" s="60">
        <v>58.874870000000001</v>
      </c>
    </row>
    <row r="326" spans="30:33">
      <c r="AD326" s="14">
        <v>313.14999999999998</v>
      </c>
      <c r="AE326" s="77">
        <v>0.57999999999999996</v>
      </c>
      <c r="AF326" s="75">
        <v>89.81438</v>
      </c>
      <c r="AG326" s="60">
        <v>58.513159999999999</v>
      </c>
    </row>
    <row r="327" spans="30:33">
      <c r="AD327" s="14">
        <v>313.14999999999998</v>
      </c>
      <c r="AE327" s="77">
        <v>0.58499999999999996</v>
      </c>
      <c r="AF327" s="75">
        <v>89.36936</v>
      </c>
      <c r="AG327" s="60">
        <v>58.1554</v>
      </c>
    </row>
    <row r="328" spans="30:33">
      <c r="AD328" s="14">
        <v>313.14999999999998</v>
      </c>
      <c r="AE328" s="77">
        <v>0.59</v>
      </c>
      <c r="AF328" s="75">
        <v>88.922409999999999</v>
      </c>
      <c r="AG328" s="60">
        <v>57.801540000000003</v>
      </c>
    </row>
    <row r="329" spans="30:33">
      <c r="AD329" s="14">
        <v>313.14999999999998</v>
      </c>
      <c r="AE329" s="77">
        <v>0.59499999999999997</v>
      </c>
      <c r="AF329" s="75">
        <v>88.473470000000006</v>
      </c>
      <c r="AG329" s="60">
        <v>57.451540000000001</v>
      </c>
    </row>
    <row r="330" spans="30:33">
      <c r="AD330" s="14">
        <v>313.14999999999998</v>
      </c>
      <c r="AE330" s="77">
        <v>0.6</v>
      </c>
      <c r="AF330" s="75">
        <v>88.022509999999997</v>
      </c>
      <c r="AG330" s="60">
        <v>57.105330000000002</v>
      </c>
    </row>
    <row r="331" spans="30:33">
      <c r="AD331" s="14">
        <v>313.14999999999998</v>
      </c>
      <c r="AE331" s="77">
        <v>0.60499999999999998</v>
      </c>
      <c r="AF331" s="75">
        <v>87.569460000000007</v>
      </c>
      <c r="AG331" s="60">
        <v>56.762860000000003</v>
      </c>
    </row>
    <row r="332" spans="30:33">
      <c r="AD332" s="14">
        <v>313.14999999999998</v>
      </c>
      <c r="AE332" s="77">
        <v>0.61</v>
      </c>
      <c r="AF332" s="75">
        <v>87.114289999999997</v>
      </c>
      <c r="AG332" s="60">
        <v>56.42409</v>
      </c>
    </row>
    <row r="333" spans="30:33">
      <c r="AD333" s="14">
        <v>313.14999999999998</v>
      </c>
      <c r="AE333" s="77">
        <v>0.61499999999999999</v>
      </c>
      <c r="AF333" s="75">
        <v>86.656940000000006</v>
      </c>
      <c r="AG333" s="60">
        <v>56.088949999999997</v>
      </c>
    </row>
    <row r="334" spans="30:33">
      <c r="AD334" s="14">
        <v>313.14999999999998</v>
      </c>
      <c r="AE334" s="77">
        <v>0.62</v>
      </c>
      <c r="AF334" s="75">
        <v>86.197360000000003</v>
      </c>
      <c r="AG334" s="60">
        <v>55.75741</v>
      </c>
    </row>
    <row r="335" spans="30:33">
      <c r="AD335" s="14">
        <v>313.14999999999998</v>
      </c>
      <c r="AE335" s="77">
        <v>0.625</v>
      </c>
      <c r="AF335" s="75">
        <v>85.735500000000002</v>
      </c>
      <c r="AG335" s="60">
        <v>55.429409999999997</v>
      </c>
    </row>
    <row r="336" spans="30:33">
      <c r="AD336" s="14">
        <v>313.14999999999998</v>
      </c>
      <c r="AE336" s="77">
        <v>0.63</v>
      </c>
      <c r="AF336" s="75">
        <v>85.271299999999997</v>
      </c>
      <c r="AG336" s="60">
        <v>55.104900000000001</v>
      </c>
    </row>
    <row r="337" spans="30:33">
      <c r="AD337" s="14">
        <v>313.14999999999998</v>
      </c>
      <c r="AE337" s="77">
        <v>0.63500000000000001</v>
      </c>
      <c r="AF337" s="75">
        <v>84.804720000000003</v>
      </c>
      <c r="AG337" s="60">
        <v>54.783839999999998</v>
      </c>
    </row>
    <row r="338" spans="30:33">
      <c r="AD338" s="14">
        <v>313.14999999999998</v>
      </c>
      <c r="AE338" s="77">
        <v>0.64</v>
      </c>
      <c r="AF338" s="75">
        <v>84.335700000000003</v>
      </c>
      <c r="AG338" s="60">
        <v>54.466180000000001</v>
      </c>
    </row>
    <row r="339" spans="30:33">
      <c r="AD339" s="14">
        <v>313.14999999999998</v>
      </c>
      <c r="AE339" s="77">
        <v>0.64500000000000002</v>
      </c>
      <c r="AF339" s="75">
        <v>83.864170000000001</v>
      </c>
      <c r="AG339" s="60">
        <v>54.151870000000002</v>
      </c>
    </row>
    <row r="340" spans="30:33">
      <c r="AD340" s="14">
        <v>313.14999999999998</v>
      </c>
      <c r="AE340" s="77">
        <v>0.65</v>
      </c>
      <c r="AF340" s="75">
        <v>83.390100000000004</v>
      </c>
      <c r="AG340" s="60">
        <v>53.840859999999999</v>
      </c>
    </row>
    <row r="341" spans="30:33">
      <c r="AD341" s="14">
        <v>313.14999999999998</v>
      </c>
      <c r="AE341" s="77">
        <v>0.65500000000000003</v>
      </c>
      <c r="AF341" s="75">
        <v>82.913399999999996</v>
      </c>
      <c r="AG341" s="60">
        <v>53.533110000000001</v>
      </c>
    </row>
    <row r="342" spans="30:33">
      <c r="AD342" s="14">
        <v>313.14999999999998</v>
      </c>
      <c r="AE342" s="77">
        <v>0.66</v>
      </c>
      <c r="AF342" s="75">
        <v>82.434030000000007</v>
      </c>
      <c r="AG342" s="60">
        <v>53.228580000000001</v>
      </c>
    </row>
    <row r="343" spans="30:33">
      <c r="AD343" s="14">
        <v>313.14999999999998</v>
      </c>
      <c r="AE343" s="77">
        <v>0.66500000000000004</v>
      </c>
      <c r="AF343" s="75">
        <v>81.951920000000001</v>
      </c>
      <c r="AG343" s="60">
        <v>52.927210000000002</v>
      </c>
    </row>
    <row r="344" spans="30:33">
      <c r="AD344" s="14">
        <v>313.14999999999998</v>
      </c>
      <c r="AE344" s="77">
        <v>0.67</v>
      </c>
      <c r="AF344" s="75">
        <v>81.467010000000002</v>
      </c>
      <c r="AG344" s="60">
        <v>52.628979999999999</v>
      </c>
    </row>
    <row r="345" spans="30:33">
      <c r="AD345" s="14">
        <v>313.14999999999998</v>
      </c>
      <c r="AE345" s="77">
        <v>0.67500000000000004</v>
      </c>
      <c r="AF345" s="75">
        <v>80.979240000000004</v>
      </c>
      <c r="AG345" s="60">
        <v>52.333820000000003</v>
      </c>
    </row>
    <row r="346" spans="30:33">
      <c r="AD346" s="14">
        <v>313.14999999999998</v>
      </c>
      <c r="AE346" s="77">
        <v>0.68</v>
      </c>
      <c r="AF346" s="75">
        <v>80.48854</v>
      </c>
      <c r="AG346" s="60">
        <v>52.041710000000002</v>
      </c>
    </row>
    <row r="347" spans="30:33">
      <c r="AD347" s="14">
        <v>313.14999999999998</v>
      </c>
      <c r="AE347" s="77">
        <v>0.68500000000000005</v>
      </c>
      <c r="AF347" s="75">
        <v>79.994839999999996</v>
      </c>
      <c r="AG347" s="60">
        <v>51.752609999999997</v>
      </c>
    </row>
    <row r="348" spans="30:33">
      <c r="AD348" s="14">
        <v>313.14999999999998</v>
      </c>
      <c r="AE348" s="77">
        <v>0.69</v>
      </c>
      <c r="AF348" s="75">
        <v>79.498069999999998</v>
      </c>
      <c r="AG348" s="60">
        <v>51.466450000000002</v>
      </c>
    </row>
    <row r="349" spans="30:33">
      <c r="AD349" s="14">
        <v>313.14999999999998</v>
      </c>
      <c r="AE349" s="77">
        <v>0.69499999999999995</v>
      </c>
      <c r="AF349" s="75">
        <v>78.998170000000002</v>
      </c>
      <c r="AG349" s="60">
        <v>51.183219999999999</v>
      </c>
    </row>
    <row r="350" spans="30:33">
      <c r="AD350" s="14">
        <v>313.14999999999998</v>
      </c>
      <c r="AE350" s="77">
        <v>0.7</v>
      </c>
      <c r="AF350" s="75">
        <v>78.495059999999995</v>
      </c>
      <c r="AG350" s="60">
        <v>50.90287</v>
      </c>
    </row>
    <row r="351" spans="30:33">
      <c r="AD351" s="14">
        <v>313.14999999999998</v>
      </c>
      <c r="AE351" s="77">
        <v>0.70499999999999996</v>
      </c>
      <c r="AF351" s="75">
        <v>77.988659999999996</v>
      </c>
      <c r="AG351" s="60">
        <v>50.625349999999997</v>
      </c>
    </row>
    <row r="352" spans="30:33">
      <c r="AD352" s="14">
        <v>313.14999999999998</v>
      </c>
      <c r="AE352" s="77">
        <v>0.71</v>
      </c>
      <c r="AF352" s="75">
        <v>77.478909999999999</v>
      </c>
      <c r="AG352" s="60">
        <v>50.350639999999999</v>
      </c>
    </row>
    <row r="353" spans="30:33">
      <c r="AD353" s="14">
        <v>313.14999999999998</v>
      </c>
      <c r="AE353" s="77">
        <v>0.71499999999999997</v>
      </c>
      <c r="AF353" s="75">
        <v>76.965729999999994</v>
      </c>
      <c r="AG353" s="60">
        <v>50.078690000000002</v>
      </c>
    </row>
    <row r="354" spans="30:33">
      <c r="AD354" s="14">
        <v>313.14999999999998</v>
      </c>
      <c r="AE354" s="77">
        <v>0.72</v>
      </c>
      <c r="AF354" s="75">
        <v>76.449029999999993</v>
      </c>
      <c r="AG354" s="60">
        <v>49.809460000000001</v>
      </c>
    </row>
    <row r="355" spans="30:33">
      <c r="AD355" s="14">
        <v>313.14999999999998</v>
      </c>
      <c r="AE355" s="77">
        <v>0.72499999999999998</v>
      </c>
      <c r="AF355" s="75">
        <v>75.928730000000002</v>
      </c>
      <c r="AG355" s="60">
        <v>49.542920000000002</v>
      </c>
    </row>
    <row r="356" spans="30:33">
      <c r="AD356" s="14">
        <v>313.14999999999998</v>
      </c>
      <c r="AE356" s="77">
        <v>0.73</v>
      </c>
      <c r="AF356" s="75">
        <v>75.404759999999996</v>
      </c>
      <c r="AG356" s="60">
        <v>49.279029999999999</v>
      </c>
    </row>
    <row r="357" spans="30:33">
      <c r="AD357" s="14">
        <v>313.14999999999998</v>
      </c>
      <c r="AE357" s="77">
        <v>0.73499999999999999</v>
      </c>
      <c r="AF357" s="75">
        <v>74.877030000000005</v>
      </c>
      <c r="AG357" s="60">
        <v>49.017769999999999</v>
      </c>
    </row>
    <row r="358" spans="30:33">
      <c r="AD358" s="14">
        <v>313.14999999999998</v>
      </c>
      <c r="AE358" s="77">
        <v>0.74</v>
      </c>
      <c r="AF358" s="75">
        <v>74.34545</v>
      </c>
      <c r="AG358" s="60">
        <v>48.759079999999997</v>
      </c>
    </row>
    <row r="359" spans="30:33">
      <c r="AD359" s="14">
        <v>313.14999999999998</v>
      </c>
      <c r="AE359" s="77">
        <v>0.745</v>
      </c>
      <c r="AF359" s="75">
        <v>73.809929999999994</v>
      </c>
      <c r="AG359" s="60">
        <v>48.502929999999999</v>
      </c>
    </row>
    <row r="360" spans="30:33">
      <c r="AD360" s="14">
        <v>313.14999999999998</v>
      </c>
      <c r="AE360" s="77">
        <v>0.75</v>
      </c>
      <c r="AF360" s="75">
        <v>73.270390000000006</v>
      </c>
      <c r="AG360" s="60">
        <v>48.249299999999998</v>
      </c>
    </row>
    <row r="361" spans="30:33">
      <c r="AD361" s="14">
        <v>313.14999999999998</v>
      </c>
      <c r="AE361" s="77">
        <v>0.755</v>
      </c>
      <c r="AF361" s="75">
        <v>72.72672</v>
      </c>
      <c r="AG361" s="60">
        <v>47.998139999999999</v>
      </c>
    </row>
    <row r="362" spans="30:33">
      <c r="AD362" s="14">
        <v>313.14999999999998</v>
      </c>
      <c r="AE362" s="77">
        <v>0.76</v>
      </c>
      <c r="AF362" s="75">
        <v>72.178820000000002</v>
      </c>
      <c r="AG362" s="60">
        <v>47.749429999999997</v>
      </c>
    </row>
    <row r="363" spans="30:33">
      <c r="AD363" s="14">
        <v>313.14999999999998</v>
      </c>
      <c r="AE363" s="77">
        <v>0.76500000000000001</v>
      </c>
      <c r="AF363" s="75">
        <v>71.626620000000003</v>
      </c>
      <c r="AG363" s="60">
        <v>47.503140000000002</v>
      </c>
    </row>
    <row r="364" spans="30:33">
      <c r="AD364" s="14">
        <v>313.14999999999998</v>
      </c>
      <c r="AE364" s="77">
        <v>0.77</v>
      </c>
      <c r="AF364" s="75">
        <v>71.069980000000001</v>
      </c>
      <c r="AG364" s="60">
        <v>47.259219999999999</v>
      </c>
    </row>
    <row r="365" spans="30:33">
      <c r="AD365" s="14">
        <v>313.14999999999998</v>
      </c>
      <c r="AE365" s="77">
        <v>0.77500000000000002</v>
      </c>
      <c r="AF365" s="75">
        <v>70.508840000000006</v>
      </c>
      <c r="AG365" s="60">
        <v>47.017650000000003</v>
      </c>
    </row>
    <row r="366" spans="30:33">
      <c r="AD366" s="14">
        <v>313.14999999999998</v>
      </c>
      <c r="AE366" s="77">
        <v>0.78</v>
      </c>
      <c r="AF366" s="75">
        <v>69.943060000000003</v>
      </c>
      <c r="AG366" s="60">
        <v>46.778399999999998</v>
      </c>
    </row>
    <row r="367" spans="30:33">
      <c r="AD367" s="14">
        <v>313.14999999999998</v>
      </c>
      <c r="AE367" s="77">
        <v>0.78500000000000003</v>
      </c>
      <c r="AF367" s="75">
        <v>69.372550000000004</v>
      </c>
      <c r="AG367" s="60">
        <v>46.541440000000001</v>
      </c>
    </row>
    <row r="368" spans="30:33">
      <c r="AD368" s="14">
        <v>313.14999999999998</v>
      </c>
      <c r="AE368" s="77">
        <v>0.79</v>
      </c>
      <c r="AF368" s="75">
        <v>68.797190000000001</v>
      </c>
      <c r="AG368" s="60">
        <v>46.306730000000002</v>
      </c>
    </row>
    <row r="369" spans="30:33">
      <c r="AD369" s="14">
        <v>313.14999999999998</v>
      </c>
      <c r="AE369" s="77">
        <v>0.79500000000000004</v>
      </c>
      <c r="AF369" s="75">
        <v>68.21687</v>
      </c>
      <c r="AG369" s="60">
        <v>46.074240000000003</v>
      </c>
    </row>
    <row r="370" spans="30:33">
      <c r="AD370" s="14">
        <v>313.14999999999998</v>
      </c>
      <c r="AE370" s="77">
        <v>0.8</v>
      </c>
      <c r="AF370" s="75">
        <v>67.631450000000001</v>
      </c>
      <c r="AG370" s="60">
        <v>45.843960000000003</v>
      </c>
    </row>
    <row r="371" spans="30:33">
      <c r="AD371" s="14">
        <v>313.14999999999998</v>
      </c>
      <c r="AE371" s="77">
        <v>0.80500000000000005</v>
      </c>
      <c r="AF371" s="75">
        <v>67.040850000000006</v>
      </c>
      <c r="AG371" s="60">
        <v>45.615839999999999</v>
      </c>
    </row>
    <row r="372" spans="30:33">
      <c r="AD372" s="14">
        <v>313.14999999999998</v>
      </c>
      <c r="AE372" s="77">
        <v>0.81</v>
      </c>
      <c r="AF372" s="75">
        <v>66.444909999999993</v>
      </c>
      <c r="AG372" s="60">
        <v>45.389870000000002</v>
      </c>
    </row>
    <row r="373" spans="30:33">
      <c r="AD373" s="14">
        <v>313.14999999999998</v>
      </c>
      <c r="AE373" s="77">
        <v>0.81499999999999995</v>
      </c>
      <c r="AF373" s="75">
        <v>65.843509999999995</v>
      </c>
      <c r="AG373" s="60">
        <v>45.165999999999997</v>
      </c>
    </row>
    <row r="374" spans="30:33">
      <c r="AD374" s="14">
        <v>313.14999999999998</v>
      </c>
      <c r="AE374" s="77">
        <v>0.82</v>
      </c>
      <c r="AF374" s="75">
        <v>65.236530000000002</v>
      </c>
      <c r="AG374" s="60">
        <v>44.944229999999997</v>
      </c>
    </row>
    <row r="375" spans="30:33">
      <c r="AD375" s="14">
        <v>313.14999999999998</v>
      </c>
      <c r="AE375" s="77">
        <v>0.82499999999999996</v>
      </c>
      <c r="AF375" s="75">
        <v>64.623829999999998</v>
      </c>
      <c r="AG375" s="60">
        <v>44.724499999999999</v>
      </c>
    </row>
    <row r="376" spans="30:33">
      <c r="AD376" s="14">
        <v>313.14999999999998</v>
      </c>
      <c r="AE376" s="77">
        <v>0.83</v>
      </c>
      <c r="AF376" s="75">
        <v>64.005260000000007</v>
      </c>
      <c r="AG376" s="60">
        <v>44.506810000000002</v>
      </c>
    </row>
    <row r="377" spans="30:33">
      <c r="AD377" s="14">
        <v>313.14999999999998</v>
      </c>
      <c r="AE377" s="77">
        <v>0.83499999999999996</v>
      </c>
      <c r="AF377" s="75">
        <v>63.380679999999998</v>
      </c>
      <c r="AG377" s="60">
        <v>44.291130000000003</v>
      </c>
    </row>
    <row r="378" spans="30:33">
      <c r="AD378" s="14">
        <v>313.14999999999998</v>
      </c>
      <c r="AE378" s="77">
        <v>0.84</v>
      </c>
      <c r="AF378" s="75">
        <v>62.749960000000002</v>
      </c>
      <c r="AG378" s="60">
        <v>44.077419999999996</v>
      </c>
    </row>
    <row r="379" spans="30:33">
      <c r="AD379" s="14">
        <v>313.14999999999998</v>
      </c>
      <c r="AE379" s="77">
        <v>0.84499999999999997</v>
      </c>
      <c r="AF379" s="75">
        <v>62.112929999999999</v>
      </c>
      <c r="AG379" s="60">
        <v>43.865670000000001</v>
      </c>
    </row>
    <row r="380" spans="30:33">
      <c r="AD380" s="14">
        <v>313.14999999999998</v>
      </c>
      <c r="AE380" s="77">
        <v>0.85</v>
      </c>
      <c r="AF380" s="75">
        <v>61.469439999999999</v>
      </c>
      <c r="AG380" s="60">
        <v>43.655850000000001</v>
      </c>
    </row>
    <row r="381" spans="30:33">
      <c r="AD381" s="14">
        <v>313.14999999999998</v>
      </c>
      <c r="AE381" s="77">
        <v>0.85499999999999998</v>
      </c>
      <c r="AF381" s="75">
        <v>60.819339999999997</v>
      </c>
      <c r="AG381" s="60">
        <v>43.447929999999999</v>
      </c>
    </row>
    <row r="382" spans="30:33">
      <c r="AD382" s="14">
        <v>313.14999999999998</v>
      </c>
      <c r="AE382" s="77">
        <v>0.86</v>
      </c>
      <c r="AF382" s="75">
        <v>60.16245</v>
      </c>
      <c r="AG382" s="60">
        <v>43.241889999999998</v>
      </c>
    </row>
    <row r="383" spans="30:33">
      <c r="AD383" s="14">
        <v>313.14999999999998</v>
      </c>
      <c r="AE383" s="77">
        <v>0.86499999999999999</v>
      </c>
      <c r="AF383" s="75">
        <v>59.498600000000003</v>
      </c>
      <c r="AG383" s="60">
        <v>43.037700000000001</v>
      </c>
    </row>
    <row r="384" spans="30:33">
      <c r="AD384" s="14">
        <v>313.14999999999998</v>
      </c>
      <c r="AE384" s="77">
        <v>0.87</v>
      </c>
      <c r="AF384" s="75">
        <v>58.827629999999999</v>
      </c>
      <c r="AG384" s="60">
        <v>42.835349999999998</v>
      </c>
    </row>
    <row r="385" spans="30:33">
      <c r="AD385" s="14">
        <v>313.14999999999998</v>
      </c>
      <c r="AE385" s="77">
        <v>0.875</v>
      </c>
      <c r="AF385" s="75">
        <v>58.149340000000002</v>
      </c>
      <c r="AG385" s="60">
        <v>42.634810000000002</v>
      </c>
    </row>
    <row r="386" spans="30:33">
      <c r="AD386" s="14">
        <v>313.14999999999998</v>
      </c>
      <c r="AE386" s="77">
        <v>0.88</v>
      </c>
      <c r="AF386" s="75">
        <v>57.463560000000001</v>
      </c>
      <c r="AG386" s="60">
        <v>42.436050000000002</v>
      </c>
    </row>
    <row r="387" spans="30:33">
      <c r="AD387" s="14">
        <v>313.14999999999998</v>
      </c>
      <c r="AE387" s="77">
        <v>0.88500000000000001</v>
      </c>
      <c r="AF387" s="75">
        <v>56.770090000000003</v>
      </c>
      <c r="AG387" s="60">
        <v>42.239060000000002</v>
      </c>
    </row>
    <row r="388" spans="30:33">
      <c r="AD388" s="14">
        <v>313.14999999999998</v>
      </c>
      <c r="AE388" s="77">
        <v>0.89</v>
      </c>
      <c r="AF388" s="75">
        <v>56.068730000000002</v>
      </c>
      <c r="AG388" s="60">
        <v>42.043799999999997</v>
      </c>
    </row>
    <row r="389" spans="30:33">
      <c r="AD389" s="14">
        <v>313.14999999999998</v>
      </c>
      <c r="AE389" s="77">
        <v>0.89500000000000002</v>
      </c>
      <c r="AF389" s="75">
        <v>55.359279999999998</v>
      </c>
      <c r="AG389" s="60">
        <v>41.850270000000002</v>
      </c>
    </row>
    <row r="390" spans="30:33">
      <c r="AD390" s="14">
        <v>313.14999999999998</v>
      </c>
      <c r="AE390" s="77">
        <v>0.9</v>
      </c>
      <c r="AF390" s="75">
        <v>54.641530000000003</v>
      </c>
      <c r="AG390" s="60">
        <v>41.658439999999999</v>
      </c>
    </row>
    <row r="391" spans="30:33">
      <c r="AD391" s="14">
        <v>313.14999999999998</v>
      </c>
      <c r="AE391" s="77">
        <v>0.90500000000000003</v>
      </c>
      <c r="AF391" s="75">
        <v>53.915260000000004</v>
      </c>
      <c r="AG391" s="60">
        <v>41.468290000000003</v>
      </c>
    </row>
    <row r="392" spans="30:33">
      <c r="AD392" s="14">
        <v>313.14999999999998</v>
      </c>
      <c r="AE392" s="77">
        <v>0.91</v>
      </c>
      <c r="AF392" s="75">
        <v>53.180250000000001</v>
      </c>
      <c r="AG392" s="60">
        <v>41.279789999999998</v>
      </c>
    </row>
    <row r="393" spans="30:33">
      <c r="AD393" s="14">
        <v>313.14999999999998</v>
      </c>
      <c r="AE393" s="77">
        <v>0.91500000000000004</v>
      </c>
      <c r="AF393" s="75">
        <v>52.43627</v>
      </c>
      <c r="AG393" s="60">
        <v>41.092930000000003</v>
      </c>
    </row>
    <row r="394" spans="30:33">
      <c r="AD394" s="14">
        <v>313.14999999999998</v>
      </c>
      <c r="AE394" s="77">
        <v>0.92</v>
      </c>
      <c r="AF394" s="75">
        <v>51.683070000000001</v>
      </c>
      <c r="AG394" s="60">
        <v>40.907679999999999</v>
      </c>
    </row>
    <row r="395" spans="30:33">
      <c r="AD395" s="14">
        <v>313.14999999999998</v>
      </c>
      <c r="AE395" s="77">
        <v>0.92500000000000004</v>
      </c>
      <c r="AF395" s="75">
        <v>50.920409999999997</v>
      </c>
      <c r="AG395" s="60">
        <v>40.724029999999999</v>
      </c>
    </row>
    <row r="396" spans="30:33">
      <c r="AD396" s="14">
        <v>313.14999999999998</v>
      </c>
      <c r="AE396" s="77">
        <v>0.93</v>
      </c>
      <c r="AF396" s="75">
        <v>50.148029999999999</v>
      </c>
      <c r="AG396" s="60">
        <v>40.54195</v>
      </c>
    </row>
    <row r="397" spans="30:33">
      <c r="AD397" s="14">
        <v>313.14999999999998</v>
      </c>
      <c r="AE397" s="77">
        <v>0.93500000000000005</v>
      </c>
      <c r="AF397" s="75">
        <v>49.365670000000001</v>
      </c>
      <c r="AG397" s="60">
        <v>40.361440000000002</v>
      </c>
    </row>
    <row r="398" spans="30:33">
      <c r="AD398" s="14">
        <v>313.14999999999998</v>
      </c>
      <c r="AE398" s="77">
        <v>0.94</v>
      </c>
      <c r="AF398" s="75">
        <v>48.573059999999998</v>
      </c>
      <c r="AG398" s="60">
        <v>40.182459999999999</v>
      </c>
    </row>
    <row r="399" spans="30:33">
      <c r="AD399" s="14">
        <v>313.14999999999998</v>
      </c>
      <c r="AE399" s="77">
        <v>0.94499999999999995</v>
      </c>
      <c r="AF399" s="75">
        <v>47.769910000000003</v>
      </c>
      <c r="AG399" s="60">
        <v>40.005000000000003</v>
      </c>
    </row>
    <row r="400" spans="30:33">
      <c r="AD400" s="14">
        <v>313.14999999999998</v>
      </c>
      <c r="AE400" s="77">
        <v>0.95</v>
      </c>
      <c r="AF400" s="75">
        <v>46.955930000000002</v>
      </c>
      <c r="AG400" s="60">
        <v>39.829039999999999</v>
      </c>
    </row>
    <row r="401" spans="30:33">
      <c r="AD401" s="14">
        <v>313.14999999999998</v>
      </c>
      <c r="AE401" s="77">
        <v>0.95499999999999996</v>
      </c>
      <c r="AF401" s="75">
        <v>46.13082</v>
      </c>
      <c r="AG401" s="60">
        <v>39.65457</v>
      </c>
    </row>
    <row r="402" spans="30:33">
      <c r="AD402" s="14">
        <v>313.14999999999998</v>
      </c>
      <c r="AE402" s="77">
        <v>0.96</v>
      </c>
      <c r="AF402" s="75">
        <v>45.294269999999997</v>
      </c>
      <c r="AG402" s="60">
        <v>39.481560000000002</v>
      </c>
    </row>
    <row r="403" spans="30:33">
      <c r="AD403" s="14">
        <v>313.14999999999998</v>
      </c>
      <c r="AE403" s="77">
        <v>0.96499999999999997</v>
      </c>
      <c r="AF403" s="75">
        <v>44.44594</v>
      </c>
      <c r="AG403" s="60">
        <v>39.310009999999998</v>
      </c>
    </row>
    <row r="404" spans="30:33">
      <c r="AD404" s="14">
        <v>313.14999999999998</v>
      </c>
      <c r="AE404" s="77">
        <v>0.97</v>
      </c>
      <c r="AF404" s="75">
        <v>43.585509999999999</v>
      </c>
      <c r="AG404" s="60">
        <v>39.139870000000002</v>
      </c>
    </row>
    <row r="405" spans="30:33">
      <c r="AD405" s="14">
        <v>313.14999999999998</v>
      </c>
      <c r="AE405" s="77">
        <v>0.97499999999999998</v>
      </c>
      <c r="AF405" s="75">
        <v>42.712620000000001</v>
      </c>
      <c r="AG405" s="60">
        <v>38.971159999999998</v>
      </c>
    </row>
    <row r="406" spans="30:33">
      <c r="AD406" s="14">
        <v>313.14999999999998</v>
      </c>
      <c r="AE406" s="77">
        <v>0.98</v>
      </c>
      <c r="AF406" s="75">
        <v>41.826909999999998</v>
      </c>
      <c r="AG406" s="60">
        <v>38.803840000000001</v>
      </c>
    </row>
    <row r="407" spans="30:33">
      <c r="AD407" s="14">
        <v>313.14999999999998</v>
      </c>
      <c r="AE407" s="77">
        <v>0.98499999999999999</v>
      </c>
      <c r="AF407" s="75">
        <v>40.928019999999997</v>
      </c>
      <c r="AG407" s="60">
        <v>38.637900000000002</v>
      </c>
    </row>
    <row r="408" spans="30:33">
      <c r="AD408" s="14">
        <v>313.14999999999998</v>
      </c>
      <c r="AE408" s="77">
        <v>0.99</v>
      </c>
      <c r="AF408" s="75">
        <v>40.015540000000001</v>
      </c>
      <c r="AG408" s="60">
        <v>38.473320000000001</v>
      </c>
    </row>
    <row r="409" spans="30:33">
      <c r="AD409" s="14">
        <v>313.14999999999998</v>
      </c>
      <c r="AE409" s="77">
        <v>0.995</v>
      </c>
      <c r="AF409" s="75">
        <v>39.08907</v>
      </c>
      <c r="AG409" s="60">
        <v>38.310099999999998</v>
      </c>
    </row>
    <row r="410" spans="30:33">
      <c r="AD410" s="14">
        <v>313.14999999999998</v>
      </c>
      <c r="AE410" s="78">
        <v>1</v>
      </c>
      <c r="AF410" s="75">
        <v>38.148200000000003</v>
      </c>
      <c r="AG410" s="60">
        <v>38.148200000000003</v>
      </c>
    </row>
    <row r="411" spans="30:33">
      <c r="AD411" s="14">
        <v>333.15</v>
      </c>
      <c r="AE411" s="77">
        <v>0</v>
      </c>
      <c r="AF411" s="79">
        <v>263.3793</v>
      </c>
      <c r="AG411" s="61">
        <v>263.3793</v>
      </c>
    </row>
    <row r="412" spans="30:33">
      <c r="AD412" s="14">
        <v>333.15</v>
      </c>
      <c r="AE412" s="54">
        <v>5.0000000000000001E-3</v>
      </c>
      <c r="AF412" s="79">
        <v>262.60770000000002</v>
      </c>
      <c r="AG412" s="61">
        <v>261.6635</v>
      </c>
    </row>
    <row r="413" spans="30:33">
      <c r="AD413" s="14">
        <v>333.15</v>
      </c>
      <c r="AE413" s="76">
        <v>0.01</v>
      </c>
      <c r="AF413" s="79">
        <v>261.83679999999998</v>
      </c>
      <c r="AG413" s="61">
        <v>259.9486</v>
      </c>
    </row>
    <row r="414" spans="30:33">
      <c r="AD414" s="14">
        <v>333.15</v>
      </c>
      <c r="AE414" s="76">
        <v>1.4999999999999999E-2</v>
      </c>
      <c r="AF414" s="79">
        <v>261.06639999999999</v>
      </c>
      <c r="AG414" s="61">
        <v>258.23489999999998</v>
      </c>
    </row>
    <row r="415" spans="30:33">
      <c r="AD415" s="14">
        <v>333.15</v>
      </c>
      <c r="AE415" s="76">
        <v>0.02</v>
      </c>
      <c r="AF415" s="79">
        <v>260.29660000000001</v>
      </c>
      <c r="AG415" s="61">
        <v>256.5224</v>
      </c>
    </row>
    <row r="416" spans="30:33">
      <c r="AD416" s="14">
        <v>333.15</v>
      </c>
      <c r="AE416" s="76">
        <v>2.5000000000000001E-2</v>
      </c>
      <c r="AF416" s="79">
        <v>259.52730000000003</v>
      </c>
      <c r="AG416" s="61">
        <v>254.8116</v>
      </c>
    </row>
    <row r="417" spans="30:33">
      <c r="AD417" s="14">
        <v>333.15</v>
      </c>
      <c r="AE417" s="76">
        <v>0.03</v>
      </c>
      <c r="AF417" s="79">
        <v>258.75869999999998</v>
      </c>
      <c r="AG417" s="61">
        <v>253.1026</v>
      </c>
    </row>
    <row r="418" spans="30:33">
      <c r="AD418" s="14">
        <v>333.15</v>
      </c>
      <c r="AE418" s="76">
        <v>3.5000000000000003E-2</v>
      </c>
      <c r="AF418" s="79">
        <v>257.9905</v>
      </c>
      <c r="AG418" s="61">
        <v>251.39580000000001</v>
      </c>
    </row>
    <row r="419" spans="30:33">
      <c r="AD419" s="14">
        <v>333.15</v>
      </c>
      <c r="AE419" s="76">
        <v>0.04</v>
      </c>
      <c r="AF419" s="79">
        <v>257.22289999999998</v>
      </c>
      <c r="AG419" s="61">
        <v>249.69130000000001</v>
      </c>
    </row>
    <row r="420" spans="30:33">
      <c r="AD420" s="14">
        <v>333.15</v>
      </c>
      <c r="AE420" s="76">
        <v>4.4999999999999998E-2</v>
      </c>
      <c r="AF420" s="79">
        <v>256.45580000000001</v>
      </c>
      <c r="AG420" s="61">
        <v>247.98949999999999</v>
      </c>
    </row>
    <row r="421" spans="30:33">
      <c r="AD421" s="14">
        <v>333.15</v>
      </c>
      <c r="AE421" s="76">
        <v>0.05</v>
      </c>
      <c r="AF421" s="79">
        <v>255.6892</v>
      </c>
      <c r="AG421" s="61">
        <v>246.29069999999999</v>
      </c>
    </row>
    <row r="422" spans="30:33">
      <c r="AD422" s="14">
        <v>333.15</v>
      </c>
      <c r="AE422" s="76">
        <v>5.5E-2</v>
      </c>
      <c r="AF422" s="79">
        <v>254.92310000000001</v>
      </c>
      <c r="AG422" s="61">
        <v>244.5951</v>
      </c>
    </row>
    <row r="423" spans="30:33">
      <c r="AD423" s="14">
        <v>333.15</v>
      </c>
      <c r="AE423" s="76">
        <v>0.06</v>
      </c>
      <c r="AF423" s="79">
        <v>254.1574</v>
      </c>
      <c r="AG423" s="61">
        <v>242.90309999999999</v>
      </c>
    </row>
    <row r="424" spans="30:33">
      <c r="AD424" s="14">
        <v>333.15</v>
      </c>
      <c r="AE424" s="76">
        <v>6.5000000000000002E-2</v>
      </c>
      <c r="AF424" s="79">
        <v>253.3922</v>
      </c>
      <c r="AG424" s="61">
        <v>241.2148</v>
      </c>
    </row>
    <row r="425" spans="30:33">
      <c r="AD425" s="14">
        <v>333.15</v>
      </c>
      <c r="AE425" s="76">
        <v>7.0000000000000007E-2</v>
      </c>
      <c r="AF425" s="79">
        <v>252.6275</v>
      </c>
      <c r="AG425" s="61">
        <v>239.5307</v>
      </c>
    </row>
    <row r="426" spans="30:33">
      <c r="AD426" s="14">
        <v>333.15</v>
      </c>
      <c r="AE426" s="76">
        <v>7.4999999999999997E-2</v>
      </c>
      <c r="AF426" s="79">
        <v>251.86320000000001</v>
      </c>
      <c r="AG426" s="61">
        <v>237.851</v>
      </c>
    </row>
    <row r="427" spans="30:33">
      <c r="AD427" s="14">
        <v>333.15</v>
      </c>
      <c r="AE427" s="76">
        <v>0.08</v>
      </c>
      <c r="AF427" s="79">
        <v>251.0993</v>
      </c>
      <c r="AG427" s="61">
        <v>236.17599999999999</v>
      </c>
    </row>
    <row r="428" spans="30:33">
      <c r="AD428" s="14">
        <v>333.15</v>
      </c>
      <c r="AE428" s="76">
        <v>8.5000000000000006E-2</v>
      </c>
      <c r="AF428" s="79">
        <v>250.3357</v>
      </c>
      <c r="AG428" s="61">
        <v>234.5059</v>
      </c>
    </row>
    <row r="429" spans="30:33">
      <c r="AD429" s="14">
        <v>333.15</v>
      </c>
      <c r="AE429" s="76">
        <v>0.09</v>
      </c>
      <c r="AF429" s="79">
        <v>249.57259999999999</v>
      </c>
      <c r="AG429" s="61">
        <v>232.84119999999999</v>
      </c>
    </row>
    <row r="430" spans="30:33">
      <c r="AD430" s="14">
        <v>333.15</v>
      </c>
      <c r="AE430" s="76">
        <v>9.5000000000000001E-2</v>
      </c>
      <c r="AF430" s="79">
        <v>248.8098</v>
      </c>
      <c r="AG430" s="61">
        <v>231.18199999999999</v>
      </c>
    </row>
    <row r="431" spans="30:33">
      <c r="AD431" s="14">
        <v>333.15</v>
      </c>
      <c r="AE431" s="77">
        <v>0.1</v>
      </c>
      <c r="AF431" s="79">
        <v>248.04740000000001</v>
      </c>
      <c r="AG431" s="61">
        <v>229.52869999999999</v>
      </c>
    </row>
    <row r="432" spans="30:33">
      <c r="AD432" s="14">
        <v>333.15</v>
      </c>
      <c r="AE432" s="77">
        <v>0.105</v>
      </c>
      <c r="AF432" s="79">
        <v>247.2852</v>
      </c>
      <c r="AG432" s="61">
        <v>227.88159999999999</v>
      </c>
    </row>
    <row r="433" spans="30:33">
      <c r="AD433" s="14">
        <v>333.15</v>
      </c>
      <c r="AE433" s="77">
        <v>0.11</v>
      </c>
      <c r="AF433" s="79">
        <v>246.52340000000001</v>
      </c>
      <c r="AG433" s="61">
        <v>226.24090000000001</v>
      </c>
    </row>
    <row r="434" spans="30:33">
      <c r="AD434" s="14">
        <v>333.15</v>
      </c>
      <c r="AE434" s="77">
        <v>0.115</v>
      </c>
      <c r="AF434" s="79">
        <v>245.7619</v>
      </c>
      <c r="AG434" s="61">
        <v>224.607</v>
      </c>
    </row>
    <row r="435" spans="30:33">
      <c r="AD435" s="14">
        <v>333.15</v>
      </c>
      <c r="AE435" s="77">
        <v>0.12</v>
      </c>
      <c r="AF435" s="79">
        <v>245.00059999999999</v>
      </c>
      <c r="AG435" s="61">
        <v>222.98</v>
      </c>
    </row>
    <row r="436" spans="30:33">
      <c r="AD436" s="14">
        <v>333.15</v>
      </c>
      <c r="AE436" s="77">
        <v>0.125</v>
      </c>
      <c r="AF436" s="79">
        <v>244.2396</v>
      </c>
      <c r="AG436" s="61">
        <v>221.3604</v>
      </c>
    </row>
    <row r="437" spans="30:33">
      <c r="AD437" s="14">
        <v>333.15</v>
      </c>
      <c r="AE437" s="77">
        <v>0.13</v>
      </c>
      <c r="AF437" s="79">
        <v>243.47880000000001</v>
      </c>
      <c r="AG437" s="61">
        <v>219.7483</v>
      </c>
    </row>
    <row r="438" spans="30:33">
      <c r="AD438" s="14">
        <v>333.15</v>
      </c>
      <c r="AE438" s="77">
        <v>0.13500000000000001</v>
      </c>
      <c r="AF438" s="79">
        <v>242.7182</v>
      </c>
      <c r="AG438" s="61">
        <v>218.14410000000001</v>
      </c>
    </row>
    <row r="439" spans="30:33">
      <c r="AD439" s="14">
        <v>333.15</v>
      </c>
      <c r="AE439" s="77">
        <v>0.14000000000000001</v>
      </c>
      <c r="AF439" s="79">
        <v>241.95779999999999</v>
      </c>
      <c r="AG439" s="61">
        <v>216.5479</v>
      </c>
    </row>
    <row r="440" spans="30:33">
      <c r="AD440" s="14">
        <v>333.15</v>
      </c>
      <c r="AE440" s="77">
        <v>0.14499999999999999</v>
      </c>
      <c r="AF440" s="79">
        <v>241.19759999999999</v>
      </c>
      <c r="AG440" s="61">
        <v>214.96010000000001</v>
      </c>
    </row>
    <row r="441" spans="30:33">
      <c r="AD441" s="14">
        <v>333.15</v>
      </c>
      <c r="AE441" s="77">
        <v>0.15</v>
      </c>
      <c r="AF441" s="79">
        <v>240.4375</v>
      </c>
      <c r="AG441" s="61">
        <v>213.3809</v>
      </c>
    </row>
    <row r="442" spans="30:33">
      <c r="AD442" s="14">
        <v>333.15</v>
      </c>
      <c r="AE442" s="77">
        <v>0.155</v>
      </c>
      <c r="AF442" s="79">
        <v>239.67750000000001</v>
      </c>
      <c r="AG442" s="61">
        <v>211.81049999999999</v>
      </c>
    </row>
    <row r="443" spans="30:33">
      <c r="AD443" s="14">
        <v>333.15</v>
      </c>
      <c r="AE443" s="77">
        <v>0.16</v>
      </c>
      <c r="AF443" s="79">
        <v>238.9177</v>
      </c>
      <c r="AG443" s="61">
        <v>210.2491</v>
      </c>
    </row>
    <row r="444" spans="30:33">
      <c r="AD444" s="14">
        <v>333.15</v>
      </c>
      <c r="AE444" s="77">
        <v>0.16500000000000001</v>
      </c>
      <c r="AF444" s="79">
        <v>238.15790000000001</v>
      </c>
      <c r="AG444" s="61">
        <v>208.69710000000001</v>
      </c>
    </row>
    <row r="445" spans="30:33">
      <c r="AD445" s="14">
        <v>333.15</v>
      </c>
      <c r="AE445" s="77">
        <v>0.17</v>
      </c>
      <c r="AF445" s="79">
        <v>237.3982</v>
      </c>
      <c r="AG445" s="61">
        <v>207.15450000000001</v>
      </c>
    </row>
    <row r="446" spans="30:33">
      <c r="AD446" s="14">
        <v>333.15</v>
      </c>
      <c r="AE446" s="77">
        <v>0.17499999999999999</v>
      </c>
      <c r="AF446" s="79">
        <v>236.63849999999999</v>
      </c>
      <c r="AG446" s="61">
        <v>205.6216</v>
      </c>
    </row>
    <row r="447" spans="30:33">
      <c r="AD447" s="14">
        <v>333.15</v>
      </c>
      <c r="AE447" s="77">
        <v>0.18</v>
      </c>
      <c r="AF447" s="79">
        <v>235.87889999999999</v>
      </c>
      <c r="AG447" s="61">
        <v>204.09870000000001</v>
      </c>
    </row>
    <row r="448" spans="30:33">
      <c r="AD448" s="14">
        <v>333.15</v>
      </c>
      <c r="AE448" s="77">
        <v>0.185</v>
      </c>
      <c r="AF448" s="79">
        <v>235.11920000000001</v>
      </c>
      <c r="AG448" s="61">
        <v>202.58590000000001</v>
      </c>
    </row>
    <row r="449" spans="30:33">
      <c r="AD449" s="14">
        <v>333.15</v>
      </c>
      <c r="AE449" s="77">
        <v>0.19</v>
      </c>
      <c r="AF449" s="79">
        <v>234.3595</v>
      </c>
      <c r="AG449" s="61">
        <v>201.08330000000001</v>
      </c>
    </row>
    <row r="450" spans="30:33">
      <c r="AD450" s="14">
        <v>333.15</v>
      </c>
      <c r="AE450" s="77">
        <v>0.19500000000000001</v>
      </c>
      <c r="AF450" s="79">
        <v>233.59979999999999</v>
      </c>
      <c r="AG450" s="61">
        <v>199.59119999999999</v>
      </c>
    </row>
    <row r="451" spans="30:33">
      <c r="AD451" s="14">
        <v>333.15</v>
      </c>
      <c r="AE451" s="77">
        <v>0.2</v>
      </c>
      <c r="AF451" s="79">
        <v>232.84</v>
      </c>
      <c r="AG451" s="61">
        <v>198.1097</v>
      </c>
    </row>
    <row r="452" spans="30:33">
      <c r="AD452" s="14">
        <v>333.15</v>
      </c>
      <c r="AE452" s="77">
        <v>0.20499999999999999</v>
      </c>
      <c r="AF452" s="79">
        <v>232.08009999999999</v>
      </c>
      <c r="AG452" s="61">
        <v>196.63900000000001</v>
      </c>
    </row>
    <row r="453" spans="30:33">
      <c r="AD453" s="14">
        <v>333.15</v>
      </c>
      <c r="AE453" s="77">
        <v>0.21</v>
      </c>
      <c r="AF453" s="79">
        <v>231.32</v>
      </c>
      <c r="AG453" s="61">
        <v>195.17910000000001</v>
      </c>
    </row>
    <row r="454" spans="30:33">
      <c r="AD454" s="14">
        <v>333.15</v>
      </c>
      <c r="AE454" s="77">
        <v>0.215</v>
      </c>
      <c r="AF454" s="79">
        <v>230.5598</v>
      </c>
      <c r="AG454" s="61">
        <v>193.7304</v>
      </c>
    </row>
    <row r="455" spans="30:33">
      <c r="AD455" s="14">
        <v>333.15</v>
      </c>
      <c r="AE455" s="77">
        <v>0.22</v>
      </c>
      <c r="AF455" s="79">
        <v>229.79939999999999</v>
      </c>
      <c r="AG455" s="61">
        <v>192.2928</v>
      </c>
    </row>
    <row r="456" spans="30:33">
      <c r="AD456" s="14">
        <v>333.15</v>
      </c>
      <c r="AE456" s="77">
        <v>0.22500000000000001</v>
      </c>
      <c r="AF456" s="79">
        <v>229.03890000000001</v>
      </c>
      <c r="AG456" s="61">
        <v>190.8665</v>
      </c>
    </row>
    <row r="457" spans="30:33">
      <c r="AD457" s="14">
        <v>333.15</v>
      </c>
      <c r="AE457" s="77">
        <v>0.23</v>
      </c>
      <c r="AF457" s="79">
        <v>228.27809999999999</v>
      </c>
      <c r="AG457" s="61">
        <v>189.45160000000001</v>
      </c>
    </row>
    <row r="458" spans="30:33">
      <c r="AD458" s="14">
        <v>333.15</v>
      </c>
      <c r="AE458" s="77">
        <v>0.23499999999999999</v>
      </c>
      <c r="AF458" s="79">
        <v>227.517</v>
      </c>
      <c r="AG458" s="61">
        <v>188.04820000000001</v>
      </c>
    </row>
    <row r="459" spans="30:33">
      <c r="AD459" s="14">
        <v>333.15</v>
      </c>
      <c r="AE459" s="77">
        <v>0.24</v>
      </c>
      <c r="AF459" s="79">
        <v>226.75569999999999</v>
      </c>
      <c r="AG459" s="61">
        <v>186.65639999999999</v>
      </c>
    </row>
    <row r="460" spans="30:33">
      <c r="AD460" s="14">
        <v>333.15</v>
      </c>
      <c r="AE460" s="77">
        <v>0.245</v>
      </c>
      <c r="AF460" s="79">
        <v>225.994</v>
      </c>
      <c r="AG460" s="61">
        <v>185.27629999999999</v>
      </c>
    </row>
    <row r="461" spans="30:33">
      <c r="AD461" s="14">
        <v>333.15</v>
      </c>
      <c r="AE461" s="77">
        <v>0.25</v>
      </c>
      <c r="AF461" s="79">
        <v>225.2321</v>
      </c>
      <c r="AG461" s="61">
        <v>183.90790000000001</v>
      </c>
    </row>
    <row r="462" spans="30:33">
      <c r="AD462" s="14">
        <v>333.15</v>
      </c>
      <c r="AE462" s="77">
        <v>0.255</v>
      </c>
      <c r="AF462" s="79">
        <v>224.46969999999999</v>
      </c>
      <c r="AG462" s="61">
        <v>182.5513</v>
      </c>
    </row>
    <row r="463" spans="30:33">
      <c r="AD463" s="14">
        <v>333.15</v>
      </c>
      <c r="AE463" s="77">
        <v>0.26</v>
      </c>
      <c r="AF463" s="79">
        <v>223.70699999999999</v>
      </c>
      <c r="AG463" s="61">
        <v>181.20650000000001</v>
      </c>
    </row>
    <row r="464" spans="30:33">
      <c r="AD464" s="14">
        <v>333.15</v>
      </c>
      <c r="AE464" s="77">
        <v>0.26500000000000001</v>
      </c>
      <c r="AF464" s="79">
        <v>222.94390000000001</v>
      </c>
      <c r="AG464" s="61">
        <v>179.87370000000001</v>
      </c>
    </row>
    <row r="465" spans="30:33">
      <c r="AD465" s="14">
        <v>333.15</v>
      </c>
      <c r="AE465" s="77">
        <v>0.27</v>
      </c>
      <c r="AF465" s="79">
        <v>222.18029999999999</v>
      </c>
      <c r="AG465" s="61">
        <v>178.55279999999999</v>
      </c>
    </row>
    <row r="466" spans="30:33">
      <c r="AD466" s="14">
        <v>333.15</v>
      </c>
      <c r="AE466" s="77">
        <v>0.27500000000000002</v>
      </c>
      <c r="AF466" s="79">
        <v>221.4162</v>
      </c>
      <c r="AG466" s="61">
        <v>177.2439</v>
      </c>
    </row>
    <row r="467" spans="30:33">
      <c r="AD467" s="14">
        <v>333.15</v>
      </c>
      <c r="AE467" s="77">
        <v>0.28000000000000003</v>
      </c>
      <c r="AF467" s="79">
        <v>220.65170000000001</v>
      </c>
      <c r="AG467" s="61">
        <v>175.9469</v>
      </c>
    </row>
    <row r="468" spans="30:33">
      <c r="AD468" s="14">
        <v>333.15</v>
      </c>
      <c r="AE468" s="77">
        <v>0.28499999999999998</v>
      </c>
      <c r="AF468" s="79">
        <v>219.88659999999999</v>
      </c>
      <c r="AG468" s="61">
        <v>174.66200000000001</v>
      </c>
    </row>
    <row r="469" spans="30:33">
      <c r="AD469" s="14">
        <v>333.15</v>
      </c>
      <c r="AE469" s="77">
        <v>0.28999999999999998</v>
      </c>
      <c r="AF469" s="79">
        <v>219.12100000000001</v>
      </c>
      <c r="AG469" s="61">
        <v>173.38900000000001</v>
      </c>
    </row>
    <row r="470" spans="30:33">
      <c r="AD470" s="14">
        <v>333.15</v>
      </c>
      <c r="AE470" s="77">
        <v>0.29499999999999998</v>
      </c>
      <c r="AF470" s="79">
        <v>218.35470000000001</v>
      </c>
      <c r="AG470" s="61">
        <v>172.12809999999999</v>
      </c>
    </row>
    <row r="471" spans="30:33">
      <c r="AD471" s="14">
        <v>333.15</v>
      </c>
      <c r="AE471" s="77">
        <v>0.3</v>
      </c>
      <c r="AF471" s="79">
        <v>217.58789999999999</v>
      </c>
      <c r="AG471" s="61">
        <v>170.8792</v>
      </c>
    </row>
    <row r="472" spans="30:33">
      <c r="AD472" s="14">
        <v>333.15</v>
      </c>
      <c r="AE472" s="77">
        <v>0.30499999999999999</v>
      </c>
      <c r="AF472" s="79">
        <v>216.82040000000001</v>
      </c>
      <c r="AG472" s="61">
        <v>169.64230000000001</v>
      </c>
    </row>
    <row r="473" spans="30:33">
      <c r="AD473" s="14">
        <v>333.15</v>
      </c>
      <c r="AE473" s="77">
        <v>0.31</v>
      </c>
      <c r="AF473" s="79">
        <v>216.0522</v>
      </c>
      <c r="AG473" s="61">
        <v>168.41730000000001</v>
      </c>
    </row>
    <row r="474" spans="30:33">
      <c r="AD474" s="14">
        <v>333.15</v>
      </c>
      <c r="AE474" s="77">
        <v>0.315</v>
      </c>
      <c r="AF474" s="79">
        <v>215.2833</v>
      </c>
      <c r="AG474" s="61">
        <v>167.20429999999999</v>
      </c>
    </row>
    <row r="475" spans="30:33">
      <c r="AD475" s="14">
        <v>333.15</v>
      </c>
      <c r="AE475" s="77">
        <v>0.32</v>
      </c>
      <c r="AF475" s="79">
        <v>214.5136</v>
      </c>
      <c r="AG475" s="61">
        <v>166.00319999999999</v>
      </c>
    </row>
    <row r="476" spans="30:33">
      <c r="AD476" s="14">
        <v>333.15</v>
      </c>
      <c r="AE476" s="77">
        <v>0.32500000000000001</v>
      </c>
      <c r="AF476" s="79">
        <v>213.7432</v>
      </c>
      <c r="AG476" s="61">
        <v>164.81399999999999</v>
      </c>
    </row>
    <row r="477" spans="30:33">
      <c r="AD477" s="14">
        <v>333.15</v>
      </c>
      <c r="AE477" s="77">
        <v>0.33</v>
      </c>
      <c r="AF477" s="79">
        <v>212.97200000000001</v>
      </c>
      <c r="AG477" s="61">
        <v>163.63659999999999</v>
      </c>
    </row>
    <row r="478" spans="30:33">
      <c r="AD478" s="14">
        <v>333.15</v>
      </c>
      <c r="AE478" s="77">
        <v>0.33500000000000002</v>
      </c>
      <c r="AF478" s="79">
        <v>212.19990000000001</v>
      </c>
      <c r="AG478" s="61">
        <v>162.471</v>
      </c>
    </row>
    <row r="479" spans="30:33">
      <c r="AD479" s="14">
        <v>333.15</v>
      </c>
      <c r="AE479" s="77">
        <v>0.34</v>
      </c>
      <c r="AF479" s="79">
        <v>211.42689999999999</v>
      </c>
      <c r="AG479" s="61">
        <v>161.31720000000001</v>
      </c>
    </row>
    <row r="480" spans="30:33">
      <c r="AD480" s="14">
        <v>333.15</v>
      </c>
      <c r="AE480" s="77">
        <v>0.34499999999999997</v>
      </c>
      <c r="AF480" s="79">
        <v>210.65309999999999</v>
      </c>
      <c r="AG480" s="61">
        <v>160.17500000000001</v>
      </c>
    </row>
    <row r="481" spans="30:33">
      <c r="AD481" s="14">
        <v>333.15</v>
      </c>
      <c r="AE481" s="77">
        <v>0.35</v>
      </c>
      <c r="AF481" s="79">
        <v>209.87819999999999</v>
      </c>
      <c r="AG481" s="61">
        <v>159.0444</v>
      </c>
    </row>
    <row r="482" spans="30:33">
      <c r="AD482" s="14">
        <v>333.15</v>
      </c>
      <c r="AE482" s="77">
        <v>0.35499999999999998</v>
      </c>
      <c r="AF482" s="79">
        <v>209.10249999999999</v>
      </c>
      <c r="AG482" s="61">
        <v>157.9255</v>
      </c>
    </row>
    <row r="483" spans="30:33">
      <c r="AD483" s="14">
        <v>333.15</v>
      </c>
      <c r="AE483" s="77">
        <v>0.36</v>
      </c>
      <c r="AF483" s="79">
        <v>208.32570000000001</v>
      </c>
      <c r="AG483" s="61">
        <v>156.81790000000001</v>
      </c>
    </row>
    <row r="484" spans="30:33">
      <c r="AD484" s="14">
        <v>333.15</v>
      </c>
      <c r="AE484" s="77">
        <v>0.36499999999999999</v>
      </c>
      <c r="AF484" s="79">
        <v>207.5478</v>
      </c>
      <c r="AG484" s="61">
        <v>155.72190000000001</v>
      </c>
    </row>
    <row r="485" spans="30:33">
      <c r="AD485" s="14">
        <v>333.15</v>
      </c>
      <c r="AE485" s="77">
        <v>0.37</v>
      </c>
      <c r="AF485" s="79">
        <v>206.7689</v>
      </c>
      <c r="AG485" s="61">
        <v>154.6371</v>
      </c>
    </row>
    <row r="486" spans="30:33">
      <c r="AD486" s="14">
        <v>333.15</v>
      </c>
      <c r="AE486" s="77">
        <v>0.375</v>
      </c>
      <c r="AF486" s="79">
        <v>205.9888</v>
      </c>
      <c r="AG486" s="61">
        <v>153.56360000000001</v>
      </c>
    </row>
    <row r="487" spans="30:33">
      <c r="AD487" s="14">
        <v>333.15</v>
      </c>
      <c r="AE487" s="77">
        <v>0.38</v>
      </c>
      <c r="AF487" s="79">
        <v>205.20760000000001</v>
      </c>
      <c r="AG487" s="61">
        <v>152.50129999999999</v>
      </c>
    </row>
    <row r="488" spans="30:33">
      <c r="AD488" s="14">
        <v>333.15</v>
      </c>
      <c r="AE488" s="77">
        <v>0.38500000000000001</v>
      </c>
      <c r="AF488" s="79">
        <v>204.42519999999999</v>
      </c>
      <c r="AG488" s="61">
        <v>151.45009999999999</v>
      </c>
    </row>
    <row r="489" spans="30:33">
      <c r="AD489" s="14">
        <v>333.15</v>
      </c>
      <c r="AE489" s="77">
        <v>0.39</v>
      </c>
      <c r="AF489" s="79">
        <v>203.64150000000001</v>
      </c>
      <c r="AG489" s="61">
        <v>150.40989999999999</v>
      </c>
    </row>
    <row r="490" spans="30:33">
      <c r="AD490" s="14">
        <v>333.15</v>
      </c>
      <c r="AE490" s="77">
        <v>0.39500000000000002</v>
      </c>
      <c r="AF490" s="79">
        <v>202.85659999999999</v>
      </c>
      <c r="AG490" s="61">
        <v>149.38069999999999</v>
      </c>
    </row>
    <row r="491" spans="30:33">
      <c r="AD491" s="14">
        <v>333.15</v>
      </c>
      <c r="AE491" s="77">
        <v>0.4</v>
      </c>
      <c r="AF491" s="79">
        <v>202.07040000000001</v>
      </c>
      <c r="AG491" s="61">
        <v>148.3622</v>
      </c>
    </row>
    <row r="492" spans="30:33">
      <c r="AD492" s="14">
        <v>333.15</v>
      </c>
      <c r="AE492" s="77">
        <v>0.40500000000000003</v>
      </c>
      <c r="AF492" s="79">
        <v>201.28280000000001</v>
      </c>
      <c r="AG492" s="61">
        <v>147.3546</v>
      </c>
    </row>
    <row r="493" spans="30:33">
      <c r="AD493" s="14">
        <v>333.15</v>
      </c>
      <c r="AE493" s="77">
        <v>0.41</v>
      </c>
      <c r="AF493" s="79">
        <v>200.4939</v>
      </c>
      <c r="AG493" s="61">
        <v>146.35749999999999</v>
      </c>
    </row>
    <row r="494" spans="30:33">
      <c r="AD494" s="14">
        <v>333.15</v>
      </c>
      <c r="AE494" s="77">
        <v>0.41499999999999998</v>
      </c>
      <c r="AF494" s="79">
        <v>199.70349999999999</v>
      </c>
      <c r="AG494" s="61">
        <v>145.37110000000001</v>
      </c>
    </row>
    <row r="495" spans="30:33">
      <c r="AD495" s="14">
        <v>333.15</v>
      </c>
      <c r="AE495" s="77">
        <v>0.42</v>
      </c>
      <c r="AF495" s="79">
        <v>198.91159999999999</v>
      </c>
      <c r="AG495" s="61">
        <v>144.39500000000001</v>
      </c>
    </row>
    <row r="496" spans="30:33">
      <c r="AD496" s="14">
        <v>333.15</v>
      </c>
      <c r="AE496" s="77">
        <v>0.42499999999999999</v>
      </c>
      <c r="AF496" s="79">
        <v>198.1183</v>
      </c>
      <c r="AG496" s="61">
        <v>143.42939999999999</v>
      </c>
    </row>
    <row r="497" spans="30:33">
      <c r="AD497" s="14">
        <v>333.15</v>
      </c>
      <c r="AE497" s="77">
        <v>0.43</v>
      </c>
      <c r="AF497" s="79">
        <v>197.32339999999999</v>
      </c>
      <c r="AG497" s="61">
        <v>142.47399999999999</v>
      </c>
    </row>
    <row r="498" spans="30:33">
      <c r="AD498" s="14">
        <v>333.15</v>
      </c>
      <c r="AE498" s="77">
        <v>0.435</v>
      </c>
      <c r="AF498" s="79">
        <v>196.52680000000001</v>
      </c>
      <c r="AG498" s="61">
        <v>141.52869999999999</v>
      </c>
    </row>
    <row r="499" spans="30:33">
      <c r="AD499" s="14">
        <v>333.15</v>
      </c>
      <c r="AE499" s="77">
        <v>0.44</v>
      </c>
      <c r="AF499" s="79">
        <v>195.7287</v>
      </c>
      <c r="AG499" s="61">
        <v>140.59350000000001</v>
      </c>
    </row>
    <row r="500" spans="30:33">
      <c r="AD500" s="14">
        <v>333.15</v>
      </c>
      <c r="AE500" s="77">
        <v>0.44500000000000001</v>
      </c>
      <c r="AF500" s="79">
        <v>194.9289</v>
      </c>
      <c r="AG500" s="61">
        <v>139.66829999999999</v>
      </c>
    </row>
    <row r="501" spans="30:33">
      <c r="AD501" s="14">
        <v>333.15</v>
      </c>
      <c r="AE501" s="77">
        <v>0.45</v>
      </c>
      <c r="AF501" s="79">
        <v>194.12729999999999</v>
      </c>
      <c r="AG501" s="61">
        <v>138.75290000000001</v>
      </c>
    </row>
    <row r="502" spans="30:33">
      <c r="AD502" s="14">
        <v>333.15</v>
      </c>
      <c r="AE502" s="77">
        <v>0.45500000000000002</v>
      </c>
      <c r="AF502" s="79">
        <v>193.32400000000001</v>
      </c>
      <c r="AG502" s="61">
        <v>137.84729999999999</v>
      </c>
    </row>
    <row r="503" spans="30:33">
      <c r="AD503" s="14">
        <v>333.15</v>
      </c>
      <c r="AE503" s="77">
        <v>0.46</v>
      </c>
      <c r="AF503" s="79">
        <v>192.5189</v>
      </c>
      <c r="AG503" s="61">
        <v>136.9513</v>
      </c>
    </row>
    <row r="504" spans="30:33">
      <c r="AD504" s="14">
        <v>333.15</v>
      </c>
      <c r="AE504" s="77">
        <v>0.46500000000000002</v>
      </c>
      <c r="AF504" s="79">
        <v>191.71190000000001</v>
      </c>
      <c r="AG504" s="61">
        <v>136.06479999999999</v>
      </c>
    </row>
    <row r="505" spans="30:33">
      <c r="AD505" s="14">
        <v>333.15</v>
      </c>
      <c r="AE505" s="77">
        <v>0.47</v>
      </c>
      <c r="AF505" s="79">
        <v>190.90299999999999</v>
      </c>
      <c r="AG505" s="61">
        <v>135.18780000000001</v>
      </c>
    </row>
    <row r="506" spans="30:33">
      <c r="AD506" s="14">
        <v>333.15</v>
      </c>
      <c r="AE506" s="77">
        <v>0.47499999999999998</v>
      </c>
      <c r="AF506" s="79">
        <v>190.09219999999999</v>
      </c>
      <c r="AG506" s="61">
        <v>134.3201</v>
      </c>
    </row>
    <row r="507" spans="30:33">
      <c r="AD507" s="14">
        <v>333.15</v>
      </c>
      <c r="AE507" s="77">
        <v>0.48</v>
      </c>
      <c r="AF507" s="79">
        <v>189.27930000000001</v>
      </c>
      <c r="AG507" s="61">
        <v>133.46170000000001</v>
      </c>
    </row>
    <row r="508" spans="30:33">
      <c r="AD508" s="14">
        <v>333.15</v>
      </c>
      <c r="AE508" s="77">
        <v>0.48499999999999999</v>
      </c>
      <c r="AF508" s="79">
        <v>188.46440000000001</v>
      </c>
      <c r="AG508" s="61">
        <v>132.61240000000001</v>
      </c>
    </row>
    <row r="509" spans="30:33">
      <c r="AD509" s="14">
        <v>333.15</v>
      </c>
      <c r="AE509" s="77">
        <v>0.49</v>
      </c>
      <c r="AF509" s="79">
        <v>187.6474</v>
      </c>
      <c r="AG509" s="61">
        <v>131.77209999999999</v>
      </c>
    </row>
    <row r="510" spans="30:33">
      <c r="AD510" s="14">
        <v>333.15</v>
      </c>
      <c r="AE510" s="77">
        <v>0.495</v>
      </c>
      <c r="AF510" s="79">
        <v>186.82830000000001</v>
      </c>
      <c r="AG510" s="61">
        <v>130.94069999999999</v>
      </c>
    </row>
    <row r="511" spans="30:33">
      <c r="AD511" s="14">
        <v>333.15</v>
      </c>
      <c r="AE511" s="77">
        <v>0.5</v>
      </c>
      <c r="AF511" s="79">
        <v>186.00700000000001</v>
      </c>
      <c r="AG511" s="61">
        <v>130.1181</v>
      </c>
    </row>
    <row r="512" spans="30:33">
      <c r="AD512" s="14">
        <v>333.15</v>
      </c>
      <c r="AE512" s="77">
        <v>0.505</v>
      </c>
      <c r="AF512" s="79">
        <v>185.18340000000001</v>
      </c>
      <c r="AG512" s="61">
        <v>129.30430000000001</v>
      </c>
    </row>
    <row r="513" spans="30:33">
      <c r="AD513" s="14">
        <v>333.15</v>
      </c>
      <c r="AE513" s="77">
        <v>0.51</v>
      </c>
      <c r="AF513" s="79">
        <v>184.35749999999999</v>
      </c>
      <c r="AG513" s="61">
        <v>128.4991</v>
      </c>
    </row>
    <row r="514" spans="30:33">
      <c r="AD514" s="14">
        <v>333.15</v>
      </c>
      <c r="AE514" s="77">
        <v>0.51500000000000001</v>
      </c>
      <c r="AF514" s="79">
        <v>183.5292</v>
      </c>
      <c r="AG514" s="61">
        <v>127.70229999999999</v>
      </c>
    </row>
    <row r="515" spans="30:33">
      <c r="AD515" s="14">
        <v>333.15</v>
      </c>
      <c r="AE515" s="77">
        <v>0.52</v>
      </c>
      <c r="AF515" s="79">
        <v>182.6986</v>
      </c>
      <c r="AG515" s="61">
        <v>126.914</v>
      </c>
    </row>
    <row r="516" spans="30:33">
      <c r="AD516" s="14">
        <v>333.15</v>
      </c>
      <c r="AE516" s="77">
        <v>0.52500000000000002</v>
      </c>
      <c r="AF516" s="79">
        <v>181.8655</v>
      </c>
      <c r="AG516" s="61">
        <v>126.134</v>
      </c>
    </row>
    <row r="517" spans="30:33">
      <c r="AD517" s="14">
        <v>333.15</v>
      </c>
      <c r="AE517" s="77">
        <v>0.53</v>
      </c>
      <c r="AF517" s="79">
        <v>181.0299</v>
      </c>
      <c r="AG517" s="61">
        <v>125.3622</v>
      </c>
    </row>
    <row r="518" spans="30:33">
      <c r="AD518" s="14">
        <v>333.15</v>
      </c>
      <c r="AE518" s="77">
        <v>0.53500000000000003</v>
      </c>
      <c r="AF518" s="79">
        <v>180.19159999999999</v>
      </c>
      <c r="AG518" s="61">
        <v>124.5985</v>
      </c>
    </row>
    <row r="519" spans="30:33">
      <c r="AD519" s="14">
        <v>333.15</v>
      </c>
      <c r="AE519" s="77">
        <v>0.54</v>
      </c>
      <c r="AF519" s="79">
        <v>179.35079999999999</v>
      </c>
      <c r="AG519" s="61">
        <v>123.8428</v>
      </c>
    </row>
    <row r="520" spans="30:33">
      <c r="AD520" s="14">
        <v>333.15</v>
      </c>
      <c r="AE520" s="77">
        <v>0.54500000000000004</v>
      </c>
      <c r="AF520" s="79">
        <v>178.50729999999999</v>
      </c>
      <c r="AG520" s="61">
        <v>123.095</v>
      </c>
    </row>
    <row r="521" spans="30:33">
      <c r="AD521" s="14">
        <v>333.15</v>
      </c>
      <c r="AE521" s="77">
        <v>0.55000000000000004</v>
      </c>
      <c r="AF521" s="79">
        <v>177.661</v>
      </c>
      <c r="AG521" s="61">
        <v>122.355</v>
      </c>
    </row>
    <row r="522" spans="30:33">
      <c r="AD522" s="14">
        <v>333.15</v>
      </c>
      <c r="AE522" s="77">
        <v>0.55500000000000005</v>
      </c>
      <c r="AF522" s="79">
        <v>176.81190000000001</v>
      </c>
      <c r="AG522" s="61">
        <v>121.6228</v>
      </c>
    </row>
    <row r="523" spans="30:33">
      <c r="AD523" s="14">
        <v>333.15</v>
      </c>
      <c r="AE523" s="77">
        <v>0.56000000000000005</v>
      </c>
      <c r="AF523" s="79">
        <v>175.96</v>
      </c>
      <c r="AG523" s="61">
        <v>120.8981</v>
      </c>
    </row>
    <row r="524" spans="30:33">
      <c r="AD524" s="14">
        <v>333.15</v>
      </c>
      <c r="AE524" s="77">
        <v>0.56499999999999995</v>
      </c>
      <c r="AF524" s="79">
        <v>175.10509999999999</v>
      </c>
      <c r="AG524" s="61">
        <v>120.181</v>
      </c>
    </row>
    <row r="525" spans="30:33">
      <c r="AD525" s="14">
        <v>333.15</v>
      </c>
      <c r="AE525" s="77">
        <v>0.56999999999999995</v>
      </c>
      <c r="AF525" s="79">
        <v>174.24719999999999</v>
      </c>
      <c r="AG525" s="61">
        <v>119.4713</v>
      </c>
    </row>
    <row r="526" spans="30:33">
      <c r="AD526" s="14">
        <v>333.15</v>
      </c>
      <c r="AE526" s="77">
        <v>0.57499999999999996</v>
      </c>
      <c r="AF526" s="79">
        <v>173.38630000000001</v>
      </c>
      <c r="AG526" s="61">
        <v>118.76900000000001</v>
      </c>
    </row>
    <row r="527" spans="30:33">
      <c r="AD527" s="14">
        <v>333.15</v>
      </c>
      <c r="AE527" s="77">
        <v>0.57999999999999996</v>
      </c>
      <c r="AF527" s="79">
        <v>172.5223</v>
      </c>
      <c r="AG527" s="61">
        <v>118.07389999999999</v>
      </c>
    </row>
    <row r="528" spans="30:33">
      <c r="AD528" s="14">
        <v>333.15</v>
      </c>
      <c r="AE528" s="77">
        <v>0.58499999999999996</v>
      </c>
      <c r="AF528" s="79">
        <v>171.655</v>
      </c>
      <c r="AG528" s="61">
        <v>117.38590000000001</v>
      </c>
    </row>
    <row r="529" spans="30:33">
      <c r="AD529" s="14">
        <v>333.15</v>
      </c>
      <c r="AE529" s="77">
        <v>0.59</v>
      </c>
      <c r="AF529" s="79">
        <v>170.78450000000001</v>
      </c>
      <c r="AG529" s="61">
        <v>116.7051</v>
      </c>
    </row>
    <row r="530" spans="30:33">
      <c r="AD530" s="14">
        <v>333.15</v>
      </c>
      <c r="AE530" s="77">
        <v>0.59499999999999997</v>
      </c>
      <c r="AF530" s="79">
        <v>169.91069999999999</v>
      </c>
      <c r="AG530" s="61">
        <v>116.0312</v>
      </c>
    </row>
    <row r="531" spans="30:33">
      <c r="AD531" s="14">
        <v>333.15</v>
      </c>
      <c r="AE531" s="77">
        <v>0.6</v>
      </c>
      <c r="AF531" s="79">
        <v>169.0335</v>
      </c>
      <c r="AG531" s="61">
        <v>115.36409999999999</v>
      </c>
    </row>
    <row r="532" spans="30:33">
      <c r="AD532" s="14">
        <v>333.15</v>
      </c>
      <c r="AE532" s="77">
        <v>0.60499999999999998</v>
      </c>
      <c r="AF532" s="79">
        <v>168.15289999999999</v>
      </c>
      <c r="AG532" s="61">
        <v>114.7039</v>
      </c>
    </row>
    <row r="533" spans="30:33">
      <c r="AD533" s="14">
        <v>333.15</v>
      </c>
      <c r="AE533" s="77">
        <v>0.61</v>
      </c>
      <c r="AF533" s="79">
        <v>167.2687</v>
      </c>
      <c r="AG533" s="61">
        <v>114.0504</v>
      </c>
    </row>
    <row r="534" spans="30:33">
      <c r="AD534" s="14">
        <v>333.15</v>
      </c>
      <c r="AE534" s="77">
        <v>0.61499999999999999</v>
      </c>
      <c r="AF534" s="79">
        <v>166.38079999999999</v>
      </c>
      <c r="AG534" s="61">
        <v>113.40349999999999</v>
      </c>
    </row>
    <row r="535" spans="30:33">
      <c r="AD535" s="14">
        <v>333.15</v>
      </c>
      <c r="AE535" s="77">
        <v>0.62</v>
      </c>
      <c r="AF535" s="79">
        <v>165.48939999999999</v>
      </c>
      <c r="AG535" s="61">
        <v>112.76309999999999</v>
      </c>
    </row>
    <row r="536" spans="30:33">
      <c r="AD536" s="14">
        <v>333.15</v>
      </c>
      <c r="AE536" s="77">
        <v>0.625</v>
      </c>
      <c r="AF536" s="79">
        <v>164.5941</v>
      </c>
      <c r="AG536" s="61">
        <v>112.1293</v>
      </c>
    </row>
    <row r="537" spans="30:33">
      <c r="AD537" s="14">
        <v>333.15</v>
      </c>
      <c r="AE537" s="77">
        <v>0.63</v>
      </c>
      <c r="AF537" s="79">
        <v>163.69499999999999</v>
      </c>
      <c r="AG537" s="61">
        <v>111.5017</v>
      </c>
    </row>
    <row r="538" spans="30:33">
      <c r="AD538" s="14">
        <v>333.15</v>
      </c>
      <c r="AE538" s="77">
        <v>0.63500000000000001</v>
      </c>
      <c r="AF538" s="79">
        <v>162.792</v>
      </c>
      <c r="AG538" s="61">
        <v>110.8805</v>
      </c>
    </row>
    <row r="539" spans="30:33">
      <c r="AD539" s="14">
        <v>333.15</v>
      </c>
      <c r="AE539" s="77">
        <v>0.64</v>
      </c>
      <c r="AF539" s="79">
        <v>161.88509999999999</v>
      </c>
      <c r="AG539" s="61">
        <v>110.2655</v>
      </c>
    </row>
    <row r="540" spans="30:33">
      <c r="AD540" s="14">
        <v>333.15</v>
      </c>
      <c r="AE540" s="77">
        <v>0.64500000000000002</v>
      </c>
      <c r="AF540" s="79">
        <v>160.97399999999999</v>
      </c>
      <c r="AG540" s="61">
        <v>109.6566</v>
      </c>
    </row>
    <row r="541" spans="30:33">
      <c r="AD541" s="14">
        <v>333.15</v>
      </c>
      <c r="AE541" s="77">
        <v>0.65</v>
      </c>
      <c r="AF541" s="79">
        <v>160.05879999999999</v>
      </c>
      <c r="AG541" s="61">
        <v>109.0538</v>
      </c>
    </row>
    <row r="542" spans="30:33">
      <c r="AD542" s="14">
        <v>333.15</v>
      </c>
      <c r="AE542" s="77">
        <v>0.65500000000000003</v>
      </c>
      <c r="AF542" s="79">
        <v>159.13929999999999</v>
      </c>
      <c r="AG542" s="61">
        <v>108.45699999999999</v>
      </c>
    </row>
    <row r="543" spans="30:33">
      <c r="AD543" s="14">
        <v>333.15</v>
      </c>
      <c r="AE543" s="77">
        <v>0.66</v>
      </c>
      <c r="AF543" s="79">
        <v>158.21559999999999</v>
      </c>
      <c r="AG543" s="61">
        <v>107.866</v>
      </c>
    </row>
    <row r="544" spans="30:33">
      <c r="AD544" s="14">
        <v>333.15</v>
      </c>
      <c r="AE544" s="77">
        <v>0.66500000000000004</v>
      </c>
      <c r="AF544" s="79">
        <v>157.28739999999999</v>
      </c>
      <c r="AG544" s="61">
        <v>107.2809</v>
      </c>
    </row>
    <row r="545" spans="30:33">
      <c r="AD545" s="14">
        <v>333.15</v>
      </c>
      <c r="AE545" s="77">
        <v>0.67</v>
      </c>
      <c r="AF545" s="79">
        <v>156.35470000000001</v>
      </c>
      <c r="AG545" s="61">
        <v>106.7015</v>
      </c>
    </row>
    <row r="546" spans="30:33">
      <c r="AD546" s="14">
        <v>333.15</v>
      </c>
      <c r="AE546" s="77">
        <v>0.67500000000000004</v>
      </c>
      <c r="AF546" s="79">
        <v>155.41739999999999</v>
      </c>
      <c r="AG546" s="61">
        <v>106.12779999999999</v>
      </c>
    </row>
    <row r="547" spans="30:33">
      <c r="AD547" s="14">
        <v>333.15</v>
      </c>
      <c r="AE547" s="77">
        <v>0.68</v>
      </c>
      <c r="AF547" s="79">
        <v>154.47550000000001</v>
      </c>
      <c r="AG547" s="61">
        <v>105.5598</v>
      </c>
    </row>
    <row r="548" spans="30:33">
      <c r="AD548" s="14">
        <v>333.15</v>
      </c>
      <c r="AE548" s="77">
        <v>0.68500000000000005</v>
      </c>
      <c r="AF548" s="79">
        <v>153.52869999999999</v>
      </c>
      <c r="AG548" s="61">
        <v>104.99720000000001</v>
      </c>
    </row>
    <row r="549" spans="30:33">
      <c r="AD549" s="14">
        <v>333.15</v>
      </c>
      <c r="AE549" s="77">
        <v>0.69</v>
      </c>
      <c r="AF549" s="79">
        <v>152.5771</v>
      </c>
      <c r="AG549" s="61">
        <v>104.4401</v>
      </c>
    </row>
    <row r="550" spans="30:33">
      <c r="AD550" s="14">
        <v>333.15</v>
      </c>
      <c r="AE550" s="77">
        <v>0.69499999999999995</v>
      </c>
      <c r="AF550" s="79">
        <v>151.62049999999999</v>
      </c>
      <c r="AG550" s="61">
        <v>103.8884</v>
      </c>
    </row>
    <row r="551" spans="30:33">
      <c r="AD551" s="14">
        <v>333.15</v>
      </c>
      <c r="AE551" s="77">
        <v>0.7</v>
      </c>
      <c r="AF551" s="79">
        <v>150.65880000000001</v>
      </c>
      <c r="AG551" s="61">
        <v>103.342</v>
      </c>
    </row>
    <row r="552" spans="30:33">
      <c r="AD552" s="14">
        <v>333.15</v>
      </c>
      <c r="AE552" s="77">
        <v>0.70499999999999996</v>
      </c>
      <c r="AF552" s="79">
        <v>149.69200000000001</v>
      </c>
      <c r="AG552" s="61">
        <v>102.8009</v>
      </c>
    </row>
    <row r="553" spans="30:33">
      <c r="AD553" s="14">
        <v>333.15</v>
      </c>
      <c r="AE553" s="77">
        <v>0.71</v>
      </c>
      <c r="AF553" s="79">
        <v>148.7199</v>
      </c>
      <c r="AG553" s="61">
        <v>102.2649</v>
      </c>
    </row>
    <row r="554" spans="30:33">
      <c r="AD554" s="14">
        <v>333.15</v>
      </c>
      <c r="AE554" s="77">
        <v>0.71499999999999997</v>
      </c>
      <c r="AF554" s="79">
        <v>147.7424</v>
      </c>
      <c r="AG554" s="61">
        <v>101.7341</v>
      </c>
    </row>
    <row r="555" spans="30:33">
      <c r="AD555" s="14">
        <v>333.15</v>
      </c>
      <c r="AE555" s="77">
        <v>0.72</v>
      </c>
      <c r="AF555" s="79">
        <v>146.7594</v>
      </c>
      <c r="AG555" s="61">
        <v>101.20829999999999</v>
      </c>
    </row>
    <row r="556" spans="30:33">
      <c r="AD556" s="14">
        <v>333.15</v>
      </c>
      <c r="AE556" s="77">
        <v>0.72499999999999998</v>
      </c>
      <c r="AF556" s="79">
        <v>145.77080000000001</v>
      </c>
      <c r="AG556" s="61">
        <v>100.6876</v>
      </c>
    </row>
    <row r="557" spans="30:33">
      <c r="AD557" s="14">
        <v>333.15</v>
      </c>
      <c r="AE557" s="77">
        <v>0.73</v>
      </c>
      <c r="AF557" s="79">
        <v>144.7765</v>
      </c>
      <c r="AG557" s="61">
        <v>100.1717</v>
      </c>
    </row>
    <row r="558" spans="30:33">
      <c r="AD558" s="14">
        <v>333.15</v>
      </c>
      <c r="AE558" s="77">
        <v>0.73499999999999999</v>
      </c>
      <c r="AF558" s="79">
        <v>143.77629999999999</v>
      </c>
      <c r="AG558" s="60">
        <v>99.660740000000004</v>
      </c>
    </row>
    <row r="559" spans="30:33">
      <c r="AD559" s="14">
        <v>333.15</v>
      </c>
      <c r="AE559" s="77">
        <v>0.74</v>
      </c>
      <c r="AF559" s="79">
        <v>142.77029999999999</v>
      </c>
      <c r="AG559" s="60">
        <v>99.154560000000004</v>
      </c>
    </row>
    <row r="560" spans="30:33">
      <c r="AD560" s="14">
        <v>333.15</v>
      </c>
      <c r="AE560" s="77">
        <v>0.745</v>
      </c>
      <c r="AF560" s="79">
        <v>141.75810000000001</v>
      </c>
      <c r="AG560" s="60">
        <v>98.653120000000001</v>
      </c>
    </row>
    <row r="561" spans="30:33">
      <c r="AD561" s="14">
        <v>333.15</v>
      </c>
      <c r="AE561" s="77">
        <v>0.75</v>
      </c>
      <c r="AF561" s="79">
        <v>140.7398</v>
      </c>
      <c r="AG561" s="60">
        <v>98.156369999999995</v>
      </c>
    </row>
    <row r="562" spans="30:33">
      <c r="AD562" s="14">
        <v>333.15</v>
      </c>
      <c r="AE562" s="77">
        <v>0.755</v>
      </c>
      <c r="AF562" s="79">
        <v>139.71510000000001</v>
      </c>
      <c r="AG562" s="60">
        <v>97.664249999999996</v>
      </c>
    </row>
    <row r="563" spans="30:33">
      <c r="AD563" s="14">
        <v>333.15</v>
      </c>
      <c r="AE563" s="77">
        <v>0.76</v>
      </c>
      <c r="AF563" s="79">
        <v>138.684</v>
      </c>
      <c r="AG563" s="60">
        <v>97.176680000000005</v>
      </c>
    </row>
    <row r="564" spans="30:33">
      <c r="AD564" s="14">
        <v>333.15</v>
      </c>
      <c r="AE564" s="77">
        <v>0.76500000000000001</v>
      </c>
      <c r="AF564" s="79">
        <v>137.6464</v>
      </c>
      <c r="AG564" s="60">
        <v>96.693629999999999</v>
      </c>
    </row>
    <row r="565" spans="30:33">
      <c r="AD565" s="14">
        <v>333.15</v>
      </c>
      <c r="AE565" s="77">
        <v>0.77</v>
      </c>
      <c r="AF565" s="79">
        <v>136.602</v>
      </c>
      <c r="AG565" s="60">
        <v>96.215029999999999</v>
      </c>
    </row>
    <row r="566" spans="30:33">
      <c r="AD566" s="14">
        <v>333.15</v>
      </c>
      <c r="AE566" s="77">
        <v>0.77500000000000002</v>
      </c>
      <c r="AF566" s="79">
        <v>135.55080000000001</v>
      </c>
      <c r="AG566" s="60">
        <v>95.740819999999999</v>
      </c>
    </row>
    <row r="567" spans="30:33">
      <c r="AD567" s="14">
        <v>333.15</v>
      </c>
      <c r="AE567" s="77">
        <v>0.78</v>
      </c>
      <c r="AF567" s="79">
        <v>134.49260000000001</v>
      </c>
      <c r="AG567" s="60">
        <v>95.270960000000002</v>
      </c>
    </row>
    <row r="568" spans="30:33">
      <c r="AD568" s="14">
        <v>333.15</v>
      </c>
      <c r="AE568" s="77">
        <v>0.78500000000000003</v>
      </c>
      <c r="AF568" s="79">
        <v>133.4273</v>
      </c>
      <c r="AG568" s="60">
        <v>94.805369999999996</v>
      </c>
    </row>
    <row r="569" spans="30:33">
      <c r="AD569" s="14">
        <v>333.15</v>
      </c>
      <c r="AE569" s="77">
        <v>0.79</v>
      </c>
      <c r="AF569" s="79">
        <v>132.35470000000001</v>
      </c>
      <c r="AG569" s="60">
        <v>94.344030000000004</v>
      </c>
    </row>
    <row r="570" spans="30:33">
      <c r="AD570" s="14">
        <v>333.15</v>
      </c>
      <c r="AE570" s="77">
        <v>0.79500000000000004</v>
      </c>
      <c r="AF570" s="79">
        <v>131.2747</v>
      </c>
      <c r="AG570" s="60">
        <v>93.886859999999999</v>
      </c>
    </row>
    <row r="571" spans="30:33">
      <c r="AD571" s="14">
        <v>333.15</v>
      </c>
      <c r="AE571" s="77">
        <v>0.8</v>
      </c>
      <c r="AF571" s="79">
        <v>130.18719999999999</v>
      </c>
      <c r="AG571" s="60">
        <v>93.43383</v>
      </c>
    </row>
    <row r="572" spans="30:33">
      <c r="AD572" s="14">
        <v>333.15</v>
      </c>
      <c r="AE572" s="77">
        <v>0.80500000000000005</v>
      </c>
      <c r="AF572" s="79">
        <v>129.09190000000001</v>
      </c>
      <c r="AG572" s="60">
        <v>92.984870000000001</v>
      </c>
    </row>
    <row r="573" spans="30:33">
      <c r="AD573" s="14">
        <v>333.15</v>
      </c>
      <c r="AE573" s="77">
        <v>0.81</v>
      </c>
      <c r="AF573" s="79">
        <v>127.98869999999999</v>
      </c>
      <c r="AG573" s="60">
        <v>92.539940000000001</v>
      </c>
    </row>
    <row r="574" spans="30:33">
      <c r="AD574" s="14">
        <v>333.15</v>
      </c>
      <c r="AE574" s="77">
        <v>0.81499999999999995</v>
      </c>
      <c r="AF574" s="79">
        <v>126.8775</v>
      </c>
      <c r="AG574" s="60">
        <v>92.098990000000001</v>
      </c>
    </row>
    <row r="575" spans="30:33">
      <c r="AD575" s="14">
        <v>333.15</v>
      </c>
      <c r="AE575" s="77">
        <v>0.82</v>
      </c>
      <c r="AF575" s="79">
        <v>125.7581</v>
      </c>
      <c r="AG575" s="60">
        <v>91.661959999999993</v>
      </c>
    </row>
    <row r="576" spans="30:33">
      <c r="AD576" s="14">
        <v>333.15</v>
      </c>
      <c r="AE576" s="77">
        <v>0.82499999999999996</v>
      </c>
      <c r="AF576" s="79">
        <v>124.63030000000001</v>
      </c>
      <c r="AG576" s="60">
        <v>91.228819999999999</v>
      </c>
    </row>
    <row r="577" spans="30:33">
      <c r="AD577" s="14">
        <v>333.15</v>
      </c>
      <c r="AE577" s="77">
        <v>0.83</v>
      </c>
      <c r="AF577" s="79">
        <v>123.494</v>
      </c>
      <c r="AG577" s="60">
        <v>90.799509999999998</v>
      </c>
    </row>
    <row r="578" spans="30:33">
      <c r="AD578" s="14">
        <v>333.15</v>
      </c>
      <c r="AE578" s="77">
        <v>0.83499999999999996</v>
      </c>
      <c r="AF578" s="79">
        <v>122.3489</v>
      </c>
      <c r="AG578" s="60">
        <v>90.373980000000003</v>
      </c>
    </row>
    <row r="579" spans="30:33">
      <c r="AD579" s="14">
        <v>333.15</v>
      </c>
      <c r="AE579" s="77">
        <v>0.84</v>
      </c>
      <c r="AF579" s="79">
        <v>121.1949</v>
      </c>
      <c r="AG579" s="60">
        <v>89.952190000000002</v>
      </c>
    </row>
    <row r="580" spans="30:33">
      <c r="AD580" s="14">
        <v>333.15</v>
      </c>
      <c r="AE580" s="77">
        <v>0.84499999999999997</v>
      </c>
      <c r="AF580" s="79">
        <v>120.0318</v>
      </c>
      <c r="AG580" s="60">
        <v>89.534099999999995</v>
      </c>
    </row>
    <row r="581" spans="30:33">
      <c r="AD581" s="14">
        <v>333.15</v>
      </c>
      <c r="AE581" s="77">
        <v>0.85</v>
      </c>
      <c r="AF581" s="79">
        <v>118.85939999999999</v>
      </c>
      <c r="AG581" s="60">
        <v>89.119659999999996</v>
      </c>
    </row>
    <row r="582" spans="30:33">
      <c r="AD582" s="14">
        <v>333.15</v>
      </c>
      <c r="AE582" s="77">
        <v>0.85499999999999998</v>
      </c>
      <c r="AF582" s="79">
        <v>117.67749999999999</v>
      </c>
      <c r="AG582" s="60">
        <v>88.708820000000003</v>
      </c>
    </row>
    <row r="583" spans="30:33">
      <c r="AD583" s="14">
        <v>333.15</v>
      </c>
      <c r="AE583" s="77">
        <v>0.86</v>
      </c>
      <c r="AF583" s="79">
        <v>116.486</v>
      </c>
      <c r="AG583" s="60">
        <v>88.301540000000003</v>
      </c>
    </row>
    <row r="584" spans="30:33">
      <c r="AD584" s="14">
        <v>333.15</v>
      </c>
      <c r="AE584" s="77">
        <v>0.86499999999999999</v>
      </c>
      <c r="AF584" s="79">
        <v>115.28449999999999</v>
      </c>
      <c r="AG584" s="60">
        <v>87.897779999999997</v>
      </c>
    </row>
    <row r="585" spans="30:33">
      <c r="AD585" s="14">
        <v>333.15</v>
      </c>
      <c r="AE585" s="77">
        <v>0.87</v>
      </c>
      <c r="AF585" s="79">
        <v>114.0729</v>
      </c>
      <c r="AG585" s="60">
        <v>87.497500000000002</v>
      </c>
    </row>
    <row r="586" spans="30:33">
      <c r="AD586" s="14">
        <v>333.15</v>
      </c>
      <c r="AE586" s="77">
        <v>0.875</v>
      </c>
      <c r="AF586" s="79">
        <v>112.8511</v>
      </c>
      <c r="AG586" s="60">
        <v>87.100650000000002</v>
      </c>
    </row>
    <row r="587" spans="30:33">
      <c r="AD587" s="14">
        <v>333.15</v>
      </c>
      <c r="AE587" s="77">
        <v>0.88</v>
      </c>
      <c r="AF587" s="79">
        <v>111.6186</v>
      </c>
      <c r="AG587" s="60">
        <v>86.707189999999997</v>
      </c>
    </row>
    <row r="588" spans="30:33">
      <c r="AD588" s="14">
        <v>333.15</v>
      </c>
      <c r="AE588" s="77">
        <v>0.88500000000000001</v>
      </c>
      <c r="AF588" s="79">
        <v>110.3754</v>
      </c>
      <c r="AG588" s="60">
        <v>86.317089999999993</v>
      </c>
    </row>
    <row r="589" spans="30:33">
      <c r="AD589" s="14">
        <v>333.15</v>
      </c>
      <c r="AE589" s="77">
        <v>0.89</v>
      </c>
      <c r="AF589" s="79">
        <v>109.1212</v>
      </c>
      <c r="AG589" s="60">
        <v>85.930300000000003</v>
      </c>
    </row>
    <row r="590" spans="30:33">
      <c r="AD590" s="14">
        <v>333.15</v>
      </c>
      <c r="AE590" s="77">
        <v>0.89500000000000002</v>
      </c>
      <c r="AF590" s="79">
        <v>107.8558</v>
      </c>
      <c r="AG590" s="60">
        <v>85.546779999999998</v>
      </c>
    </row>
    <row r="591" spans="30:33">
      <c r="AD591" s="14">
        <v>333.15</v>
      </c>
      <c r="AE591" s="77">
        <v>0.9</v>
      </c>
      <c r="AF591" s="79">
        <v>106.5789</v>
      </c>
      <c r="AG591" s="60">
        <v>85.166499999999999</v>
      </c>
    </row>
    <row r="592" spans="30:33">
      <c r="AD592" s="14">
        <v>333.15</v>
      </c>
      <c r="AE592" s="77">
        <v>0.90500000000000003</v>
      </c>
      <c r="AF592" s="79">
        <v>105.2902</v>
      </c>
      <c r="AG592" s="60">
        <v>84.789410000000004</v>
      </c>
    </row>
    <row r="593" spans="30:33">
      <c r="AD593" s="14">
        <v>333.15</v>
      </c>
      <c r="AE593" s="77">
        <v>0.91</v>
      </c>
      <c r="AF593" s="79">
        <v>103.98950000000001</v>
      </c>
      <c r="AG593" s="60">
        <v>84.415469999999999</v>
      </c>
    </row>
    <row r="594" spans="30:33">
      <c r="AD594" s="14">
        <v>333.15</v>
      </c>
      <c r="AE594" s="77">
        <v>0.91500000000000004</v>
      </c>
      <c r="AF594" s="79">
        <v>102.67659999999999</v>
      </c>
      <c r="AG594" s="60">
        <v>84.044669999999996</v>
      </c>
    </row>
    <row r="595" spans="30:33">
      <c r="AD595" s="14">
        <v>333.15</v>
      </c>
      <c r="AE595" s="77">
        <v>0.92</v>
      </c>
      <c r="AF595" s="79">
        <v>101.3511</v>
      </c>
      <c r="AG595" s="60">
        <v>83.676940000000002</v>
      </c>
    </row>
    <row r="596" spans="30:33">
      <c r="AD596" s="14">
        <v>333.15</v>
      </c>
      <c r="AE596" s="77">
        <v>0.92500000000000004</v>
      </c>
      <c r="AF596" s="79">
        <v>100.0128</v>
      </c>
      <c r="AG596" s="60">
        <v>83.312269999999998</v>
      </c>
    </row>
    <row r="597" spans="30:33">
      <c r="AD597" s="14">
        <v>333.15</v>
      </c>
      <c r="AE597" s="77">
        <v>0.93</v>
      </c>
      <c r="AF597" s="75">
        <v>98.661420000000007</v>
      </c>
      <c r="AG597" s="60">
        <v>82.950609999999998</v>
      </c>
    </row>
    <row r="598" spans="30:33">
      <c r="AD598" s="14">
        <v>333.15</v>
      </c>
      <c r="AE598" s="77">
        <v>0.93500000000000005</v>
      </c>
      <c r="AF598" s="75">
        <v>97.296629999999993</v>
      </c>
      <c r="AG598" s="60">
        <v>82.591920000000002</v>
      </c>
    </row>
    <row r="599" spans="30:33">
      <c r="AD599" s="14">
        <v>333.15</v>
      </c>
      <c r="AE599" s="77">
        <v>0.94</v>
      </c>
      <c r="AF599" s="75">
        <v>95.918139999999994</v>
      </c>
      <c r="AG599" s="60">
        <v>82.236180000000004</v>
      </c>
    </row>
    <row r="600" spans="30:33">
      <c r="AD600" s="14">
        <v>333.15</v>
      </c>
      <c r="AE600" s="77">
        <v>0.94499999999999995</v>
      </c>
      <c r="AF600" s="75">
        <v>94.525639999999996</v>
      </c>
      <c r="AG600" s="60">
        <v>81.883349999999993</v>
      </c>
    </row>
    <row r="601" spans="30:33">
      <c r="AD601" s="14">
        <v>333.15</v>
      </c>
      <c r="AE601" s="77">
        <v>0.95</v>
      </c>
      <c r="AF601" s="75">
        <v>93.118809999999996</v>
      </c>
      <c r="AG601" s="60">
        <v>81.533389999999997</v>
      </c>
    </row>
    <row r="602" spans="30:33">
      <c r="AD602" s="14">
        <v>333.15</v>
      </c>
      <c r="AE602" s="77">
        <v>0.95499999999999996</v>
      </c>
      <c r="AF602" s="75">
        <v>91.697320000000005</v>
      </c>
      <c r="AG602" s="60">
        <v>81.186269999999993</v>
      </c>
    </row>
    <row r="603" spans="30:33">
      <c r="AD603" s="14">
        <v>333.15</v>
      </c>
      <c r="AE603" s="77">
        <v>0.96</v>
      </c>
      <c r="AF603" s="75">
        <v>90.260819999999995</v>
      </c>
      <c r="AG603" s="60">
        <v>80.841970000000003</v>
      </c>
    </row>
    <row r="604" spans="30:33">
      <c r="AD604" s="14">
        <v>333.15</v>
      </c>
      <c r="AE604" s="77">
        <v>0.96499999999999997</v>
      </c>
      <c r="AF604" s="75">
        <v>88.808980000000005</v>
      </c>
      <c r="AG604" s="60">
        <v>80.500439999999998</v>
      </c>
    </row>
    <row r="605" spans="30:33">
      <c r="AD605" s="14">
        <v>333.15</v>
      </c>
      <c r="AE605" s="77">
        <v>0.97</v>
      </c>
      <c r="AF605" s="75">
        <v>87.341430000000003</v>
      </c>
      <c r="AG605" s="60">
        <v>80.161659999999998</v>
      </c>
    </row>
    <row r="606" spans="30:33">
      <c r="AD606" s="14">
        <v>333.15</v>
      </c>
      <c r="AE606" s="77">
        <v>0.97499999999999998</v>
      </c>
      <c r="AF606" s="75">
        <v>85.857810000000001</v>
      </c>
      <c r="AG606" s="60">
        <v>79.825580000000002</v>
      </c>
    </row>
    <row r="607" spans="30:33">
      <c r="AD607" s="14">
        <v>333.15</v>
      </c>
      <c r="AE607" s="77">
        <v>0.98</v>
      </c>
      <c r="AF607" s="75">
        <v>84.357740000000007</v>
      </c>
      <c r="AG607" s="60">
        <v>79.492199999999997</v>
      </c>
    </row>
    <row r="608" spans="30:33">
      <c r="AD608" s="14">
        <v>333.15</v>
      </c>
      <c r="AE608" s="77">
        <v>0.98499999999999999</v>
      </c>
      <c r="AF608" s="75">
        <v>82.840810000000005</v>
      </c>
      <c r="AG608" s="60">
        <v>79.161469999999994</v>
      </c>
    </row>
    <row r="609" spans="30:33">
      <c r="AD609" s="14">
        <v>333.15</v>
      </c>
      <c r="AE609" s="77">
        <v>0.99</v>
      </c>
      <c r="AF609" s="75">
        <v>81.306640000000002</v>
      </c>
      <c r="AG609" s="60">
        <v>78.833359999999999</v>
      </c>
    </row>
    <row r="610" spans="30:33">
      <c r="AD610" s="14">
        <v>333.15</v>
      </c>
      <c r="AE610" s="77">
        <v>0.995</v>
      </c>
      <c r="AF610" s="75">
        <v>79.754810000000006</v>
      </c>
      <c r="AG610" s="60">
        <v>78.507840000000002</v>
      </c>
    </row>
    <row r="611" spans="30:33" ht="15" thickBot="1">
      <c r="AD611" s="29">
        <v>333.15</v>
      </c>
      <c r="AE611" s="80">
        <v>1</v>
      </c>
      <c r="AF611" s="81">
        <v>78.184889999999996</v>
      </c>
      <c r="AG611" s="82">
        <v>78.184889999999996</v>
      </c>
    </row>
  </sheetData>
  <mergeCells count="37">
    <mergeCell ref="AI4:AW4"/>
    <mergeCell ref="AI3:AW3"/>
    <mergeCell ref="AI2:AW2"/>
    <mergeCell ref="AI7:AN7"/>
    <mergeCell ref="AI5:AN6"/>
    <mergeCell ref="AO7:AQ7"/>
    <mergeCell ref="AR7:AT7"/>
    <mergeCell ref="AU7:AW7"/>
    <mergeCell ref="AO5:AW6"/>
    <mergeCell ref="B5:G5"/>
    <mergeCell ref="B4:P4"/>
    <mergeCell ref="B3:Y3"/>
    <mergeCell ref="B2:Y2"/>
    <mergeCell ref="B6:D7"/>
    <mergeCell ref="E6:G7"/>
    <mergeCell ref="Q4:Y4"/>
    <mergeCell ref="Q5:S7"/>
    <mergeCell ref="T5:V7"/>
    <mergeCell ref="W5:Y7"/>
    <mergeCell ref="H5:J5"/>
    <mergeCell ref="K5:P5"/>
    <mergeCell ref="H6:J7"/>
    <mergeCell ref="K6:M7"/>
    <mergeCell ref="N6:P7"/>
    <mergeCell ref="AA5:AC5"/>
    <mergeCell ref="AD5:AG7"/>
    <mergeCell ref="AA4:AG4"/>
    <mergeCell ref="AA3:AG3"/>
    <mergeCell ref="AA2:AG2"/>
    <mergeCell ref="AA6:AC7"/>
    <mergeCell ref="AY7:AZ7"/>
    <mergeCell ref="AY6:AZ6"/>
    <mergeCell ref="AY5:BB5"/>
    <mergeCell ref="AY2:BB2"/>
    <mergeCell ref="AY3:BB3"/>
    <mergeCell ref="AY4:BB4"/>
    <mergeCell ref="BA6:BB7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54383-25FF-4EDF-B57D-5C027D142B93}">
  <sheetPr codeName="Sheet12">
    <pageSetUpPr autoPageBreaks="0"/>
  </sheetPr>
  <dimension ref="B1:CO479"/>
  <sheetViews>
    <sheetView topLeftCell="BT1" zoomScale="85" zoomScaleNormal="85" workbookViewId="0">
      <selection activeCell="CD8" sqref="CD8:CG22"/>
    </sheetView>
  </sheetViews>
  <sheetFormatPr defaultRowHeight="14.5"/>
  <cols>
    <col min="1" max="1" width="8.7265625" style="1"/>
    <col min="2" max="40" width="9.26953125" style="1" customWidth="1"/>
    <col min="41" max="41" width="11.36328125" style="1" bestFit="1" customWidth="1"/>
    <col min="42" max="42" width="9.36328125" style="1" bestFit="1" customWidth="1"/>
    <col min="43" max="44" width="10.36328125" style="1" bestFit="1" customWidth="1"/>
    <col min="45" max="45" width="9.36328125" style="1" bestFit="1" customWidth="1"/>
    <col min="46" max="47" width="8.7265625" style="1"/>
    <col min="48" max="49" width="9.36328125" style="1" bestFit="1" customWidth="1"/>
    <col min="50" max="50" width="8.7265625" style="1"/>
    <col min="51" max="51" width="9.36328125" style="1" bestFit="1" customWidth="1"/>
    <col min="52" max="52" width="8.7265625" style="1"/>
    <col min="53" max="54" width="9.36328125" style="1" bestFit="1" customWidth="1"/>
    <col min="55" max="55" width="8.7265625" style="1"/>
    <col min="56" max="56" width="11.36328125" style="1" bestFit="1" customWidth="1"/>
    <col min="57" max="57" width="9.36328125" style="1" bestFit="1" customWidth="1"/>
    <col min="58" max="59" width="8.7265625" style="1"/>
    <col min="60" max="60" width="9.36328125" style="1" bestFit="1" customWidth="1"/>
    <col min="61" max="62" width="8.7265625" style="1"/>
    <col min="63" max="63" width="9.36328125" style="1" bestFit="1" customWidth="1"/>
    <col min="64" max="65" width="8.7265625" style="1"/>
    <col min="66" max="83" width="17.7265625" style="1" customWidth="1"/>
    <col min="84" max="93" width="17.90625" style="1" customWidth="1"/>
    <col min="94" max="16384" width="8.7265625" style="1"/>
  </cols>
  <sheetData>
    <row r="1" spans="2:93" ht="15" thickBot="1"/>
    <row r="2" spans="2:93">
      <c r="B2" s="227" t="s">
        <v>444</v>
      </c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8"/>
      <c r="U2" s="228"/>
      <c r="V2" s="228"/>
      <c r="W2" s="228"/>
      <c r="X2" s="228"/>
      <c r="Y2" s="228"/>
      <c r="Z2" s="228"/>
      <c r="AA2" s="228"/>
      <c r="AB2" s="228"/>
      <c r="AC2" s="228"/>
      <c r="AD2" s="228"/>
      <c r="AE2" s="228"/>
      <c r="AF2" s="228"/>
      <c r="AG2" s="228"/>
      <c r="AH2" s="228"/>
      <c r="AI2" s="228"/>
      <c r="AJ2" s="228"/>
      <c r="AK2" s="228"/>
      <c r="AL2" s="228"/>
      <c r="AM2" s="228"/>
      <c r="AN2" s="228"/>
      <c r="AO2" s="228"/>
      <c r="AP2" s="228"/>
      <c r="AQ2" s="228"/>
      <c r="AR2" s="228"/>
      <c r="AS2" s="228"/>
      <c r="AT2" s="228"/>
      <c r="AU2" s="228"/>
      <c r="AV2" s="228"/>
      <c r="AW2" s="228"/>
      <c r="AX2" s="228"/>
      <c r="AY2" s="228"/>
      <c r="AZ2" s="228"/>
      <c r="BA2" s="228"/>
      <c r="BB2" s="228"/>
      <c r="BC2" s="228"/>
      <c r="BD2" s="228"/>
      <c r="BE2" s="228"/>
      <c r="BF2" s="228"/>
      <c r="BG2" s="228"/>
      <c r="BH2" s="228"/>
      <c r="BI2" s="228"/>
      <c r="BJ2" s="228"/>
      <c r="BK2" s="228"/>
      <c r="BL2" s="229"/>
      <c r="BN2" s="227" t="s">
        <v>465</v>
      </c>
      <c r="BO2" s="228"/>
      <c r="BP2" s="228"/>
      <c r="BQ2" s="228"/>
      <c r="BR2" s="228"/>
      <c r="BS2" s="228"/>
      <c r="BT2" s="228"/>
      <c r="BU2" s="228"/>
      <c r="BV2" s="228"/>
      <c r="BW2" s="228"/>
      <c r="BX2" s="228"/>
      <c r="BY2" s="228"/>
      <c r="BZ2" s="228"/>
      <c r="CA2" s="228"/>
      <c r="CB2" s="228"/>
      <c r="CC2" s="228"/>
      <c r="CD2" s="228"/>
      <c r="CE2" s="228"/>
      <c r="CF2" s="228"/>
      <c r="CG2" s="228"/>
      <c r="CH2" s="228"/>
      <c r="CI2" s="228"/>
      <c r="CJ2" s="228"/>
      <c r="CK2" s="228"/>
      <c r="CL2" s="228"/>
      <c r="CM2" s="228"/>
      <c r="CN2" s="228"/>
      <c r="CO2" s="229"/>
    </row>
    <row r="3" spans="2:93" ht="15" thickBot="1">
      <c r="B3" s="230" t="s">
        <v>416</v>
      </c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  <c r="W3" s="231"/>
      <c r="X3" s="231"/>
      <c r="Y3" s="231"/>
      <c r="Z3" s="231"/>
      <c r="AA3" s="231"/>
      <c r="AB3" s="231"/>
      <c r="AC3" s="231"/>
      <c r="AD3" s="231"/>
      <c r="AE3" s="231"/>
      <c r="AF3" s="231"/>
      <c r="AG3" s="231"/>
      <c r="AH3" s="231"/>
      <c r="AI3" s="231"/>
      <c r="AJ3" s="231"/>
      <c r="AK3" s="231"/>
      <c r="AL3" s="231"/>
      <c r="AM3" s="231"/>
      <c r="AN3" s="231"/>
      <c r="AO3" s="231"/>
      <c r="AP3" s="231"/>
      <c r="AQ3" s="231"/>
      <c r="AR3" s="231"/>
      <c r="AS3" s="231"/>
      <c r="AT3" s="231"/>
      <c r="AU3" s="231"/>
      <c r="AV3" s="231"/>
      <c r="AW3" s="231"/>
      <c r="AX3" s="231"/>
      <c r="AY3" s="231"/>
      <c r="AZ3" s="231"/>
      <c r="BA3" s="231"/>
      <c r="BB3" s="231"/>
      <c r="BC3" s="231"/>
      <c r="BD3" s="231"/>
      <c r="BE3" s="231"/>
      <c r="BF3" s="231"/>
      <c r="BG3" s="231"/>
      <c r="BH3" s="231"/>
      <c r="BI3" s="231"/>
      <c r="BJ3" s="231"/>
      <c r="BK3" s="231"/>
      <c r="BL3" s="232"/>
      <c r="BN3" s="230" t="s">
        <v>468</v>
      </c>
      <c r="BO3" s="231"/>
      <c r="BP3" s="231"/>
      <c r="BQ3" s="231"/>
      <c r="BR3" s="231"/>
      <c r="BS3" s="231"/>
      <c r="BT3" s="231"/>
      <c r="BU3" s="231"/>
      <c r="BV3" s="231"/>
      <c r="BW3" s="231"/>
      <c r="BX3" s="231"/>
      <c r="BY3" s="231"/>
      <c r="BZ3" s="231"/>
      <c r="CA3" s="231"/>
      <c r="CB3" s="231"/>
      <c r="CC3" s="231"/>
      <c r="CD3" s="231"/>
      <c r="CE3" s="231"/>
      <c r="CF3" s="231"/>
      <c r="CG3" s="231"/>
      <c r="CH3" s="231"/>
      <c r="CI3" s="231"/>
      <c r="CJ3" s="231"/>
      <c r="CK3" s="231"/>
      <c r="CL3" s="231"/>
      <c r="CM3" s="231"/>
      <c r="CN3" s="231"/>
      <c r="CO3" s="232"/>
    </row>
    <row r="4" spans="2:93" ht="15" thickBot="1">
      <c r="B4" s="280" t="s">
        <v>397</v>
      </c>
      <c r="C4" s="281"/>
      <c r="D4" s="281"/>
      <c r="E4" s="281"/>
      <c r="F4" s="281"/>
      <c r="G4" s="281"/>
      <c r="H4" s="281"/>
      <c r="I4" s="281"/>
      <c r="J4" s="281"/>
      <c r="K4" s="281"/>
      <c r="L4" s="281"/>
      <c r="M4" s="281"/>
      <c r="N4" s="281"/>
      <c r="O4" s="281"/>
      <c r="P4" s="281"/>
      <c r="Q4" s="281"/>
      <c r="R4" s="281"/>
      <c r="S4" s="281"/>
      <c r="T4" s="281"/>
      <c r="U4" s="281"/>
      <c r="V4" s="281"/>
      <c r="W4" s="281"/>
      <c r="X4" s="281"/>
      <c r="Y4" s="281"/>
      <c r="Z4" s="281"/>
      <c r="AA4" s="281"/>
      <c r="AB4" s="281"/>
      <c r="AC4" s="281"/>
      <c r="AD4" s="281"/>
      <c r="AE4" s="281"/>
      <c r="AF4" s="281"/>
      <c r="AG4" s="281"/>
      <c r="AH4" s="281"/>
      <c r="AI4" s="281"/>
      <c r="AJ4" s="281"/>
      <c r="AK4" s="281"/>
      <c r="AL4" s="281"/>
      <c r="AM4" s="281"/>
      <c r="AN4" s="282"/>
      <c r="AO4" s="277" t="s">
        <v>408</v>
      </c>
      <c r="AP4" s="278"/>
      <c r="AQ4" s="278"/>
      <c r="AR4" s="278"/>
      <c r="AS4" s="278"/>
      <c r="AT4" s="278"/>
      <c r="AU4" s="278"/>
      <c r="AV4" s="278"/>
      <c r="AW4" s="278"/>
      <c r="AX4" s="278"/>
      <c r="AY4" s="278"/>
      <c r="AZ4" s="278"/>
      <c r="BA4" s="278"/>
      <c r="BB4" s="278"/>
      <c r="BC4" s="278"/>
      <c r="BD4" s="278"/>
      <c r="BE4" s="278"/>
      <c r="BF4" s="278"/>
      <c r="BG4" s="278"/>
      <c r="BH4" s="278"/>
      <c r="BI4" s="278"/>
      <c r="BJ4" s="278"/>
      <c r="BK4" s="278"/>
      <c r="BL4" s="279"/>
      <c r="BN4" s="280" t="s">
        <v>397</v>
      </c>
      <c r="BO4" s="281"/>
      <c r="BP4" s="281"/>
      <c r="BQ4" s="281"/>
      <c r="BR4" s="281"/>
      <c r="BS4" s="281"/>
      <c r="BT4" s="281"/>
      <c r="BU4" s="281"/>
      <c r="BV4" s="281"/>
      <c r="BW4" s="281"/>
      <c r="BX4" s="281"/>
      <c r="BY4" s="281"/>
      <c r="BZ4" s="281"/>
      <c r="CA4" s="281"/>
      <c r="CB4" s="281"/>
      <c r="CC4" s="281"/>
      <c r="CD4" s="281"/>
      <c r="CE4" s="281"/>
      <c r="CF4" s="281"/>
      <c r="CG4" s="282"/>
      <c r="CH4" s="277" t="s">
        <v>408</v>
      </c>
      <c r="CI4" s="278"/>
      <c r="CJ4" s="278"/>
      <c r="CK4" s="278"/>
      <c r="CL4" s="278"/>
      <c r="CM4" s="278"/>
      <c r="CN4" s="278"/>
      <c r="CO4" s="279"/>
    </row>
    <row r="5" spans="2:93" ht="15" thickBot="1">
      <c r="B5" s="242" t="s">
        <v>445</v>
      </c>
      <c r="C5" s="243"/>
      <c r="D5" s="243"/>
      <c r="E5" s="243"/>
      <c r="F5" s="243"/>
      <c r="G5" s="244"/>
      <c r="H5" s="242" t="s">
        <v>450</v>
      </c>
      <c r="I5" s="243"/>
      <c r="J5" s="243"/>
      <c r="K5" s="243"/>
      <c r="L5" s="243"/>
      <c r="M5" s="244"/>
      <c r="N5" s="242" t="s">
        <v>453</v>
      </c>
      <c r="O5" s="243"/>
      <c r="P5" s="243"/>
      <c r="Q5" s="243"/>
      <c r="R5" s="243"/>
      <c r="S5" s="244"/>
      <c r="T5" s="242" t="s">
        <v>455</v>
      </c>
      <c r="U5" s="243"/>
      <c r="V5" s="243"/>
      <c r="W5" s="243"/>
      <c r="X5" s="243"/>
      <c r="Y5" s="244"/>
      <c r="Z5" s="242" t="s">
        <v>458</v>
      </c>
      <c r="AA5" s="243"/>
      <c r="AB5" s="244"/>
      <c r="AC5" s="242" t="s">
        <v>460</v>
      </c>
      <c r="AD5" s="243"/>
      <c r="AE5" s="243"/>
      <c r="AF5" s="243"/>
      <c r="AG5" s="243"/>
      <c r="AH5" s="244"/>
      <c r="AI5" s="242" t="s">
        <v>462</v>
      </c>
      <c r="AJ5" s="243"/>
      <c r="AK5" s="244"/>
      <c r="AL5" s="242" t="s">
        <v>464</v>
      </c>
      <c r="AM5" s="243"/>
      <c r="AN5" s="244"/>
      <c r="AO5" s="238" t="s">
        <v>445</v>
      </c>
      <c r="AP5" s="248"/>
      <c r="AQ5" s="239"/>
      <c r="AR5" s="238" t="s">
        <v>450</v>
      </c>
      <c r="AS5" s="248"/>
      <c r="AT5" s="239"/>
      <c r="AU5" s="238" t="s">
        <v>453</v>
      </c>
      <c r="AV5" s="248"/>
      <c r="AW5" s="239"/>
      <c r="AX5" s="238" t="s">
        <v>455</v>
      </c>
      <c r="AY5" s="248"/>
      <c r="AZ5" s="239"/>
      <c r="BA5" s="238" t="s">
        <v>458</v>
      </c>
      <c r="BB5" s="248"/>
      <c r="BC5" s="239"/>
      <c r="BD5" s="238" t="s">
        <v>460</v>
      </c>
      <c r="BE5" s="248"/>
      <c r="BF5" s="239"/>
      <c r="BG5" s="238" t="s">
        <v>462</v>
      </c>
      <c r="BH5" s="248"/>
      <c r="BI5" s="239"/>
      <c r="BJ5" s="238" t="s">
        <v>464</v>
      </c>
      <c r="BK5" s="248"/>
      <c r="BL5" s="239"/>
      <c r="BN5" s="242" t="s">
        <v>445</v>
      </c>
      <c r="BO5" s="243"/>
      <c r="BP5" s="243"/>
      <c r="BQ5" s="244"/>
      <c r="BR5" s="242" t="s">
        <v>450</v>
      </c>
      <c r="BS5" s="243"/>
      <c r="BT5" s="243"/>
      <c r="BU5" s="243"/>
      <c r="BV5" s="243"/>
      <c r="BW5" s="244"/>
      <c r="BX5" s="242" t="s">
        <v>460</v>
      </c>
      <c r="BY5" s="243"/>
      <c r="BZ5" s="243"/>
      <c r="CA5" s="243"/>
      <c r="CB5" s="243"/>
      <c r="CC5" s="243"/>
      <c r="CD5" s="243"/>
      <c r="CE5" s="244"/>
      <c r="CF5" s="242" t="s">
        <v>469</v>
      </c>
      <c r="CG5" s="243"/>
      <c r="CH5" s="238" t="s">
        <v>445</v>
      </c>
      <c r="CI5" s="248"/>
      <c r="CJ5" s="248" t="s">
        <v>450</v>
      </c>
      <c r="CK5" s="248"/>
      <c r="CL5" s="248" t="s">
        <v>460</v>
      </c>
      <c r="CM5" s="248"/>
      <c r="CN5" s="248" t="s">
        <v>469</v>
      </c>
      <c r="CO5" s="248"/>
    </row>
    <row r="6" spans="2:93" ht="15" thickBot="1">
      <c r="B6" s="245" t="s">
        <v>448</v>
      </c>
      <c r="C6" s="246"/>
      <c r="D6" s="247"/>
      <c r="E6" s="245" t="s">
        <v>449</v>
      </c>
      <c r="F6" s="246"/>
      <c r="G6" s="247"/>
      <c r="H6" s="245" t="s">
        <v>451</v>
      </c>
      <c r="I6" s="246"/>
      <c r="J6" s="247"/>
      <c r="K6" s="245" t="s">
        <v>452</v>
      </c>
      <c r="L6" s="246"/>
      <c r="M6" s="247"/>
      <c r="N6" s="245" t="s">
        <v>452</v>
      </c>
      <c r="O6" s="246"/>
      <c r="P6" s="247"/>
      <c r="Q6" s="245" t="s">
        <v>454</v>
      </c>
      <c r="R6" s="246"/>
      <c r="S6" s="247"/>
      <c r="T6" s="245" t="s">
        <v>456</v>
      </c>
      <c r="U6" s="246"/>
      <c r="V6" s="247"/>
      <c r="W6" s="245" t="s">
        <v>457</v>
      </c>
      <c r="X6" s="246"/>
      <c r="Y6" s="247"/>
      <c r="Z6" s="245" t="s">
        <v>459</v>
      </c>
      <c r="AA6" s="246"/>
      <c r="AB6" s="247"/>
      <c r="AC6" s="245" t="s">
        <v>451</v>
      </c>
      <c r="AD6" s="246"/>
      <c r="AE6" s="247"/>
      <c r="AF6" s="245" t="s">
        <v>461</v>
      </c>
      <c r="AG6" s="246"/>
      <c r="AH6" s="247"/>
      <c r="AI6" s="245" t="s">
        <v>454</v>
      </c>
      <c r="AJ6" s="246"/>
      <c r="AK6" s="247"/>
      <c r="AL6" s="245" t="s">
        <v>463</v>
      </c>
      <c r="AM6" s="246"/>
      <c r="AN6" s="247"/>
      <c r="AO6" s="250"/>
      <c r="AP6" s="251"/>
      <c r="AQ6" s="252"/>
      <c r="AR6" s="250"/>
      <c r="AS6" s="251"/>
      <c r="AT6" s="252"/>
      <c r="AU6" s="250"/>
      <c r="AV6" s="251"/>
      <c r="AW6" s="252"/>
      <c r="AX6" s="250"/>
      <c r="AY6" s="251"/>
      <c r="AZ6" s="252"/>
      <c r="BA6" s="250"/>
      <c r="BB6" s="251"/>
      <c r="BC6" s="252"/>
      <c r="BD6" s="250"/>
      <c r="BE6" s="251"/>
      <c r="BF6" s="252"/>
      <c r="BG6" s="250"/>
      <c r="BH6" s="251"/>
      <c r="BI6" s="252"/>
      <c r="BJ6" s="250"/>
      <c r="BK6" s="251"/>
      <c r="BL6" s="252"/>
      <c r="BN6" s="245" t="s">
        <v>470</v>
      </c>
      <c r="BO6" s="247"/>
      <c r="BP6" s="245" t="s">
        <v>471</v>
      </c>
      <c r="BQ6" s="247"/>
      <c r="BR6" s="245" t="s">
        <v>472</v>
      </c>
      <c r="BS6" s="247"/>
      <c r="BT6" s="245" t="s">
        <v>473</v>
      </c>
      <c r="BU6" s="247"/>
      <c r="BV6" s="245" t="s">
        <v>474</v>
      </c>
      <c r="BW6" s="247"/>
      <c r="BX6" s="245" t="s">
        <v>475</v>
      </c>
      <c r="BY6" s="247"/>
      <c r="BZ6" s="245" t="s">
        <v>476</v>
      </c>
      <c r="CA6" s="247"/>
      <c r="CB6" s="245" t="s">
        <v>477</v>
      </c>
      <c r="CC6" s="247"/>
      <c r="CD6" s="245" t="s">
        <v>478</v>
      </c>
      <c r="CE6" s="247"/>
      <c r="CF6" s="245" t="s">
        <v>479</v>
      </c>
      <c r="CG6" s="247"/>
      <c r="CH6" s="250"/>
      <c r="CI6" s="251"/>
      <c r="CJ6" s="251"/>
      <c r="CK6" s="251"/>
      <c r="CL6" s="251"/>
      <c r="CM6" s="251"/>
      <c r="CN6" s="251"/>
      <c r="CO6" s="251"/>
    </row>
    <row r="7" spans="2:93" ht="16.5">
      <c r="B7" s="31" t="s">
        <v>446</v>
      </c>
      <c r="C7" s="40" t="s">
        <v>417</v>
      </c>
      <c r="D7" s="40" t="s">
        <v>447</v>
      </c>
      <c r="E7" s="31" t="s">
        <v>446</v>
      </c>
      <c r="F7" s="40" t="s">
        <v>417</v>
      </c>
      <c r="G7" s="41" t="s">
        <v>447</v>
      </c>
      <c r="H7" s="31" t="s">
        <v>446</v>
      </c>
      <c r="I7" s="40" t="s">
        <v>417</v>
      </c>
      <c r="J7" s="40" t="s">
        <v>447</v>
      </c>
      <c r="K7" s="31" t="s">
        <v>446</v>
      </c>
      <c r="L7" s="40" t="s">
        <v>417</v>
      </c>
      <c r="M7" s="41" t="s">
        <v>447</v>
      </c>
      <c r="N7" s="31" t="s">
        <v>446</v>
      </c>
      <c r="O7" s="40" t="s">
        <v>417</v>
      </c>
      <c r="P7" s="40" t="s">
        <v>447</v>
      </c>
      <c r="Q7" s="31" t="s">
        <v>446</v>
      </c>
      <c r="R7" s="40" t="s">
        <v>417</v>
      </c>
      <c r="S7" s="41" t="s">
        <v>447</v>
      </c>
      <c r="T7" s="31" t="s">
        <v>446</v>
      </c>
      <c r="U7" s="40" t="s">
        <v>417</v>
      </c>
      <c r="V7" s="40" t="s">
        <v>447</v>
      </c>
      <c r="W7" s="31" t="s">
        <v>446</v>
      </c>
      <c r="X7" s="40" t="s">
        <v>417</v>
      </c>
      <c r="Y7" s="41" t="s">
        <v>447</v>
      </c>
      <c r="Z7" s="31" t="s">
        <v>446</v>
      </c>
      <c r="AA7" s="40" t="s">
        <v>417</v>
      </c>
      <c r="AB7" s="40" t="s">
        <v>447</v>
      </c>
      <c r="AC7" s="31" t="s">
        <v>446</v>
      </c>
      <c r="AD7" s="40" t="s">
        <v>417</v>
      </c>
      <c r="AE7" s="41" t="s">
        <v>447</v>
      </c>
      <c r="AF7" s="31" t="s">
        <v>446</v>
      </c>
      <c r="AG7" s="40" t="s">
        <v>417</v>
      </c>
      <c r="AH7" s="40" t="s">
        <v>447</v>
      </c>
      <c r="AI7" s="31" t="s">
        <v>446</v>
      </c>
      <c r="AJ7" s="40" t="s">
        <v>417</v>
      </c>
      <c r="AK7" s="41" t="s">
        <v>447</v>
      </c>
      <c r="AL7" s="31" t="s">
        <v>446</v>
      </c>
      <c r="AM7" s="40" t="s">
        <v>417</v>
      </c>
      <c r="AN7" s="40" t="s">
        <v>447</v>
      </c>
      <c r="AO7" s="35" t="s">
        <v>446</v>
      </c>
      <c r="AP7" s="51" t="s">
        <v>417</v>
      </c>
      <c r="AQ7" s="52" t="s">
        <v>447</v>
      </c>
      <c r="AR7" s="35" t="s">
        <v>446</v>
      </c>
      <c r="AS7" s="51" t="s">
        <v>417</v>
      </c>
      <c r="AT7" s="52" t="s">
        <v>447</v>
      </c>
      <c r="AU7" s="35" t="s">
        <v>446</v>
      </c>
      <c r="AV7" s="51" t="s">
        <v>417</v>
      </c>
      <c r="AW7" s="52" t="s">
        <v>447</v>
      </c>
      <c r="AX7" s="35" t="s">
        <v>446</v>
      </c>
      <c r="AY7" s="51" t="s">
        <v>417</v>
      </c>
      <c r="AZ7" s="52" t="s">
        <v>447</v>
      </c>
      <c r="BA7" s="35" t="s">
        <v>446</v>
      </c>
      <c r="BB7" s="51" t="s">
        <v>417</v>
      </c>
      <c r="BC7" s="51" t="s">
        <v>447</v>
      </c>
      <c r="BD7" s="35" t="s">
        <v>446</v>
      </c>
      <c r="BE7" s="51" t="s">
        <v>417</v>
      </c>
      <c r="BF7" s="52" t="s">
        <v>447</v>
      </c>
      <c r="BG7" s="35" t="s">
        <v>446</v>
      </c>
      <c r="BH7" s="51" t="s">
        <v>417</v>
      </c>
      <c r="BI7" s="52" t="s">
        <v>447</v>
      </c>
      <c r="BJ7" s="35" t="s">
        <v>446</v>
      </c>
      <c r="BK7" s="51" t="s">
        <v>417</v>
      </c>
      <c r="BL7" s="52" t="s">
        <v>447</v>
      </c>
      <c r="BN7" s="65" t="s">
        <v>466</v>
      </c>
      <c r="BO7" s="113" t="s">
        <v>467</v>
      </c>
      <c r="BP7" s="65" t="s">
        <v>466</v>
      </c>
      <c r="BQ7" s="113" t="s">
        <v>467</v>
      </c>
      <c r="BR7" s="65" t="s">
        <v>466</v>
      </c>
      <c r="BS7" s="113" t="s">
        <v>467</v>
      </c>
      <c r="BT7" s="65" t="s">
        <v>466</v>
      </c>
      <c r="BU7" s="113" t="s">
        <v>467</v>
      </c>
      <c r="BV7" s="65" t="s">
        <v>466</v>
      </c>
      <c r="BW7" s="113" t="s">
        <v>467</v>
      </c>
      <c r="BX7" s="65" t="s">
        <v>466</v>
      </c>
      <c r="BY7" s="113" t="s">
        <v>467</v>
      </c>
      <c r="BZ7" s="65" t="s">
        <v>466</v>
      </c>
      <c r="CA7" s="113" t="s">
        <v>467</v>
      </c>
      <c r="CB7" s="65" t="s">
        <v>466</v>
      </c>
      <c r="CC7" s="113" t="s">
        <v>467</v>
      </c>
      <c r="CD7" s="65" t="s">
        <v>466</v>
      </c>
      <c r="CE7" s="113" t="s">
        <v>467</v>
      </c>
      <c r="CF7" s="65" t="s">
        <v>466</v>
      </c>
      <c r="CG7" s="118" t="s">
        <v>467</v>
      </c>
      <c r="CH7" s="74" t="s">
        <v>466</v>
      </c>
      <c r="CI7" s="119" t="s">
        <v>467</v>
      </c>
      <c r="CJ7" s="74" t="s">
        <v>466</v>
      </c>
      <c r="CK7" s="119" t="s">
        <v>467</v>
      </c>
      <c r="CL7" s="74" t="s">
        <v>466</v>
      </c>
      <c r="CM7" s="119" t="s">
        <v>467</v>
      </c>
      <c r="CN7" s="74" t="s">
        <v>466</v>
      </c>
      <c r="CO7" s="119" t="s">
        <v>467</v>
      </c>
    </row>
    <row r="8" spans="2:93" ht="15" thickBot="1">
      <c r="B8" s="42"/>
      <c r="C8" s="43"/>
      <c r="D8" s="72"/>
      <c r="E8" s="42"/>
      <c r="F8" s="43"/>
      <c r="G8" s="92"/>
      <c r="H8" s="5"/>
      <c r="I8" s="43"/>
      <c r="J8" s="12"/>
      <c r="K8" s="42"/>
      <c r="L8" s="43"/>
      <c r="M8" s="92"/>
      <c r="N8" s="42"/>
      <c r="O8" s="43"/>
      <c r="P8" s="68"/>
      <c r="Q8" s="42"/>
      <c r="R8" s="43"/>
      <c r="S8" s="66"/>
      <c r="T8" s="23"/>
      <c r="U8" s="47"/>
      <c r="V8" s="33"/>
      <c r="W8" s="42"/>
      <c r="X8" s="43"/>
      <c r="Y8" s="44"/>
      <c r="Z8" s="42"/>
      <c r="AA8" s="43"/>
      <c r="AB8" s="72"/>
      <c r="AC8" s="42"/>
      <c r="AD8" s="43"/>
      <c r="AE8" s="8"/>
      <c r="AF8" s="5"/>
      <c r="AG8" s="43"/>
      <c r="AH8" s="71"/>
      <c r="AI8" s="42"/>
      <c r="AJ8" s="43"/>
      <c r="AK8" s="44"/>
      <c r="AL8" s="42"/>
      <c r="AM8" s="43"/>
      <c r="AN8" s="72"/>
      <c r="AO8" s="53">
        <v>265</v>
      </c>
      <c r="AP8" s="54">
        <v>3.7735799999999999E-3</v>
      </c>
      <c r="AQ8" s="94">
        <v>1.0514045999999999</v>
      </c>
      <c r="AR8" s="53">
        <v>272</v>
      </c>
      <c r="AS8" s="54">
        <v>3.6764710000000002E-3</v>
      </c>
      <c r="AT8" s="94">
        <v>1.0892269999999999</v>
      </c>
      <c r="AU8" s="53">
        <v>280</v>
      </c>
      <c r="AV8" s="54">
        <v>3.57143E-3</v>
      </c>
      <c r="AW8" s="94">
        <v>1.073787</v>
      </c>
      <c r="AX8" s="95">
        <v>289</v>
      </c>
      <c r="AY8" s="54">
        <f t="shared" ref="AY8:AY53" si="0">1/AX8</f>
        <v>3.4602076124567475E-3</v>
      </c>
      <c r="AZ8" s="96">
        <v>1.0975881999999999</v>
      </c>
      <c r="BA8" s="95">
        <v>298</v>
      </c>
      <c r="BB8" s="97">
        <v>3.3557046979865771E-3</v>
      </c>
      <c r="BC8" s="106">
        <v>1.0941303</v>
      </c>
      <c r="BD8" s="53">
        <v>280</v>
      </c>
      <c r="BE8" s="54">
        <v>3.571E-3</v>
      </c>
      <c r="BF8" s="15">
        <v>2.4462999999999999</v>
      </c>
      <c r="BG8" s="53">
        <v>298</v>
      </c>
      <c r="BH8" s="54">
        <v>3.356E-3</v>
      </c>
      <c r="BI8" s="61">
        <v>1.0941000000000001</v>
      </c>
      <c r="BJ8" s="53">
        <v>298</v>
      </c>
      <c r="BK8" s="54">
        <v>3.356E-3</v>
      </c>
      <c r="BL8" s="61">
        <v>1.0941000000000001</v>
      </c>
      <c r="BN8" s="5"/>
      <c r="BO8" s="6"/>
      <c r="BP8" s="114"/>
      <c r="BQ8" s="115"/>
      <c r="BR8" s="23"/>
      <c r="BS8" s="26"/>
      <c r="BT8" s="5"/>
      <c r="BU8" s="6"/>
      <c r="BV8" s="5"/>
      <c r="BW8" s="6"/>
      <c r="BX8" s="5"/>
      <c r="BY8" s="6"/>
      <c r="BZ8" s="5"/>
      <c r="CA8" s="6"/>
      <c r="CB8" s="5"/>
      <c r="CC8" s="6"/>
      <c r="CD8" s="5"/>
      <c r="CE8" s="6"/>
      <c r="CF8" s="5"/>
      <c r="CG8" s="11"/>
      <c r="CH8" s="95">
        <v>260</v>
      </c>
      <c r="CI8" s="99">
        <v>1004.13135</v>
      </c>
      <c r="CJ8" s="53">
        <v>260</v>
      </c>
      <c r="CK8" s="61">
        <v>973.26904000000002</v>
      </c>
      <c r="CL8" s="53">
        <v>260</v>
      </c>
      <c r="CM8" s="61">
        <v>973.26904000000002</v>
      </c>
      <c r="CN8" s="53">
        <v>260</v>
      </c>
      <c r="CO8" s="61">
        <v>954.12519999999995</v>
      </c>
    </row>
    <row r="9" spans="2:93">
      <c r="B9" s="42"/>
      <c r="C9" s="43"/>
      <c r="D9" s="72"/>
      <c r="E9" s="42"/>
      <c r="F9" s="43"/>
      <c r="G9" s="92"/>
      <c r="H9" s="5"/>
      <c r="I9" s="43"/>
      <c r="J9" s="12"/>
      <c r="K9" s="42"/>
      <c r="L9" s="43"/>
      <c r="M9" s="92"/>
      <c r="N9" s="42"/>
      <c r="O9" s="43"/>
      <c r="P9" s="68"/>
      <c r="Q9" s="42"/>
      <c r="R9" s="43"/>
      <c r="S9" s="44"/>
      <c r="W9" s="42"/>
      <c r="X9" s="43"/>
      <c r="Y9" s="44"/>
      <c r="Z9" s="42"/>
      <c r="AA9" s="43"/>
      <c r="AB9" s="72"/>
      <c r="AC9" s="42"/>
      <c r="AD9" s="43"/>
      <c r="AE9" s="8"/>
      <c r="AF9" s="5"/>
      <c r="AG9" s="43"/>
      <c r="AH9" s="72"/>
      <c r="AI9" s="42"/>
      <c r="AJ9" s="43"/>
      <c r="AK9" s="44"/>
      <c r="AL9" s="42"/>
      <c r="AM9" s="43"/>
      <c r="AN9" s="72"/>
      <c r="AO9" s="53">
        <v>266</v>
      </c>
      <c r="AP9" s="54">
        <v>3.7594E-3</v>
      </c>
      <c r="AQ9" s="94">
        <v>1.1678469</v>
      </c>
      <c r="AR9" s="53">
        <v>273</v>
      </c>
      <c r="AS9" s="54">
        <v>3.6630040000000001E-3</v>
      </c>
      <c r="AT9" s="94">
        <v>1.2087079999999999</v>
      </c>
      <c r="AU9" s="53">
        <v>281</v>
      </c>
      <c r="AV9" s="54">
        <v>3.55872E-3</v>
      </c>
      <c r="AW9" s="94">
        <v>1.1903699999999999</v>
      </c>
      <c r="AX9" s="95">
        <v>290</v>
      </c>
      <c r="AY9" s="54">
        <f t="shared" si="0"/>
        <v>3.4482758620689655E-3</v>
      </c>
      <c r="AZ9" s="96">
        <v>1.2149462</v>
      </c>
      <c r="BA9" s="95">
        <v>299</v>
      </c>
      <c r="BB9" s="97">
        <v>3.3444816053511705E-3</v>
      </c>
      <c r="BC9" s="106">
        <v>1.2095026</v>
      </c>
      <c r="BD9" s="53">
        <v>281</v>
      </c>
      <c r="BE9" s="54">
        <v>3.5590000000000001E-3</v>
      </c>
      <c r="BF9" s="15">
        <v>2.6968000000000001</v>
      </c>
      <c r="BG9" s="53">
        <v>299</v>
      </c>
      <c r="BH9" s="54">
        <v>3.3440000000000002E-3</v>
      </c>
      <c r="BI9" s="61">
        <v>1.2095</v>
      </c>
      <c r="BJ9" s="53">
        <v>299</v>
      </c>
      <c r="BK9" s="54">
        <v>3.3440000000000002E-3</v>
      </c>
      <c r="BL9" s="61">
        <v>1.2095</v>
      </c>
      <c r="BN9" s="5"/>
      <c r="BO9" s="6"/>
      <c r="BP9" s="114"/>
      <c r="BQ9" s="115"/>
      <c r="BT9" s="5"/>
      <c r="BU9" s="6"/>
      <c r="BV9" s="5"/>
      <c r="BW9" s="6"/>
      <c r="BX9" s="5"/>
      <c r="BY9" s="6"/>
      <c r="BZ9" s="5"/>
      <c r="CA9" s="6"/>
      <c r="CB9" s="5"/>
      <c r="CC9" s="6"/>
      <c r="CD9" s="5"/>
      <c r="CE9" s="6"/>
      <c r="CF9" s="5"/>
      <c r="CG9" s="11"/>
      <c r="CH9" s="95">
        <v>261</v>
      </c>
      <c r="CI9" s="99">
        <v>1003.07916</v>
      </c>
      <c r="CJ9" s="53">
        <v>261</v>
      </c>
      <c r="CK9" s="61">
        <v>972.22990000000004</v>
      </c>
      <c r="CL9" s="53">
        <v>261</v>
      </c>
      <c r="CM9" s="61">
        <v>972.22990000000004</v>
      </c>
      <c r="CN9" s="53">
        <v>261</v>
      </c>
      <c r="CO9" s="61">
        <v>953.11017000000004</v>
      </c>
    </row>
    <row r="10" spans="2:93" ht="15" thickBot="1">
      <c r="B10" s="42"/>
      <c r="C10" s="43"/>
      <c r="D10" s="12"/>
      <c r="E10" s="42"/>
      <c r="F10" s="43"/>
      <c r="G10" s="92"/>
      <c r="H10" s="5"/>
      <c r="I10" s="43"/>
      <c r="J10" s="12"/>
      <c r="K10" s="42"/>
      <c r="L10" s="43"/>
      <c r="M10" s="92"/>
      <c r="N10" s="42"/>
      <c r="O10" s="43"/>
      <c r="P10" s="68"/>
      <c r="Q10" s="42"/>
      <c r="R10" s="43"/>
      <c r="S10" s="44"/>
      <c r="W10" s="42"/>
      <c r="X10" s="43"/>
      <c r="Y10" s="44"/>
      <c r="Z10" s="42"/>
      <c r="AA10" s="43"/>
      <c r="AB10" s="72"/>
      <c r="AC10" s="42"/>
      <c r="AD10" s="43"/>
      <c r="AE10" s="8"/>
      <c r="AF10" s="5"/>
      <c r="AG10" s="43"/>
      <c r="AH10" s="72"/>
      <c r="AI10" s="42"/>
      <c r="AJ10" s="43"/>
      <c r="AK10" s="44"/>
      <c r="AL10" s="42"/>
      <c r="AM10" s="43"/>
      <c r="AN10" s="72"/>
      <c r="AO10" s="53">
        <v>267</v>
      </c>
      <c r="AP10" s="54">
        <v>3.7453199999999999E-3</v>
      </c>
      <c r="AQ10" s="94">
        <v>1.2960396000000001</v>
      </c>
      <c r="AR10" s="53">
        <v>274</v>
      </c>
      <c r="AS10" s="54">
        <v>3.649635E-3</v>
      </c>
      <c r="AT10" s="94">
        <v>1.3401419999999999</v>
      </c>
      <c r="AU10" s="53">
        <v>282</v>
      </c>
      <c r="AV10" s="54">
        <v>3.5460999999999999E-3</v>
      </c>
      <c r="AW10" s="94">
        <v>1.3185089999999999</v>
      </c>
      <c r="AX10" s="95">
        <v>291</v>
      </c>
      <c r="AY10" s="54">
        <f t="shared" si="0"/>
        <v>3.4364261168384879E-3</v>
      </c>
      <c r="AZ10" s="96">
        <v>1.3437724</v>
      </c>
      <c r="BA10" s="95">
        <v>300</v>
      </c>
      <c r="BB10" s="97">
        <v>3.3333333333333335E-3</v>
      </c>
      <c r="BC10" s="106">
        <v>1.3360053000000001</v>
      </c>
      <c r="BD10" s="53">
        <v>282</v>
      </c>
      <c r="BE10" s="54">
        <v>3.5460000000000001E-3</v>
      </c>
      <c r="BF10" s="15">
        <v>2.9706000000000001</v>
      </c>
      <c r="BG10" s="53">
        <v>300</v>
      </c>
      <c r="BH10" s="54">
        <v>3.333E-3</v>
      </c>
      <c r="BI10" s="61">
        <v>1.3360000000000001</v>
      </c>
      <c r="BJ10" s="53">
        <v>300</v>
      </c>
      <c r="BK10" s="54">
        <v>3.333E-3</v>
      </c>
      <c r="BL10" s="61">
        <v>1.3360000000000001</v>
      </c>
      <c r="BN10" s="5"/>
      <c r="BO10" s="6"/>
      <c r="BP10" s="114"/>
      <c r="BQ10" s="115"/>
      <c r="BT10" s="5"/>
      <c r="BU10" s="6"/>
      <c r="BV10" s="23"/>
      <c r="BW10" s="26"/>
      <c r="BX10" s="5"/>
      <c r="BY10" s="6"/>
      <c r="BZ10" s="5"/>
      <c r="CA10" s="6"/>
      <c r="CB10" s="23"/>
      <c r="CC10" s="26"/>
      <c r="CD10" s="5"/>
      <c r="CE10" s="6"/>
      <c r="CF10" s="5"/>
      <c r="CG10" s="11"/>
      <c r="CH10" s="95">
        <v>262</v>
      </c>
      <c r="CI10" s="99">
        <v>1002.027</v>
      </c>
      <c r="CJ10" s="53">
        <v>262</v>
      </c>
      <c r="CK10" s="61">
        <v>971.19086000000004</v>
      </c>
      <c r="CL10" s="53">
        <v>262</v>
      </c>
      <c r="CM10" s="61">
        <v>971.19086000000004</v>
      </c>
      <c r="CN10" s="53">
        <v>262</v>
      </c>
      <c r="CO10" s="61">
        <v>952.09533999999996</v>
      </c>
    </row>
    <row r="11" spans="2:93" ht="15" thickBot="1">
      <c r="B11" s="42"/>
      <c r="C11" s="43"/>
      <c r="D11" s="12"/>
      <c r="E11" s="42"/>
      <c r="F11" s="43"/>
      <c r="G11" s="92"/>
      <c r="H11" s="5"/>
      <c r="I11" s="43"/>
      <c r="J11" s="12"/>
      <c r="K11" s="42"/>
      <c r="L11" s="43"/>
      <c r="M11" s="92"/>
      <c r="N11" s="42"/>
      <c r="O11" s="43"/>
      <c r="P11" s="68"/>
      <c r="Q11" s="42"/>
      <c r="R11" s="43"/>
      <c r="S11" s="44"/>
      <c r="W11" s="42"/>
      <c r="X11" s="43"/>
      <c r="Y11" s="8"/>
      <c r="Z11" s="42"/>
      <c r="AA11" s="43"/>
      <c r="AB11" s="12"/>
      <c r="AC11" s="42"/>
      <c r="AD11" s="43"/>
      <c r="AE11" s="8"/>
      <c r="AF11" s="5"/>
      <c r="AG11" s="43"/>
      <c r="AH11" s="72"/>
      <c r="AI11" s="42"/>
      <c r="AJ11" s="43"/>
      <c r="AK11" s="44"/>
      <c r="AL11" s="42"/>
      <c r="AM11" s="43"/>
      <c r="AN11" s="72"/>
      <c r="AO11" s="53">
        <v>268</v>
      </c>
      <c r="AP11" s="54">
        <v>3.7313400000000001E-3</v>
      </c>
      <c r="AQ11" s="94">
        <v>1.4370489</v>
      </c>
      <c r="AR11" s="53">
        <v>275</v>
      </c>
      <c r="AS11" s="54">
        <v>3.636364E-3</v>
      </c>
      <c r="AT11" s="94">
        <v>1.484605</v>
      </c>
      <c r="AU11" s="53">
        <v>283</v>
      </c>
      <c r="AV11" s="54">
        <v>3.5335700000000002E-3</v>
      </c>
      <c r="AW11" s="94">
        <v>1.459238</v>
      </c>
      <c r="AX11" s="95">
        <v>292</v>
      </c>
      <c r="AY11" s="54">
        <f t="shared" si="0"/>
        <v>3.4246575342465752E-3</v>
      </c>
      <c r="AZ11" s="96">
        <v>1.4850785</v>
      </c>
      <c r="BA11" s="95">
        <v>301</v>
      </c>
      <c r="BB11" s="97">
        <v>3.3222591362126247E-3</v>
      </c>
      <c r="BC11" s="106">
        <v>1.4746087999999999</v>
      </c>
      <c r="BD11" s="53">
        <v>283</v>
      </c>
      <c r="BE11" s="54">
        <v>3.5339999999999998E-3</v>
      </c>
      <c r="BF11" s="15">
        <v>3.2696000000000001</v>
      </c>
      <c r="BG11" s="53">
        <v>301</v>
      </c>
      <c r="BH11" s="54">
        <v>3.3219999999999999E-3</v>
      </c>
      <c r="BI11" s="61">
        <v>1.4745999999999999</v>
      </c>
      <c r="BJ11" s="53">
        <v>301</v>
      </c>
      <c r="BK11" s="54">
        <v>3.3219999999999999E-3</v>
      </c>
      <c r="BL11" s="61">
        <v>1.4745999999999999</v>
      </c>
      <c r="BN11" s="5"/>
      <c r="BO11" s="6"/>
      <c r="BP11" s="114"/>
      <c r="BQ11" s="115"/>
      <c r="BT11" s="23"/>
      <c r="BU11" s="26"/>
      <c r="BX11" s="5"/>
      <c r="BY11" s="6"/>
      <c r="BZ11" s="5"/>
      <c r="CA11" s="6"/>
      <c r="CD11" s="5"/>
      <c r="CE11" s="6"/>
      <c r="CF11" s="5"/>
      <c r="CG11" s="11"/>
      <c r="CH11" s="95">
        <v>263</v>
      </c>
      <c r="CI11" s="99">
        <v>1000.9748499999999</v>
      </c>
      <c r="CJ11" s="53">
        <v>263</v>
      </c>
      <c r="CK11" s="61">
        <v>970.15200000000004</v>
      </c>
      <c r="CL11" s="53">
        <v>263</v>
      </c>
      <c r="CM11" s="61">
        <v>970.15200000000004</v>
      </c>
      <c r="CN11" s="53">
        <v>263</v>
      </c>
      <c r="CO11" s="61">
        <v>951.0806</v>
      </c>
    </row>
    <row r="12" spans="2:93" ht="15" thickBot="1">
      <c r="B12" s="42"/>
      <c r="C12" s="43"/>
      <c r="D12" s="12"/>
      <c r="E12" s="42"/>
      <c r="F12" s="43"/>
      <c r="G12" s="92"/>
      <c r="H12" s="5"/>
      <c r="I12" s="43"/>
      <c r="J12" s="12"/>
      <c r="K12" s="42"/>
      <c r="L12" s="43"/>
      <c r="M12" s="92"/>
      <c r="N12" s="42"/>
      <c r="O12" s="43"/>
      <c r="P12" s="68"/>
      <c r="Q12" s="42"/>
      <c r="R12" s="43"/>
      <c r="S12" s="44"/>
      <c r="W12" s="42"/>
      <c r="X12" s="43"/>
      <c r="Y12" s="8"/>
      <c r="Z12" s="42"/>
      <c r="AA12" s="43"/>
      <c r="AB12" s="12"/>
      <c r="AC12" s="42"/>
      <c r="AD12" s="43"/>
      <c r="AE12" s="8"/>
      <c r="AF12" s="5"/>
      <c r="AG12" s="43"/>
      <c r="AH12" s="72"/>
      <c r="AI12" s="42"/>
      <c r="AJ12" s="43"/>
      <c r="AK12" s="44"/>
      <c r="AL12" s="42"/>
      <c r="AM12" s="43"/>
      <c r="AN12" s="72"/>
      <c r="AO12" s="53">
        <v>269</v>
      </c>
      <c r="AP12" s="54">
        <v>3.7174700000000001E-3</v>
      </c>
      <c r="AQ12" s="94">
        <v>1.5920265</v>
      </c>
      <c r="AR12" s="53">
        <v>276</v>
      </c>
      <c r="AS12" s="54">
        <v>3.6231879999999998E-3</v>
      </c>
      <c r="AT12" s="94">
        <v>1.6432580000000001</v>
      </c>
      <c r="AU12" s="53">
        <v>284</v>
      </c>
      <c r="AV12" s="54">
        <v>3.5211299999999999E-3</v>
      </c>
      <c r="AW12" s="94">
        <v>1.613669</v>
      </c>
      <c r="AX12" s="95">
        <v>293</v>
      </c>
      <c r="AY12" s="54">
        <f t="shared" si="0"/>
        <v>3.4129692832764505E-3</v>
      </c>
      <c r="AZ12" s="96">
        <v>1.6399547000000001</v>
      </c>
      <c r="BA12" s="95">
        <v>302</v>
      </c>
      <c r="BB12" s="97">
        <v>3.3112582781456954E-3</v>
      </c>
      <c r="BC12" s="106">
        <v>1.626358</v>
      </c>
      <c r="BD12" s="53">
        <v>284</v>
      </c>
      <c r="BE12" s="54">
        <v>3.5209999999999998E-3</v>
      </c>
      <c r="BF12" s="15">
        <v>3.5960000000000001</v>
      </c>
      <c r="BG12" s="53">
        <v>302</v>
      </c>
      <c r="BH12" s="54">
        <v>3.3110000000000001E-3</v>
      </c>
      <c r="BI12" s="61">
        <v>1.6264000000000001</v>
      </c>
      <c r="BJ12" s="53">
        <v>302</v>
      </c>
      <c r="BK12" s="54">
        <v>3.3110000000000001E-3</v>
      </c>
      <c r="BL12" s="61">
        <v>1.6264000000000001</v>
      </c>
      <c r="BN12" s="5"/>
      <c r="BO12" s="6"/>
      <c r="BP12" s="114"/>
      <c r="BQ12" s="115"/>
      <c r="BX12" s="5"/>
      <c r="BY12" s="6"/>
      <c r="BZ12" s="5"/>
      <c r="CA12" s="6"/>
      <c r="CD12" s="5"/>
      <c r="CE12" s="6"/>
      <c r="CF12" s="23"/>
      <c r="CG12" s="33"/>
      <c r="CH12" s="95">
        <v>264</v>
      </c>
      <c r="CI12" s="99">
        <v>999.92269999999996</v>
      </c>
      <c r="CJ12" s="53">
        <v>264</v>
      </c>
      <c r="CK12" s="61">
        <v>969.11315999999999</v>
      </c>
      <c r="CL12" s="53">
        <v>264</v>
      </c>
      <c r="CM12" s="61">
        <v>969.11315999999999</v>
      </c>
      <c r="CN12" s="53">
        <v>264</v>
      </c>
      <c r="CO12" s="61">
        <v>950.06615999999997</v>
      </c>
    </row>
    <row r="13" spans="2:93" ht="15" thickBot="1">
      <c r="B13" s="42"/>
      <c r="C13" s="43"/>
      <c r="D13" s="12"/>
      <c r="E13" s="42"/>
      <c r="F13" s="43"/>
      <c r="G13" s="92"/>
      <c r="H13" s="5"/>
      <c r="I13" s="43"/>
      <c r="J13" s="11"/>
      <c r="K13" s="42"/>
      <c r="L13" s="43"/>
      <c r="M13" s="66"/>
      <c r="N13" s="42"/>
      <c r="O13" s="43"/>
      <c r="P13" s="71"/>
      <c r="Q13" s="42"/>
      <c r="R13" s="43"/>
      <c r="S13" s="44"/>
      <c r="W13" s="42"/>
      <c r="X13" s="43"/>
      <c r="Y13" s="8"/>
      <c r="Z13" s="42"/>
      <c r="AA13" s="43"/>
      <c r="AB13" s="12"/>
      <c r="AC13" s="42"/>
      <c r="AD13" s="43"/>
      <c r="AE13" s="8"/>
      <c r="AF13" s="5"/>
      <c r="AG13" s="43"/>
      <c r="AH13" s="72"/>
      <c r="AI13" s="42"/>
      <c r="AJ13" s="43"/>
      <c r="AK13" s="44"/>
      <c r="AL13" s="42"/>
      <c r="AM13" s="43"/>
      <c r="AN13" s="12"/>
      <c r="AO13" s="53">
        <v>270</v>
      </c>
      <c r="AP13" s="54">
        <v>3.7036999999999999E-3</v>
      </c>
      <c r="AQ13" s="94">
        <v>1.7622148</v>
      </c>
      <c r="AR13" s="53">
        <v>277</v>
      </c>
      <c r="AS13" s="54">
        <v>3.6101079999999999E-3</v>
      </c>
      <c r="AT13" s="94">
        <v>1.8173550000000001</v>
      </c>
      <c r="AU13" s="53">
        <v>285</v>
      </c>
      <c r="AV13" s="54">
        <v>3.50877E-3</v>
      </c>
      <c r="AW13" s="94">
        <v>1.7830060000000001</v>
      </c>
      <c r="AX13" s="95">
        <v>294</v>
      </c>
      <c r="AY13" s="54">
        <f t="shared" si="0"/>
        <v>3.4013605442176869E-3</v>
      </c>
      <c r="AZ13" s="96">
        <v>1.8095756999999999</v>
      </c>
      <c r="BA13" s="95">
        <v>303</v>
      </c>
      <c r="BB13" s="97">
        <v>3.3003300330033004E-3</v>
      </c>
      <c r="BC13" s="106">
        <v>1.7923785000000001</v>
      </c>
      <c r="BD13" s="53">
        <v>285</v>
      </c>
      <c r="BE13" s="54">
        <v>3.509E-3</v>
      </c>
      <c r="BF13" s="15">
        <v>3.9519000000000002</v>
      </c>
      <c r="BG13" s="53">
        <v>303</v>
      </c>
      <c r="BH13" s="54">
        <v>3.3E-3</v>
      </c>
      <c r="BI13" s="61">
        <v>1.7924</v>
      </c>
      <c r="BJ13" s="53">
        <v>303</v>
      </c>
      <c r="BK13" s="54">
        <v>3.3E-3</v>
      </c>
      <c r="BL13" s="61">
        <v>1.7924</v>
      </c>
      <c r="BN13" s="23"/>
      <c r="BO13" s="26"/>
      <c r="BP13" s="116"/>
      <c r="BQ13" s="117"/>
      <c r="BX13" s="5"/>
      <c r="BY13" s="6"/>
      <c r="BZ13" s="23"/>
      <c r="CA13" s="26"/>
      <c r="CD13" s="5"/>
      <c r="CE13" s="6"/>
      <c r="CH13" s="95">
        <v>265</v>
      </c>
      <c r="CI13" s="99">
        <v>998.87059999999997</v>
      </c>
      <c r="CJ13" s="53">
        <v>265</v>
      </c>
      <c r="CK13" s="61">
        <v>968.07439999999997</v>
      </c>
      <c r="CL13" s="53">
        <v>265</v>
      </c>
      <c r="CM13" s="61">
        <v>968.07439999999997</v>
      </c>
      <c r="CN13" s="53">
        <v>265</v>
      </c>
      <c r="CO13" s="61">
        <v>949.05179999999996</v>
      </c>
    </row>
    <row r="14" spans="2:93" ht="15" thickBot="1">
      <c r="B14" s="42"/>
      <c r="C14" s="43"/>
      <c r="D14" s="12"/>
      <c r="E14" s="42"/>
      <c r="F14" s="43"/>
      <c r="G14" s="92"/>
      <c r="H14" s="23"/>
      <c r="I14" s="47"/>
      <c r="J14" s="33"/>
      <c r="K14" s="42"/>
      <c r="L14" s="43"/>
      <c r="M14" s="66"/>
      <c r="N14" s="42"/>
      <c r="O14" s="43"/>
      <c r="P14" s="71"/>
      <c r="Q14" s="42"/>
      <c r="R14" s="43"/>
      <c r="S14" s="44"/>
      <c r="W14" s="42"/>
      <c r="X14" s="43"/>
      <c r="Y14" s="8"/>
      <c r="Z14" s="42"/>
      <c r="AA14" s="43"/>
      <c r="AB14" s="12"/>
      <c r="AC14" s="42"/>
      <c r="AD14" s="43"/>
      <c r="AE14" s="8"/>
      <c r="AF14" s="23"/>
      <c r="AG14" s="47"/>
      <c r="AH14" s="13"/>
      <c r="AI14" s="42"/>
      <c r="AJ14" s="43"/>
      <c r="AK14" s="44"/>
      <c r="AL14" s="42"/>
      <c r="AM14" s="43"/>
      <c r="AN14" s="12"/>
      <c r="AO14" s="53">
        <v>271</v>
      </c>
      <c r="AP14" s="54">
        <v>3.6900399999999999E-3</v>
      </c>
      <c r="AQ14" s="94">
        <v>1.9489542</v>
      </c>
      <c r="AR14" s="53">
        <v>278</v>
      </c>
      <c r="AS14" s="54">
        <v>3.5971219999999999E-3</v>
      </c>
      <c r="AT14" s="94">
        <v>2.0082469999999999</v>
      </c>
      <c r="AU14" s="53">
        <v>286</v>
      </c>
      <c r="AV14" s="54">
        <v>3.4965E-3</v>
      </c>
      <c r="AW14" s="94">
        <v>1.9685410000000001</v>
      </c>
      <c r="AX14" s="95">
        <v>295</v>
      </c>
      <c r="AY14" s="54">
        <f t="shared" si="0"/>
        <v>3.3898305084745762E-3</v>
      </c>
      <c r="AZ14" s="96">
        <v>1.9952065000000001</v>
      </c>
      <c r="BA14" s="95">
        <v>304</v>
      </c>
      <c r="BB14" s="97">
        <v>3.2894736842105261E-3</v>
      </c>
      <c r="BC14" s="106">
        <v>1.9738811999999999</v>
      </c>
      <c r="BD14" s="53">
        <v>286</v>
      </c>
      <c r="BE14" s="54">
        <v>3.4970000000000001E-3</v>
      </c>
      <c r="BF14" s="15">
        <v>4.3399000000000001</v>
      </c>
      <c r="BG14" s="53">
        <v>304</v>
      </c>
      <c r="BH14" s="54">
        <v>3.2889999999999998E-3</v>
      </c>
      <c r="BI14" s="61">
        <v>1.9739</v>
      </c>
      <c r="BJ14" s="53">
        <v>304</v>
      </c>
      <c r="BK14" s="54">
        <v>3.2889999999999998E-3</v>
      </c>
      <c r="BL14" s="61">
        <v>1.9739</v>
      </c>
      <c r="BX14" s="23"/>
      <c r="BY14" s="26"/>
      <c r="CD14" s="5"/>
      <c r="CE14" s="6"/>
      <c r="CH14" s="95">
        <v>266</v>
      </c>
      <c r="CI14" s="99">
        <v>997.8184</v>
      </c>
      <c r="CJ14" s="53">
        <v>266</v>
      </c>
      <c r="CK14" s="61">
        <v>967.03576999999996</v>
      </c>
      <c r="CL14" s="53">
        <v>266</v>
      </c>
      <c r="CM14" s="61">
        <v>967.03576999999996</v>
      </c>
      <c r="CN14" s="53">
        <v>266</v>
      </c>
      <c r="CO14" s="61">
        <v>948.03765999999996</v>
      </c>
    </row>
    <row r="15" spans="2:93" ht="15" thickBot="1">
      <c r="B15" s="42"/>
      <c r="C15" s="43"/>
      <c r="D15" s="12"/>
      <c r="E15" s="42"/>
      <c r="F15" s="43"/>
      <c r="G15" s="92"/>
      <c r="K15" s="42"/>
      <c r="L15" s="43"/>
      <c r="M15" s="66"/>
      <c r="N15" s="42"/>
      <c r="O15" s="43"/>
      <c r="P15" s="71"/>
      <c r="Q15" s="42"/>
      <c r="R15" s="43"/>
      <c r="S15" s="44"/>
      <c r="W15" s="42"/>
      <c r="X15" s="43"/>
      <c r="Y15" s="8"/>
      <c r="Z15" s="42"/>
      <c r="AA15" s="43"/>
      <c r="AB15" s="12"/>
      <c r="AC15" s="42"/>
      <c r="AD15" s="43"/>
      <c r="AE15" s="8"/>
      <c r="AI15" s="42"/>
      <c r="AJ15" s="43"/>
      <c r="AK15" s="44"/>
      <c r="AL15" s="42"/>
      <c r="AM15" s="43"/>
      <c r="AN15" s="12"/>
      <c r="AO15" s="53">
        <v>272</v>
      </c>
      <c r="AP15" s="54">
        <v>3.6764699999999998E-3</v>
      </c>
      <c r="AQ15" s="94">
        <v>2.1536890999999998</v>
      </c>
      <c r="AR15" s="53">
        <v>279</v>
      </c>
      <c r="AS15" s="54">
        <v>3.584229E-3</v>
      </c>
      <c r="AT15" s="94">
        <v>2.2173889999999998</v>
      </c>
      <c r="AU15" s="53">
        <v>287</v>
      </c>
      <c r="AV15" s="54">
        <v>3.48432E-3</v>
      </c>
      <c r="AW15" s="94">
        <v>2.1716700000000002</v>
      </c>
      <c r="AX15" s="95">
        <v>296</v>
      </c>
      <c r="AY15" s="54">
        <f t="shared" si="0"/>
        <v>3.3783783783783786E-3</v>
      </c>
      <c r="AZ15" s="96">
        <v>2.1982075999999999</v>
      </c>
      <c r="BA15" s="95">
        <v>305</v>
      </c>
      <c r="BB15" s="97">
        <v>3.2786885245901639E-3</v>
      </c>
      <c r="BC15" s="106">
        <v>2.1721678</v>
      </c>
      <c r="BD15" s="53">
        <v>287</v>
      </c>
      <c r="BE15" s="54">
        <v>3.4840000000000001E-3</v>
      </c>
      <c r="BF15" s="15">
        <v>4.7622999999999998</v>
      </c>
      <c r="BG15" s="53">
        <v>305</v>
      </c>
      <c r="BH15" s="54">
        <v>3.2789999999999998E-3</v>
      </c>
      <c r="BI15" s="61">
        <v>2.1722000000000001</v>
      </c>
      <c r="BJ15" s="53">
        <v>305</v>
      </c>
      <c r="BK15" s="54">
        <v>3.2789999999999998E-3</v>
      </c>
      <c r="BL15" s="61">
        <v>2.1722000000000001</v>
      </c>
      <c r="CD15" s="23"/>
      <c r="CE15" s="26"/>
      <c r="CH15" s="95">
        <v>267</v>
      </c>
      <c r="CI15" s="99">
        <v>996.7663</v>
      </c>
      <c r="CJ15" s="53">
        <v>267</v>
      </c>
      <c r="CK15" s="61">
        <v>965.99725000000001</v>
      </c>
      <c r="CL15" s="53">
        <v>267</v>
      </c>
      <c r="CM15" s="61">
        <v>965.99725000000001</v>
      </c>
      <c r="CN15" s="53">
        <v>267</v>
      </c>
      <c r="CO15" s="61">
        <v>947.02359999999999</v>
      </c>
    </row>
    <row r="16" spans="2:93">
      <c r="B16" s="42"/>
      <c r="C16" s="43"/>
      <c r="D16" s="12"/>
      <c r="E16" s="42"/>
      <c r="F16" s="43"/>
      <c r="G16" s="92"/>
      <c r="K16" s="42"/>
      <c r="L16" s="43"/>
      <c r="M16" s="66"/>
      <c r="N16" s="42"/>
      <c r="O16" s="43"/>
      <c r="P16" s="71"/>
      <c r="Q16" s="42"/>
      <c r="R16" s="43"/>
      <c r="S16" s="8"/>
      <c r="W16" s="42"/>
      <c r="X16" s="43"/>
      <c r="Y16" s="8"/>
      <c r="Z16" s="42"/>
      <c r="AA16" s="43"/>
      <c r="AB16" s="11"/>
      <c r="AC16" s="42"/>
      <c r="AD16" s="43"/>
      <c r="AE16" s="8"/>
      <c r="AI16" s="42"/>
      <c r="AJ16" s="43"/>
      <c r="AK16" s="44"/>
      <c r="AL16" s="42"/>
      <c r="AM16" s="43"/>
      <c r="AN16" s="12"/>
      <c r="AO16" s="53">
        <v>273</v>
      </c>
      <c r="AP16" s="54">
        <v>3.663E-3</v>
      </c>
      <c r="AQ16" s="94">
        <v>2.3779743</v>
      </c>
      <c r="AR16" s="53">
        <v>280</v>
      </c>
      <c r="AS16" s="54">
        <v>3.5714290000000001E-3</v>
      </c>
      <c r="AT16" s="94">
        <v>2.4463469999999998</v>
      </c>
      <c r="AU16" s="53">
        <v>288</v>
      </c>
      <c r="AV16" s="54">
        <v>3.4722199999999998E-3</v>
      </c>
      <c r="AW16" s="94">
        <v>2.393891</v>
      </c>
      <c r="AX16" s="95">
        <v>297</v>
      </c>
      <c r="AY16" s="54">
        <f t="shared" si="0"/>
        <v>3.3670033670033669E-3</v>
      </c>
      <c r="AZ16" s="96">
        <v>2.4200423</v>
      </c>
      <c r="BA16" s="95">
        <v>306</v>
      </c>
      <c r="BB16" s="97">
        <v>3.2679738562091504E-3</v>
      </c>
      <c r="BC16" s="106">
        <v>2.3886370000000001</v>
      </c>
      <c r="BD16" s="53">
        <v>288</v>
      </c>
      <c r="BE16" s="54">
        <v>3.4719999999999998E-3</v>
      </c>
      <c r="BF16" s="15">
        <v>5.2221000000000002</v>
      </c>
      <c r="BG16" s="53">
        <v>306</v>
      </c>
      <c r="BH16" s="54">
        <v>3.2680000000000001E-3</v>
      </c>
      <c r="BI16" s="61">
        <v>2.3885999999999998</v>
      </c>
      <c r="BJ16" s="53">
        <v>306</v>
      </c>
      <c r="BK16" s="54">
        <v>3.2680000000000001E-3</v>
      </c>
      <c r="BL16" s="61">
        <v>2.3885999999999998</v>
      </c>
      <c r="CH16" s="95">
        <v>268</v>
      </c>
      <c r="CI16" s="99">
        <v>995.71410000000003</v>
      </c>
      <c r="CJ16" s="53">
        <v>268</v>
      </c>
      <c r="CK16" s="61">
        <v>964.95874000000003</v>
      </c>
      <c r="CL16" s="53">
        <v>268</v>
      </c>
      <c r="CM16" s="61">
        <v>964.95874000000003</v>
      </c>
      <c r="CN16" s="53">
        <v>268</v>
      </c>
      <c r="CO16" s="61">
        <v>946.00969999999995</v>
      </c>
    </row>
    <row r="17" spans="2:93">
      <c r="B17" s="42"/>
      <c r="C17" s="43"/>
      <c r="D17" s="12"/>
      <c r="E17" s="42"/>
      <c r="F17" s="43"/>
      <c r="G17" s="92"/>
      <c r="K17" s="42"/>
      <c r="L17" s="43"/>
      <c r="M17" s="66"/>
      <c r="N17" s="42"/>
      <c r="O17" s="43"/>
      <c r="P17" s="71"/>
      <c r="Q17" s="42"/>
      <c r="R17" s="43"/>
      <c r="S17" s="8"/>
      <c r="W17" s="42"/>
      <c r="X17" s="43"/>
      <c r="Y17" s="8"/>
      <c r="Z17" s="42"/>
      <c r="AA17" s="43"/>
      <c r="AB17" s="11"/>
      <c r="AC17" s="42"/>
      <c r="AD17" s="43"/>
      <c r="AE17" s="8"/>
      <c r="AI17" s="42"/>
      <c r="AJ17" s="43"/>
      <c r="AK17" s="8"/>
      <c r="AL17" s="42"/>
      <c r="AM17" s="43"/>
      <c r="AN17" s="12"/>
      <c r="AO17" s="53">
        <v>274</v>
      </c>
      <c r="AP17" s="54">
        <v>3.64964E-3</v>
      </c>
      <c r="AQ17" s="94">
        <v>2.6234829999999998</v>
      </c>
      <c r="AR17" s="53">
        <v>281</v>
      </c>
      <c r="AS17" s="54">
        <v>3.5587190000000001E-3</v>
      </c>
      <c r="AT17" s="94">
        <v>2.696806</v>
      </c>
      <c r="AU17" s="53">
        <v>289</v>
      </c>
      <c r="AV17" s="54">
        <v>3.46021E-3</v>
      </c>
      <c r="AW17" s="94">
        <v>2.6368170000000002</v>
      </c>
      <c r="AX17" s="95">
        <v>298</v>
      </c>
      <c r="AY17" s="54">
        <f t="shared" si="0"/>
        <v>3.3557046979865771E-3</v>
      </c>
      <c r="AZ17" s="96">
        <v>2.6622819999999998</v>
      </c>
      <c r="BA17" s="95">
        <v>307</v>
      </c>
      <c r="BB17" s="97">
        <v>3.2573289902280132E-3</v>
      </c>
      <c r="BC17" s="106">
        <v>2.6247910000000001</v>
      </c>
      <c r="BD17" s="53">
        <v>289</v>
      </c>
      <c r="BE17" s="54">
        <v>3.46E-3</v>
      </c>
      <c r="BF17" s="15">
        <v>5.7221000000000002</v>
      </c>
      <c r="BG17" s="53">
        <v>307</v>
      </c>
      <c r="BH17" s="54">
        <v>3.2569999999999999E-3</v>
      </c>
      <c r="BI17" s="61">
        <v>2.6248</v>
      </c>
      <c r="BJ17" s="53">
        <v>307</v>
      </c>
      <c r="BK17" s="54">
        <v>3.2569999999999999E-3</v>
      </c>
      <c r="BL17" s="61">
        <v>2.6248</v>
      </c>
      <c r="CH17" s="95">
        <v>269</v>
      </c>
      <c r="CI17" s="99">
        <v>994.66189999999995</v>
      </c>
      <c r="CJ17" s="53">
        <v>269</v>
      </c>
      <c r="CK17" s="61">
        <v>963.92034999999998</v>
      </c>
      <c r="CL17" s="53">
        <v>269</v>
      </c>
      <c r="CM17" s="61">
        <v>963.92034999999998</v>
      </c>
      <c r="CN17" s="53">
        <v>269</v>
      </c>
      <c r="CO17" s="61">
        <v>944.99599999999998</v>
      </c>
    </row>
    <row r="18" spans="2:93">
      <c r="B18" s="42"/>
      <c r="C18" s="43"/>
      <c r="D18" s="12"/>
      <c r="E18" s="42"/>
      <c r="F18" s="43"/>
      <c r="G18" s="92"/>
      <c r="K18" s="42"/>
      <c r="L18" s="43"/>
      <c r="M18" s="66"/>
      <c r="N18" s="42"/>
      <c r="O18" s="43"/>
      <c r="P18" s="71"/>
      <c r="Q18" s="42"/>
      <c r="R18" s="43"/>
      <c r="S18" s="8"/>
      <c r="W18" s="42"/>
      <c r="X18" s="43"/>
      <c r="Y18" s="8"/>
      <c r="Z18" s="42"/>
      <c r="AA18" s="43"/>
      <c r="AB18" s="71"/>
      <c r="AC18" s="42"/>
      <c r="AD18" s="43"/>
      <c r="AE18" s="8"/>
      <c r="AI18" s="42"/>
      <c r="AJ18" s="43"/>
      <c r="AK18" s="8"/>
      <c r="AL18" s="42"/>
      <c r="AM18" s="43"/>
      <c r="AN18" s="12"/>
      <c r="AO18" s="53">
        <v>275</v>
      </c>
      <c r="AP18" s="54">
        <v>3.6363599999999999E-3</v>
      </c>
      <c r="AQ18" s="94">
        <v>2.8920145000000002</v>
      </c>
      <c r="AR18" s="53">
        <v>282</v>
      </c>
      <c r="AS18" s="54">
        <v>3.546099E-3</v>
      </c>
      <c r="AT18" s="94">
        <v>2.970577</v>
      </c>
      <c r="AU18" s="53">
        <v>290</v>
      </c>
      <c r="AV18" s="54">
        <v>3.4482800000000002E-3</v>
      </c>
      <c r="AW18" s="94">
        <v>2.90218</v>
      </c>
      <c r="AX18" s="95">
        <v>299</v>
      </c>
      <c r="AY18" s="54">
        <f t="shared" si="0"/>
        <v>3.3444816053511705E-3</v>
      </c>
      <c r="AZ18" s="96">
        <v>2.9266147999999998</v>
      </c>
      <c r="BA18" s="95">
        <v>308</v>
      </c>
      <c r="BB18" s="97">
        <v>3.246753246753247E-3</v>
      </c>
      <c r="BC18" s="106">
        <v>2.8822407999999999</v>
      </c>
      <c r="BD18" s="53">
        <v>290</v>
      </c>
      <c r="BE18" s="54">
        <v>3.4480000000000001E-3</v>
      </c>
      <c r="BF18" s="15">
        <v>6.2655000000000003</v>
      </c>
      <c r="BG18" s="53">
        <v>308</v>
      </c>
      <c r="BH18" s="54">
        <v>3.2469999999999999E-3</v>
      </c>
      <c r="BI18" s="61">
        <v>2.8822000000000001</v>
      </c>
      <c r="BJ18" s="53">
        <v>308</v>
      </c>
      <c r="BK18" s="54">
        <v>3.2469999999999999E-3</v>
      </c>
      <c r="BL18" s="61">
        <v>2.8822000000000001</v>
      </c>
      <c r="CH18" s="95">
        <v>270</v>
      </c>
      <c r="CI18" s="99">
        <v>993.60973999999999</v>
      </c>
      <c r="CJ18" s="53">
        <v>270</v>
      </c>
      <c r="CK18" s="61">
        <v>962.88199999999995</v>
      </c>
      <c r="CL18" s="53">
        <v>270</v>
      </c>
      <c r="CM18" s="61">
        <v>962.88199999999995</v>
      </c>
      <c r="CN18" s="53">
        <v>270</v>
      </c>
      <c r="CO18" s="61">
        <v>943.98230000000001</v>
      </c>
    </row>
    <row r="19" spans="2:93">
      <c r="B19" s="42"/>
      <c r="C19" s="43"/>
      <c r="D19" s="12"/>
      <c r="E19" s="42"/>
      <c r="F19" s="43"/>
      <c r="G19" s="92"/>
      <c r="K19" s="42"/>
      <c r="L19" s="43"/>
      <c r="M19" s="44"/>
      <c r="N19" s="42"/>
      <c r="O19" s="43"/>
      <c r="P19" s="72"/>
      <c r="Q19" s="42"/>
      <c r="R19" s="43"/>
      <c r="S19" s="8"/>
      <c r="W19" s="42"/>
      <c r="X19" s="43"/>
      <c r="Y19" s="8"/>
      <c r="Z19" s="42"/>
      <c r="AA19" s="43"/>
      <c r="AB19" s="71"/>
      <c r="AC19" s="42"/>
      <c r="AD19" s="43"/>
      <c r="AE19" s="8"/>
      <c r="AI19" s="42"/>
      <c r="AJ19" s="43"/>
      <c r="AK19" s="8"/>
      <c r="AL19" s="42"/>
      <c r="AM19" s="43"/>
      <c r="AN19" s="12"/>
      <c r="AO19" s="53">
        <v>276</v>
      </c>
      <c r="AP19" s="54">
        <v>3.6231900000000001E-3</v>
      </c>
      <c r="AQ19" s="94">
        <v>3.1855012999999999</v>
      </c>
      <c r="AR19" s="53">
        <v>283</v>
      </c>
      <c r="AS19" s="54">
        <v>3.5335689999999999E-3</v>
      </c>
      <c r="AT19" s="94">
        <v>3.269603</v>
      </c>
      <c r="AU19" s="53">
        <v>291</v>
      </c>
      <c r="AV19" s="54">
        <v>3.4364299999999999E-3</v>
      </c>
      <c r="AW19" s="94">
        <v>3.19184</v>
      </c>
      <c r="AX19" s="95">
        <v>300</v>
      </c>
      <c r="AY19" s="54">
        <f t="shared" si="0"/>
        <v>3.3333333333333335E-3</v>
      </c>
      <c r="AZ19" s="96">
        <v>3.2148507</v>
      </c>
      <c r="BA19" s="95">
        <v>309</v>
      </c>
      <c r="BB19" s="97">
        <v>3.2362459546925568E-3</v>
      </c>
      <c r="BC19" s="106">
        <v>3.1627144999999999</v>
      </c>
      <c r="BD19" s="53">
        <v>291</v>
      </c>
      <c r="BE19" s="54">
        <v>3.4359999999999998E-3</v>
      </c>
      <c r="BF19" s="15">
        <v>6.8556999999999997</v>
      </c>
      <c r="BG19" s="53">
        <v>309</v>
      </c>
      <c r="BH19" s="54">
        <v>3.2360000000000002E-3</v>
      </c>
      <c r="BI19" s="61">
        <v>3.1627000000000001</v>
      </c>
      <c r="BJ19" s="53">
        <v>309</v>
      </c>
      <c r="BK19" s="54">
        <v>3.2360000000000002E-3</v>
      </c>
      <c r="BL19" s="61">
        <v>3.1627000000000001</v>
      </c>
      <c r="CH19" s="95">
        <v>271</v>
      </c>
      <c r="CI19" s="99">
        <v>992.55742999999995</v>
      </c>
      <c r="CJ19" s="53">
        <v>271</v>
      </c>
      <c r="CK19" s="61">
        <v>961.84370000000001</v>
      </c>
      <c r="CL19" s="53">
        <v>271</v>
      </c>
      <c r="CM19" s="61">
        <v>961.84370000000001</v>
      </c>
      <c r="CN19" s="53">
        <v>271</v>
      </c>
      <c r="CO19" s="61">
        <v>942.96879999999999</v>
      </c>
    </row>
    <row r="20" spans="2:93">
      <c r="B20" s="42"/>
      <c r="C20" s="43"/>
      <c r="D20" s="12"/>
      <c r="E20" s="42"/>
      <c r="F20" s="43"/>
      <c r="G20" s="66"/>
      <c r="K20" s="42"/>
      <c r="L20" s="43"/>
      <c r="M20" s="44"/>
      <c r="N20" s="42"/>
      <c r="O20" s="43"/>
      <c r="P20" s="72"/>
      <c r="Q20" s="42"/>
      <c r="R20" s="43"/>
      <c r="S20" s="8"/>
      <c r="W20" s="42"/>
      <c r="X20" s="43"/>
      <c r="Y20" s="8"/>
      <c r="Z20" s="42"/>
      <c r="AA20" s="43"/>
      <c r="AB20" s="72"/>
      <c r="AC20" s="42"/>
      <c r="AD20" s="43"/>
      <c r="AE20" s="8"/>
      <c r="AI20" s="42"/>
      <c r="AJ20" s="43"/>
      <c r="AK20" s="8"/>
      <c r="AL20" s="42"/>
      <c r="AM20" s="43"/>
      <c r="AN20" s="12"/>
      <c r="AO20" s="53">
        <v>277</v>
      </c>
      <c r="AP20" s="54">
        <v>3.6101100000000001E-3</v>
      </c>
      <c r="AQ20" s="94">
        <v>3.5060186</v>
      </c>
      <c r="AR20" s="53">
        <v>284</v>
      </c>
      <c r="AS20" s="54">
        <v>3.5211270000000002E-3</v>
      </c>
      <c r="AT20" s="94">
        <v>3.5959720000000002</v>
      </c>
      <c r="AU20" s="53">
        <v>292</v>
      </c>
      <c r="AV20" s="54">
        <v>3.4246599999999999E-3</v>
      </c>
      <c r="AW20" s="94">
        <v>3.5077940000000001</v>
      </c>
      <c r="AX20" s="95">
        <v>301</v>
      </c>
      <c r="AY20" s="54">
        <f t="shared" si="0"/>
        <v>3.3222591362126247E-3</v>
      </c>
      <c r="AZ20" s="96">
        <v>3.5289315999999999</v>
      </c>
      <c r="BA20" s="95">
        <v>310</v>
      </c>
      <c r="BB20" s="97">
        <v>3.2258064516129032E-3</v>
      </c>
      <c r="BC20" s="106">
        <v>3.468064</v>
      </c>
      <c r="BD20" s="53">
        <v>292</v>
      </c>
      <c r="BE20" s="54">
        <v>3.4250000000000001E-3</v>
      </c>
      <c r="BF20" s="15">
        <v>7.4962</v>
      </c>
      <c r="BG20" s="53">
        <v>310</v>
      </c>
      <c r="BH20" s="54">
        <v>3.2260000000000001E-3</v>
      </c>
      <c r="BI20" s="61">
        <v>3.4681000000000002</v>
      </c>
      <c r="BJ20" s="53">
        <v>310</v>
      </c>
      <c r="BK20" s="54">
        <v>3.2260000000000001E-3</v>
      </c>
      <c r="BL20" s="61">
        <v>3.4681000000000002</v>
      </c>
      <c r="CH20" s="95">
        <v>272</v>
      </c>
      <c r="CI20" s="99">
        <v>991.50509999999997</v>
      </c>
      <c r="CJ20" s="53">
        <v>272</v>
      </c>
      <c r="CK20" s="61">
        <v>960.80550000000005</v>
      </c>
      <c r="CL20" s="53">
        <v>272</v>
      </c>
      <c r="CM20" s="61">
        <v>960.80550000000005</v>
      </c>
      <c r="CN20" s="53">
        <v>272</v>
      </c>
      <c r="CO20" s="61">
        <v>941.95540000000005</v>
      </c>
    </row>
    <row r="21" spans="2:93" ht="15" thickBot="1">
      <c r="B21" s="42"/>
      <c r="C21" s="43"/>
      <c r="D21" s="12"/>
      <c r="E21" s="42"/>
      <c r="F21" s="43"/>
      <c r="G21" s="66"/>
      <c r="K21" s="42"/>
      <c r="L21" s="43"/>
      <c r="M21" s="44"/>
      <c r="N21" s="42"/>
      <c r="O21" s="43"/>
      <c r="P21" s="72"/>
      <c r="Q21" s="42"/>
      <c r="R21" s="43"/>
      <c r="S21" s="8"/>
      <c r="W21" s="42"/>
      <c r="X21" s="43"/>
      <c r="Y21" s="8"/>
      <c r="Z21" s="46"/>
      <c r="AA21" s="47"/>
      <c r="AB21" s="73"/>
      <c r="AC21" s="42"/>
      <c r="AD21" s="43"/>
      <c r="AE21" s="6"/>
      <c r="AI21" s="42"/>
      <c r="AJ21" s="43"/>
      <c r="AK21" s="8"/>
      <c r="AL21" s="42"/>
      <c r="AM21" s="43"/>
      <c r="AN21" s="12"/>
      <c r="AO21" s="53">
        <v>278</v>
      </c>
      <c r="AP21" s="54">
        <v>3.5971200000000001E-3</v>
      </c>
      <c r="AQ21" s="94">
        <v>3.8557929999999998</v>
      </c>
      <c r="AR21" s="53">
        <v>285</v>
      </c>
      <c r="AS21" s="54">
        <v>3.5087719999999998E-3</v>
      </c>
      <c r="AT21" s="94">
        <v>3.9519229999999999</v>
      </c>
      <c r="AU21" s="53">
        <v>293</v>
      </c>
      <c r="AV21" s="54">
        <v>3.41297E-3</v>
      </c>
      <c r="AW21" s="94">
        <v>3.8521800000000002</v>
      </c>
      <c r="AX21" s="95">
        <v>302</v>
      </c>
      <c r="AY21" s="54">
        <f t="shared" si="0"/>
        <v>3.3112582781456954E-3</v>
      </c>
      <c r="AZ21" s="96">
        <v>3.8709376</v>
      </c>
      <c r="BA21" s="95">
        <v>311</v>
      </c>
      <c r="BB21" s="97">
        <v>3.2154340836012861E-3</v>
      </c>
      <c r="BC21" s="106">
        <v>3.8002726999999998</v>
      </c>
      <c r="BD21" s="53">
        <v>293</v>
      </c>
      <c r="BE21" s="54">
        <v>3.4129999999999998E-3</v>
      </c>
      <c r="BF21" s="15">
        <v>8.1907999999999994</v>
      </c>
      <c r="BG21" s="53">
        <v>311</v>
      </c>
      <c r="BH21" s="54">
        <v>3.215E-3</v>
      </c>
      <c r="BI21" s="61">
        <v>3.8003</v>
      </c>
      <c r="BJ21" s="53">
        <v>311</v>
      </c>
      <c r="BK21" s="54">
        <v>3.215E-3</v>
      </c>
      <c r="BL21" s="61">
        <v>3.8003</v>
      </c>
      <c r="CH21" s="95">
        <v>273</v>
      </c>
      <c r="CI21" s="99">
        <v>990.45276000000001</v>
      </c>
      <c r="CJ21" s="53">
        <v>273</v>
      </c>
      <c r="CK21" s="61">
        <v>959.7672</v>
      </c>
      <c r="CL21" s="53">
        <v>273</v>
      </c>
      <c r="CM21" s="61">
        <v>959.7672</v>
      </c>
      <c r="CN21" s="53">
        <v>273</v>
      </c>
      <c r="CO21" s="61">
        <v>940.94209999999998</v>
      </c>
    </row>
    <row r="22" spans="2:93" ht="15" thickBot="1">
      <c r="B22" s="42"/>
      <c r="C22" s="43"/>
      <c r="D22" s="49"/>
      <c r="E22" s="42"/>
      <c r="F22" s="43"/>
      <c r="G22" s="66"/>
      <c r="K22" s="42"/>
      <c r="L22" s="43"/>
      <c r="M22" s="44"/>
      <c r="N22" s="42"/>
      <c r="O22" s="43"/>
      <c r="P22" s="72"/>
      <c r="Q22" s="42"/>
      <c r="R22" s="43"/>
      <c r="S22" s="8"/>
      <c r="W22" s="42"/>
      <c r="X22" s="43"/>
      <c r="Y22" s="8"/>
      <c r="AC22" s="46"/>
      <c r="AD22" s="47"/>
      <c r="AE22" s="26"/>
      <c r="AI22" s="42"/>
      <c r="AJ22" s="43"/>
      <c r="AK22" s="8"/>
      <c r="AL22" s="42"/>
      <c r="AM22" s="43"/>
      <c r="AN22" s="12"/>
      <c r="AO22" s="53">
        <v>279</v>
      </c>
      <c r="AP22" s="54">
        <v>3.5842299999999999E-3</v>
      </c>
      <c r="AQ22" s="94">
        <v>4.2372116999999996</v>
      </c>
      <c r="AR22" s="53">
        <v>286</v>
      </c>
      <c r="AS22" s="54">
        <v>3.4965030000000002E-3</v>
      </c>
      <c r="AT22" s="94">
        <v>4.3398529999999997</v>
      </c>
      <c r="AU22" s="53">
        <v>294</v>
      </c>
      <c r="AV22" s="54">
        <v>3.40136E-3</v>
      </c>
      <c r="AW22" s="94">
        <v>4.22729</v>
      </c>
      <c r="AX22" s="95">
        <v>303</v>
      </c>
      <c r="AY22" s="54">
        <f t="shared" si="0"/>
        <v>3.3003300330033004E-3</v>
      </c>
      <c r="AZ22" s="96">
        <v>4.2430960000000004</v>
      </c>
      <c r="BA22" s="95">
        <v>312</v>
      </c>
      <c r="BB22" s="97">
        <v>3.205128205128205E-3</v>
      </c>
      <c r="BC22" s="106">
        <v>4.1614623000000002</v>
      </c>
      <c r="BD22" s="53">
        <v>294</v>
      </c>
      <c r="BE22" s="54">
        <v>3.4009999999999999E-3</v>
      </c>
      <c r="BF22" s="15">
        <v>8.9436999999999998</v>
      </c>
      <c r="BG22" s="53">
        <v>312</v>
      </c>
      <c r="BH22" s="54">
        <v>3.2049999999999999E-3</v>
      </c>
      <c r="BI22" s="61">
        <v>4.1615000000000002</v>
      </c>
      <c r="BJ22" s="53">
        <v>312</v>
      </c>
      <c r="BK22" s="54">
        <v>3.2049999999999999E-3</v>
      </c>
      <c r="BL22" s="61">
        <v>4.1615000000000002</v>
      </c>
      <c r="CH22" s="95">
        <v>274</v>
      </c>
      <c r="CI22" s="99">
        <v>989.40030000000002</v>
      </c>
      <c r="CJ22" s="53">
        <v>274</v>
      </c>
      <c r="CK22" s="61">
        <v>958.72906</v>
      </c>
      <c r="CL22" s="53">
        <v>274</v>
      </c>
      <c r="CM22" s="61">
        <v>958.72906</v>
      </c>
      <c r="CN22" s="53">
        <v>274</v>
      </c>
      <c r="CO22" s="61">
        <v>939.9289</v>
      </c>
    </row>
    <row r="23" spans="2:93">
      <c r="B23" s="42"/>
      <c r="C23" s="43"/>
      <c r="D23" s="49"/>
      <c r="E23" s="42"/>
      <c r="F23" s="43"/>
      <c r="G23" s="66"/>
      <c r="K23" s="42"/>
      <c r="L23" s="43"/>
      <c r="M23" s="44"/>
      <c r="N23" s="42"/>
      <c r="O23" s="43"/>
      <c r="P23" s="72"/>
      <c r="Q23" s="42"/>
      <c r="R23" s="43"/>
      <c r="S23" s="8"/>
      <c r="W23" s="42"/>
      <c r="X23" s="43"/>
      <c r="Y23" s="6"/>
      <c r="AI23" s="42"/>
      <c r="AJ23" s="43"/>
      <c r="AK23" s="8"/>
      <c r="AL23" s="42"/>
      <c r="AM23" s="43"/>
      <c r="AN23" s="11"/>
      <c r="AO23" s="53">
        <v>280</v>
      </c>
      <c r="AP23" s="54">
        <v>3.57143E-3</v>
      </c>
      <c r="AQ23" s="94">
        <v>4.6528315999999998</v>
      </c>
      <c r="AR23" s="53">
        <v>287</v>
      </c>
      <c r="AS23" s="54">
        <v>3.4843209999999999E-3</v>
      </c>
      <c r="AT23" s="94">
        <v>4.7623319999999998</v>
      </c>
      <c r="AU23" s="53">
        <v>295</v>
      </c>
      <c r="AV23" s="54">
        <v>3.3898299999999999E-3</v>
      </c>
      <c r="AW23" s="94">
        <v>4.6355810000000002</v>
      </c>
      <c r="AX23" s="95">
        <v>304</v>
      </c>
      <c r="AY23" s="54">
        <f t="shared" si="0"/>
        <v>3.2894736842105261E-3</v>
      </c>
      <c r="AZ23" s="96">
        <v>4.6477909999999998</v>
      </c>
      <c r="BA23" s="95">
        <v>313</v>
      </c>
      <c r="BB23" s="97">
        <v>3.1948881789137379E-3</v>
      </c>
      <c r="BC23" s="106">
        <v>4.5539040000000002</v>
      </c>
      <c r="BD23" s="53">
        <v>295</v>
      </c>
      <c r="BE23" s="54">
        <v>3.3899999999999998E-3</v>
      </c>
      <c r="BF23" s="15">
        <v>9.7591000000000001</v>
      </c>
      <c r="BG23" s="53">
        <v>313</v>
      </c>
      <c r="BH23" s="54">
        <v>3.1949999999999999E-3</v>
      </c>
      <c r="BI23" s="61">
        <v>4.5538999999999996</v>
      </c>
      <c r="BJ23" s="53">
        <v>313</v>
      </c>
      <c r="BK23" s="54">
        <v>3.1949999999999999E-3</v>
      </c>
      <c r="BL23" s="61">
        <v>4.5538999999999996</v>
      </c>
      <c r="CH23" s="95">
        <v>275</v>
      </c>
      <c r="CI23" s="99">
        <v>988.34784000000002</v>
      </c>
      <c r="CJ23" s="53">
        <v>275</v>
      </c>
      <c r="CK23" s="61">
        <v>957.69086000000004</v>
      </c>
      <c r="CL23" s="53">
        <v>275</v>
      </c>
      <c r="CM23" s="61">
        <v>957.69086000000004</v>
      </c>
      <c r="CN23" s="53">
        <v>275</v>
      </c>
      <c r="CO23" s="61">
        <v>938.91579999999999</v>
      </c>
    </row>
    <row r="24" spans="2:93">
      <c r="B24" s="42"/>
      <c r="C24" s="43"/>
      <c r="D24" s="49"/>
      <c r="E24" s="42"/>
      <c r="F24" s="43"/>
      <c r="G24" s="66"/>
      <c r="K24" s="42"/>
      <c r="L24" s="43"/>
      <c r="M24" s="44"/>
      <c r="N24" s="42"/>
      <c r="O24" s="43"/>
      <c r="P24" s="72"/>
      <c r="Q24" s="42"/>
      <c r="R24" s="43"/>
      <c r="S24" s="8"/>
      <c r="W24" s="42"/>
      <c r="X24" s="43"/>
      <c r="Y24" s="6"/>
      <c r="AI24" s="42"/>
      <c r="AJ24" s="43"/>
      <c r="AK24" s="8"/>
      <c r="AL24" s="42"/>
      <c r="AM24" s="43"/>
      <c r="AN24" s="11"/>
      <c r="AO24" s="53">
        <v>281</v>
      </c>
      <c r="AP24" s="54">
        <v>3.55872E-3</v>
      </c>
      <c r="AQ24" s="94">
        <v>5.1053905000000004</v>
      </c>
      <c r="AR24" s="53">
        <v>288</v>
      </c>
      <c r="AS24" s="54">
        <v>3.4722220000000001E-3</v>
      </c>
      <c r="AT24" s="94">
        <v>5.2221120000000001</v>
      </c>
      <c r="AU24" s="53">
        <v>296</v>
      </c>
      <c r="AV24" s="54">
        <v>3.3783799999999998E-3</v>
      </c>
      <c r="AW24" s="94">
        <v>5.0796789999999996</v>
      </c>
      <c r="AX24" s="95">
        <v>305</v>
      </c>
      <c r="AY24" s="54">
        <f t="shared" si="0"/>
        <v>3.2786885245901639E-3</v>
      </c>
      <c r="AZ24" s="96">
        <v>5.0875709999999996</v>
      </c>
      <c r="BA24" s="95">
        <v>314</v>
      </c>
      <c r="BB24" s="97">
        <v>3.1847133757961785E-3</v>
      </c>
      <c r="BC24" s="106">
        <v>4.9800234000000003</v>
      </c>
      <c r="BD24" s="53">
        <v>296</v>
      </c>
      <c r="BE24" s="54">
        <v>3.3779999999999999E-3</v>
      </c>
      <c r="BF24" s="15">
        <v>10.641999999999999</v>
      </c>
      <c r="BG24" s="53">
        <v>314</v>
      </c>
      <c r="BH24" s="54">
        <v>3.1849999999999999E-3</v>
      </c>
      <c r="BI24" s="61">
        <v>4.9800000000000004</v>
      </c>
      <c r="BJ24" s="53">
        <v>314</v>
      </c>
      <c r="BK24" s="54">
        <v>3.1849999999999999E-3</v>
      </c>
      <c r="BL24" s="61">
        <v>4.9800000000000004</v>
      </c>
      <c r="CH24" s="95">
        <v>276</v>
      </c>
      <c r="CI24" s="99">
        <v>987.29520000000002</v>
      </c>
      <c r="CJ24" s="53">
        <v>276</v>
      </c>
      <c r="CK24" s="61">
        <v>956.65269999999998</v>
      </c>
      <c r="CL24" s="53">
        <v>276</v>
      </c>
      <c r="CM24" s="61">
        <v>956.65269999999998</v>
      </c>
      <c r="CN24" s="53">
        <v>276</v>
      </c>
      <c r="CO24" s="61">
        <v>937.90269999999998</v>
      </c>
    </row>
    <row r="25" spans="2:93" ht="15" thickBot="1">
      <c r="B25" s="42"/>
      <c r="C25" s="43"/>
      <c r="D25" s="49"/>
      <c r="E25" s="42"/>
      <c r="F25" s="43"/>
      <c r="G25" s="66"/>
      <c r="K25" s="42"/>
      <c r="L25" s="43"/>
      <c r="M25" s="44"/>
      <c r="N25" s="42"/>
      <c r="O25" s="43"/>
      <c r="P25" s="72"/>
      <c r="Q25" s="42"/>
      <c r="R25" s="43"/>
      <c r="S25" s="6"/>
      <c r="W25" s="46"/>
      <c r="X25" s="47"/>
      <c r="Y25" s="26"/>
      <c r="AI25" s="42"/>
      <c r="AJ25" s="43"/>
      <c r="AK25" s="6"/>
      <c r="AL25" s="46"/>
      <c r="AM25" s="47"/>
      <c r="AN25" s="33"/>
      <c r="AO25" s="53">
        <v>282</v>
      </c>
      <c r="AP25" s="54">
        <v>3.5460999999999999E-3</v>
      </c>
      <c r="AQ25" s="94">
        <v>5.5978190000000003</v>
      </c>
      <c r="AR25" s="53">
        <v>289</v>
      </c>
      <c r="AS25" s="54">
        <v>3.4602080000000002E-3</v>
      </c>
      <c r="AT25" s="94">
        <v>5.7221310000000001</v>
      </c>
      <c r="AU25" s="53">
        <v>297</v>
      </c>
      <c r="AV25" s="54">
        <v>3.3670000000000002E-3</v>
      </c>
      <c r="AW25" s="94">
        <v>5.562392</v>
      </c>
      <c r="AX25" s="95">
        <v>306</v>
      </c>
      <c r="AY25" s="54">
        <f t="shared" si="0"/>
        <v>3.2679738562091504E-3</v>
      </c>
      <c r="AZ25" s="96">
        <v>5.5651609999999998</v>
      </c>
      <c r="BA25" s="95">
        <v>315</v>
      </c>
      <c r="BB25" s="97">
        <v>3.1746031746031746E-3</v>
      </c>
      <c r="BC25" s="106">
        <v>5.4424130000000002</v>
      </c>
      <c r="BD25" s="53">
        <v>297</v>
      </c>
      <c r="BE25" s="54">
        <v>3.3670000000000002E-3</v>
      </c>
      <c r="BF25" s="15">
        <v>11.597</v>
      </c>
      <c r="BG25" s="53">
        <v>315</v>
      </c>
      <c r="BH25" s="54">
        <v>3.1749999999999999E-3</v>
      </c>
      <c r="BI25" s="61">
        <v>5.4424000000000001</v>
      </c>
      <c r="BJ25" s="53">
        <v>315</v>
      </c>
      <c r="BK25" s="54">
        <v>3.1749999999999999E-3</v>
      </c>
      <c r="BL25" s="61">
        <v>5.4424000000000001</v>
      </c>
      <c r="CH25" s="95">
        <v>277</v>
      </c>
      <c r="CI25" s="99">
        <v>986.24255000000005</v>
      </c>
      <c r="CJ25" s="53">
        <v>277</v>
      </c>
      <c r="CK25" s="61">
        <v>955.61455999999998</v>
      </c>
      <c r="CL25" s="53">
        <v>277</v>
      </c>
      <c r="CM25" s="61">
        <v>955.61455999999998</v>
      </c>
      <c r="CN25" s="53">
        <v>277</v>
      </c>
      <c r="CO25" s="61">
        <v>936.88969999999995</v>
      </c>
    </row>
    <row r="26" spans="2:93" ht="15" thickBot="1">
      <c r="B26" s="42"/>
      <c r="C26" s="43"/>
      <c r="D26" s="49"/>
      <c r="E26" s="42"/>
      <c r="F26" s="43"/>
      <c r="G26" s="66"/>
      <c r="K26" s="42"/>
      <c r="L26" s="43"/>
      <c r="M26" s="44"/>
      <c r="N26" s="46"/>
      <c r="O26" s="47"/>
      <c r="P26" s="73"/>
      <c r="Q26" s="42"/>
      <c r="R26" s="43"/>
      <c r="S26" s="6"/>
      <c r="AI26" s="42"/>
      <c r="AJ26" s="43"/>
      <c r="AK26" s="6"/>
      <c r="AO26" s="53">
        <v>283</v>
      </c>
      <c r="AP26" s="54">
        <v>3.5335700000000002E-3</v>
      </c>
      <c r="AQ26" s="94">
        <v>6.1332483</v>
      </c>
      <c r="AR26" s="53">
        <v>290</v>
      </c>
      <c r="AS26" s="54">
        <v>3.4482760000000001E-3</v>
      </c>
      <c r="AT26" s="94">
        <v>6.265536</v>
      </c>
      <c r="AU26" s="53">
        <v>298</v>
      </c>
      <c r="AV26" s="54">
        <v>3.3557000000000001E-3</v>
      </c>
      <c r="AW26" s="94">
        <v>6.0867240000000002</v>
      </c>
      <c r="AX26" s="95">
        <v>307</v>
      </c>
      <c r="AY26" s="54">
        <f t="shared" si="0"/>
        <v>3.2573289902280132E-3</v>
      </c>
      <c r="AZ26" s="96">
        <v>6.0834720000000004</v>
      </c>
      <c r="BA26" s="95">
        <v>316</v>
      </c>
      <c r="BB26" s="97">
        <v>3.1645569620253164E-3</v>
      </c>
      <c r="BC26" s="106">
        <v>5.9438399999999998</v>
      </c>
      <c r="BD26" s="53">
        <v>298</v>
      </c>
      <c r="BE26" s="54">
        <v>3.356E-3</v>
      </c>
      <c r="BF26" s="15">
        <v>12.629</v>
      </c>
      <c r="BG26" s="53">
        <v>316</v>
      </c>
      <c r="BH26" s="54">
        <v>3.1649999999999998E-3</v>
      </c>
      <c r="BI26" s="61">
        <v>5.9438000000000004</v>
      </c>
      <c r="BJ26" s="53">
        <v>316</v>
      </c>
      <c r="BK26" s="54">
        <v>3.1649999999999998E-3</v>
      </c>
      <c r="BL26" s="61">
        <v>5.9438000000000004</v>
      </c>
      <c r="CH26" s="95">
        <v>278</v>
      </c>
      <c r="CI26" s="99">
        <v>985.18979999999999</v>
      </c>
      <c r="CJ26" s="53">
        <v>278</v>
      </c>
      <c r="CK26" s="61">
        <v>954.57640000000004</v>
      </c>
      <c r="CL26" s="53">
        <v>278</v>
      </c>
      <c r="CM26" s="61">
        <v>954.57640000000004</v>
      </c>
      <c r="CN26" s="53">
        <v>278</v>
      </c>
      <c r="CO26" s="61">
        <v>935.87683000000004</v>
      </c>
    </row>
    <row r="27" spans="2:93" ht="15" thickBot="1">
      <c r="B27" s="42"/>
      <c r="C27" s="43"/>
      <c r="D27" s="49"/>
      <c r="E27" s="42"/>
      <c r="F27" s="43"/>
      <c r="G27" s="66"/>
      <c r="K27" s="42"/>
      <c r="L27" s="43"/>
      <c r="M27" s="92"/>
      <c r="Q27" s="46"/>
      <c r="R27" s="47"/>
      <c r="S27" s="26"/>
      <c r="AI27" s="46"/>
      <c r="AJ27" s="47"/>
      <c r="AK27" s="26"/>
      <c r="AO27" s="53">
        <v>284</v>
      </c>
      <c r="AP27" s="54">
        <v>3.5211299999999999E-3</v>
      </c>
      <c r="AQ27" s="94">
        <v>6.7150259999999999</v>
      </c>
      <c r="AR27" s="53">
        <v>291</v>
      </c>
      <c r="AS27" s="54">
        <v>3.4364259999999998E-3</v>
      </c>
      <c r="AT27" s="94">
        <v>6.8556850000000003</v>
      </c>
      <c r="AU27" s="53">
        <v>299</v>
      </c>
      <c r="AV27" s="54">
        <v>3.3444799999999999E-3</v>
      </c>
      <c r="AW27" s="94">
        <v>6.6558799999999998</v>
      </c>
      <c r="AX27" s="95">
        <v>308</v>
      </c>
      <c r="AY27" s="54">
        <f t="shared" si="0"/>
        <v>3.246753246753247E-3</v>
      </c>
      <c r="AZ27" s="96">
        <v>6.6456084000000004</v>
      </c>
      <c r="BA27" s="95">
        <v>317</v>
      </c>
      <c r="BB27" s="97">
        <v>3.1545741324921135E-3</v>
      </c>
      <c r="BC27" s="106">
        <v>6.4872575000000001</v>
      </c>
      <c r="BD27" s="53">
        <v>299</v>
      </c>
      <c r="BE27" s="54">
        <v>3.3440000000000002E-3</v>
      </c>
      <c r="BF27" s="15">
        <v>13.744</v>
      </c>
      <c r="BG27" s="53">
        <v>317</v>
      </c>
      <c r="BH27" s="54">
        <v>3.1549999999999998E-3</v>
      </c>
      <c r="BI27" s="61">
        <v>6.4873000000000003</v>
      </c>
      <c r="BJ27" s="53">
        <v>317</v>
      </c>
      <c r="BK27" s="54">
        <v>3.1549999999999998E-3</v>
      </c>
      <c r="BL27" s="61">
        <v>6.4873000000000003</v>
      </c>
      <c r="CH27" s="95">
        <v>279</v>
      </c>
      <c r="CI27" s="99">
        <v>984.13696000000004</v>
      </c>
      <c r="CJ27" s="53">
        <v>279</v>
      </c>
      <c r="CK27" s="61">
        <v>953.53827000000001</v>
      </c>
      <c r="CL27" s="53">
        <v>279</v>
      </c>
      <c r="CM27" s="61">
        <v>953.53827000000001</v>
      </c>
      <c r="CN27" s="53">
        <v>279</v>
      </c>
      <c r="CO27" s="61">
        <v>934.86395000000005</v>
      </c>
    </row>
    <row r="28" spans="2:93">
      <c r="B28" s="42"/>
      <c r="C28" s="43"/>
      <c r="D28" s="49"/>
      <c r="E28" s="42"/>
      <c r="F28" s="43"/>
      <c r="G28" s="66"/>
      <c r="K28" s="42"/>
      <c r="L28" s="43"/>
      <c r="M28" s="92"/>
      <c r="AO28" s="53">
        <v>285</v>
      </c>
      <c r="AP28" s="54">
        <v>3.50877E-3</v>
      </c>
      <c r="AQ28" s="94">
        <v>7.3467254999999998</v>
      </c>
      <c r="AR28" s="53">
        <v>292</v>
      </c>
      <c r="AS28" s="54">
        <v>3.4246580000000001E-3</v>
      </c>
      <c r="AT28" s="94">
        <v>7.496162</v>
      </c>
      <c r="AU28" s="53">
        <v>300</v>
      </c>
      <c r="AV28" s="54">
        <v>3.3333299999999998E-3</v>
      </c>
      <c r="AW28" s="94">
        <v>7.273282</v>
      </c>
      <c r="AX28" s="95">
        <v>309</v>
      </c>
      <c r="AY28" s="54">
        <f t="shared" si="0"/>
        <v>3.2362459546925568E-3</v>
      </c>
      <c r="AZ28" s="96">
        <v>7.2548857</v>
      </c>
      <c r="BA28" s="95">
        <v>318</v>
      </c>
      <c r="BB28" s="97">
        <v>3.1446540880503146E-3</v>
      </c>
      <c r="BC28" s="106">
        <v>7.0758141999999999</v>
      </c>
      <c r="BD28" s="53">
        <v>300</v>
      </c>
      <c r="BE28" s="54">
        <v>3.333E-3</v>
      </c>
      <c r="BF28" s="15">
        <v>14.948</v>
      </c>
      <c r="BG28" s="53">
        <v>318</v>
      </c>
      <c r="BH28" s="54">
        <v>3.1449999999999998E-3</v>
      </c>
      <c r="BI28" s="61">
        <v>7.0758000000000001</v>
      </c>
      <c r="BJ28" s="53">
        <v>318</v>
      </c>
      <c r="BK28" s="54">
        <v>3.1449999999999998E-3</v>
      </c>
      <c r="BL28" s="61">
        <v>7.0758000000000001</v>
      </c>
      <c r="CH28" s="95">
        <v>280</v>
      </c>
      <c r="CI28" s="99">
        <v>983.08399999999995</v>
      </c>
      <c r="CJ28" s="53">
        <v>280</v>
      </c>
      <c r="CK28" s="61">
        <v>952.50005999999996</v>
      </c>
      <c r="CL28" s="53">
        <v>280</v>
      </c>
      <c r="CM28" s="61">
        <v>952.50005999999996</v>
      </c>
      <c r="CN28" s="53">
        <v>280</v>
      </c>
      <c r="CO28" s="61">
        <v>933.85119999999995</v>
      </c>
    </row>
    <row r="29" spans="2:93">
      <c r="B29" s="42"/>
      <c r="C29" s="43"/>
      <c r="D29" s="49"/>
      <c r="E29" s="42"/>
      <c r="F29" s="43"/>
      <c r="G29" s="66"/>
      <c r="K29" s="42"/>
      <c r="L29" s="43"/>
      <c r="M29" s="92"/>
      <c r="AO29" s="53">
        <v>286</v>
      </c>
      <c r="AP29" s="54">
        <v>3.4965E-3</v>
      </c>
      <c r="AQ29" s="94">
        <v>8.0321619999999996</v>
      </c>
      <c r="AR29" s="53">
        <v>293</v>
      </c>
      <c r="AS29" s="54">
        <v>3.4129690000000001E-3</v>
      </c>
      <c r="AT29" s="94">
        <v>8.1907949999999996</v>
      </c>
      <c r="AU29" s="53">
        <v>301</v>
      </c>
      <c r="AV29" s="54">
        <v>3.3222600000000001E-3</v>
      </c>
      <c r="AW29" s="94">
        <v>7.9425809999999997</v>
      </c>
      <c r="AX29" s="95">
        <v>310</v>
      </c>
      <c r="AY29" s="54">
        <f t="shared" si="0"/>
        <v>3.2258064516129032E-3</v>
      </c>
      <c r="AZ29" s="96">
        <v>7.9148360000000002</v>
      </c>
      <c r="BA29" s="95">
        <v>319</v>
      </c>
      <c r="BB29" s="97">
        <v>3.134796238244514E-3</v>
      </c>
      <c r="BC29" s="106">
        <v>7.7128654000000001</v>
      </c>
      <c r="BD29" s="53">
        <v>301</v>
      </c>
      <c r="BE29" s="54">
        <v>3.3219999999999999E-3</v>
      </c>
      <c r="BF29" s="15">
        <v>16.247</v>
      </c>
      <c r="BG29" s="53">
        <v>319</v>
      </c>
      <c r="BH29" s="54">
        <v>3.1350000000000002E-3</v>
      </c>
      <c r="BI29" s="61">
        <v>7.7129000000000003</v>
      </c>
      <c r="BJ29" s="53">
        <v>319</v>
      </c>
      <c r="BK29" s="54">
        <v>3.1350000000000002E-3</v>
      </c>
      <c r="BL29" s="61">
        <v>7.7129000000000003</v>
      </c>
      <c r="CH29" s="95">
        <v>281</v>
      </c>
      <c r="CI29" s="99">
        <v>982.03089999999997</v>
      </c>
      <c r="CJ29" s="53">
        <v>281</v>
      </c>
      <c r="CK29" s="61">
        <v>951.46185000000003</v>
      </c>
      <c r="CL29" s="53">
        <v>281</v>
      </c>
      <c r="CM29" s="61">
        <v>951.46185000000003</v>
      </c>
      <c r="CN29" s="53">
        <v>281</v>
      </c>
      <c r="CO29" s="61">
        <v>932.83843999999999</v>
      </c>
    </row>
    <row r="30" spans="2:93">
      <c r="B30" s="42"/>
      <c r="C30" s="43"/>
      <c r="D30" s="49"/>
      <c r="E30" s="42"/>
      <c r="F30" s="43"/>
      <c r="G30" s="66"/>
      <c r="K30" s="42"/>
      <c r="L30" s="43"/>
      <c r="M30" s="92"/>
      <c r="AO30" s="53">
        <v>287</v>
      </c>
      <c r="AP30" s="54">
        <v>3.48432E-3</v>
      </c>
      <c r="AQ30" s="94">
        <v>8.7753999999999994</v>
      </c>
      <c r="AR30" s="53">
        <v>294</v>
      </c>
      <c r="AS30" s="54">
        <v>3.4013609999999999E-3</v>
      </c>
      <c r="AT30" s="94">
        <v>8.9436610000000005</v>
      </c>
      <c r="AU30" s="53">
        <v>302</v>
      </c>
      <c r="AV30" s="54">
        <v>3.3112599999999999E-3</v>
      </c>
      <c r="AW30" s="94">
        <v>8.6676680000000008</v>
      </c>
      <c r="AX30" s="95">
        <v>311</v>
      </c>
      <c r="AY30" s="54">
        <f t="shared" si="0"/>
        <v>3.2154340836012861E-3</v>
      </c>
      <c r="AZ30" s="96">
        <v>8.6292240000000007</v>
      </c>
      <c r="BA30" s="95">
        <v>320</v>
      </c>
      <c r="BB30" s="97">
        <v>3.1250000000000002E-3</v>
      </c>
      <c r="BC30" s="106">
        <v>8.4019849999999998</v>
      </c>
      <c r="BD30" s="53">
        <v>302</v>
      </c>
      <c r="BE30" s="54">
        <v>3.3110000000000001E-3</v>
      </c>
      <c r="BF30" s="15">
        <v>17.648</v>
      </c>
      <c r="BG30" s="53">
        <v>320</v>
      </c>
      <c r="BH30" s="54">
        <v>3.1250000000000002E-3</v>
      </c>
      <c r="BI30" s="61">
        <v>8.4019999999999992</v>
      </c>
      <c r="BJ30" s="53">
        <v>320</v>
      </c>
      <c r="BK30" s="54">
        <v>3.1250000000000002E-3</v>
      </c>
      <c r="BL30" s="61">
        <v>8.4019999999999992</v>
      </c>
      <c r="CH30" s="95">
        <v>282</v>
      </c>
      <c r="CI30" s="99">
        <v>980.97766000000001</v>
      </c>
      <c r="CJ30" s="53">
        <v>282</v>
      </c>
      <c r="CK30" s="61">
        <v>950.42364999999995</v>
      </c>
      <c r="CL30" s="53">
        <v>282</v>
      </c>
      <c r="CM30" s="61">
        <v>950.42364999999995</v>
      </c>
      <c r="CN30" s="53">
        <v>282</v>
      </c>
      <c r="CO30" s="61">
        <v>931.82569999999998</v>
      </c>
    </row>
    <row r="31" spans="2:93">
      <c r="B31" s="42"/>
      <c r="C31" s="43"/>
      <c r="D31" s="49"/>
      <c r="E31" s="42"/>
      <c r="F31" s="43"/>
      <c r="G31" s="66"/>
      <c r="K31" s="42"/>
      <c r="L31" s="43"/>
      <c r="M31" s="92"/>
      <c r="AO31" s="53">
        <v>288</v>
      </c>
      <c r="AP31" s="54">
        <v>3.4722199999999998E-3</v>
      </c>
      <c r="AQ31" s="94">
        <v>9.5807780000000005</v>
      </c>
      <c r="AR31" s="53">
        <v>295</v>
      </c>
      <c r="AS31" s="54">
        <v>3.3898309999999998E-3</v>
      </c>
      <c r="AT31" s="94">
        <v>9.7591049999999999</v>
      </c>
      <c r="AU31" s="53">
        <v>303</v>
      </c>
      <c r="AV31" s="54">
        <v>3.3003300000000002E-3</v>
      </c>
      <c r="AW31" s="94">
        <v>9.4526889999999995</v>
      </c>
      <c r="AX31" s="95">
        <v>312</v>
      </c>
      <c r="AY31" s="54">
        <f t="shared" si="0"/>
        <v>3.205128205128205E-3</v>
      </c>
      <c r="AZ31" s="96">
        <v>9.4020580000000002</v>
      </c>
      <c r="BA31" s="95">
        <v>321</v>
      </c>
      <c r="BB31" s="97">
        <v>3.1152647975077881E-3</v>
      </c>
      <c r="BC31" s="106">
        <v>9.1469780000000007</v>
      </c>
      <c r="BD31" s="53">
        <v>303</v>
      </c>
      <c r="BE31" s="54">
        <v>3.3E-3</v>
      </c>
      <c r="BF31" s="15">
        <v>19.157</v>
      </c>
      <c r="BG31" s="53">
        <v>321</v>
      </c>
      <c r="BH31" s="54">
        <v>3.1150000000000001E-3</v>
      </c>
      <c r="BI31" s="61">
        <v>9.1470000000000002</v>
      </c>
      <c r="BJ31" s="53">
        <v>321</v>
      </c>
      <c r="BK31" s="54">
        <v>3.1150000000000001E-3</v>
      </c>
      <c r="BL31" s="61">
        <v>9.1470000000000002</v>
      </c>
      <c r="CH31" s="95">
        <v>283</v>
      </c>
      <c r="CI31" s="99">
        <v>979.92426</v>
      </c>
      <c r="CJ31" s="53">
        <v>283</v>
      </c>
      <c r="CK31" s="61">
        <v>949.3854</v>
      </c>
      <c r="CL31" s="53">
        <v>283</v>
      </c>
      <c r="CM31" s="61">
        <v>949.3854</v>
      </c>
      <c r="CN31" s="53">
        <v>283</v>
      </c>
      <c r="CO31" s="61">
        <v>930.81299999999999</v>
      </c>
    </row>
    <row r="32" spans="2:93">
      <c r="B32" s="42"/>
      <c r="C32" s="43"/>
      <c r="D32" s="49"/>
      <c r="E32" s="42"/>
      <c r="F32" s="43"/>
      <c r="G32" s="92"/>
      <c r="K32" s="42"/>
      <c r="L32" s="43"/>
      <c r="M32" s="92"/>
      <c r="AO32" s="53">
        <v>289</v>
      </c>
      <c r="AP32" s="54">
        <v>3.46021E-3</v>
      </c>
      <c r="AQ32" s="60">
        <v>10.452909999999999</v>
      </c>
      <c r="AR32" s="53">
        <v>296</v>
      </c>
      <c r="AS32" s="54">
        <v>3.378378E-3</v>
      </c>
      <c r="AT32" s="60">
        <v>10.64176</v>
      </c>
      <c r="AU32" s="53">
        <v>304</v>
      </c>
      <c r="AV32" s="54">
        <v>3.2894700000000001E-3</v>
      </c>
      <c r="AW32" s="60">
        <v>10.302060000000001</v>
      </c>
      <c r="AX32" s="95">
        <v>313</v>
      </c>
      <c r="AY32" s="54">
        <f t="shared" si="0"/>
        <v>3.1948881789137379E-3</v>
      </c>
      <c r="AZ32" s="98">
        <v>10.237603</v>
      </c>
      <c r="BA32" s="95">
        <v>322</v>
      </c>
      <c r="BB32" s="97">
        <v>3.105590062111801E-3</v>
      </c>
      <c r="BC32" s="106">
        <v>9.9518920000000008</v>
      </c>
      <c r="BD32" s="53">
        <v>304</v>
      </c>
      <c r="BE32" s="54">
        <v>3.2889999999999998E-3</v>
      </c>
      <c r="BF32" s="15">
        <v>20.783999999999999</v>
      </c>
      <c r="BG32" s="53">
        <v>322</v>
      </c>
      <c r="BH32" s="54">
        <v>3.1059999999999998E-3</v>
      </c>
      <c r="BI32" s="61">
        <v>9.9519000000000002</v>
      </c>
      <c r="BJ32" s="53">
        <v>322</v>
      </c>
      <c r="BK32" s="54">
        <v>3.1059999999999998E-3</v>
      </c>
      <c r="BL32" s="61">
        <v>9.9519000000000002</v>
      </c>
      <c r="CH32" s="95">
        <v>284</v>
      </c>
      <c r="CI32" s="99">
        <v>978.87080000000003</v>
      </c>
      <c r="CJ32" s="53">
        <v>284</v>
      </c>
      <c r="CK32" s="61">
        <v>948.34704999999997</v>
      </c>
      <c r="CL32" s="53">
        <v>284</v>
      </c>
      <c r="CM32" s="61">
        <v>948.34704999999997</v>
      </c>
      <c r="CN32" s="53">
        <v>284</v>
      </c>
      <c r="CO32" s="61">
        <v>929.80034999999998</v>
      </c>
    </row>
    <row r="33" spans="2:93">
      <c r="B33" s="42"/>
      <c r="C33" s="43"/>
      <c r="D33" s="49"/>
      <c r="E33" s="42"/>
      <c r="F33" s="43"/>
      <c r="G33" s="92"/>
      <c r="K33" s="42"/>
      <c r="L33" s="43"/>
      <c r="M33" s="92"/>
      <c r="AO33" s="53">
        <v>290</v>
      </c>
      <c r="AP33" s="54">
        <v>3.4482800000000002E-3</v>
      </c>
      <c r="AQ33" s="60">
        <v>11.396713</v>
      </c>
      <c r="AR33" s="53">
        <v>297</v>
      </c>
      <c r="AS33" s="54">
        <v>3.3670029999999999E-3</v>
      </c>
      <c r="AT33" s="60">
        <v>11.596539999999999</v>
      </c>
      <c r="AU33" s="53">
        <v>305</v>
      </c>
      <c r="AV33" s="54">
        <v>3.2786899999999999E-3</v>
      </c>
      <c r="AW33" s="60">
        <v>11.220470000000001</v>
      </c>
      <c r="AX33" s="95">
        <v>314</v>
      </c>
      <c r="AY33" s="54">
        <f t="shared" si="0"/>
        <v>3.1847133757961785E-3</v>
      </c>
      <c r="AZ33" s="98">
        <v>11.1404</v>
      </c>
      <c r="BA33" s="95">
        <v>323</v>
      </c>
      <c r="BB33" s="97">
        <v>3.0959752321981426E-3</v>
      </c>
      <c r="BC33" s="107">
        <v>10.821028</v>
      </c>
      <c r="BD33" s="53">
        <v>305</v>
      </c>
      <c r="BE33" s="54">
        <v>3.2789999999999998E-3</v>
      </c>
      <c r="BF33" s="15">
        <v>22.533999999999999</v>
      </c>
      <c r="BG33" s="53">
        <v>323</v>
      </c>
      <c r="BH33" s="54">
        <v>3.0959999999999998E-3</v>
      </c>
      <c r="BI33" s="61">
        <v>10.821</v>
      </c>
      <c r="BJ33" s="53">
        <v>323</v>
      </c>
      <c r="BK33" s="54">
        <v>3.0959999999999998E-3</v>
      </c>
      <c r="BL33" s="61">
        <v>10.821</v>
      </c>
      <c r="CH33" s="95">
        <v>285</v>
      </c>
      <c r="CI33" s="99">
        <v>977.81713999999999</v>
      </c>
      <c r="CJ33" s="53">
        <v>285</v>
      </c>
      <c r="CK33" s="61">
        <v>947.30864999999994</v>
      </c>
      <c r="CL33" s="53">
        <v>285</v>
      </c>
      <c r="CM33" s="61">
        <v>947.30864999999994</v>
      </c>
      <c r="CN33" s="53">
        <v>285</v>
      </c>
      <c r="CO33" s="61">
        <v>928.78769999999997</v>
      </c>
    </row>
    <row r="34" spans="2:93">
      <c r="B34" s="42"/>
      <c r="C34" s="43"/>
      <c r="D34" s="49"/>
      <c r="E34" s="42"/>
      <c r="F34" s="43"/>
      <c r="G34" s="92"/>
      <c r="K34" s="42"/>
      <c r="L34" s="43"/>
      <c r="M34" s="92"/>
      <c r="AO34" s="53">
        <v>291</v>
      </c>
      <c r="AP34" s="54">
        <v>3.4364299999999999E-3</v>
      </c>
      <c r="AQ34" s="60">
        <v>12.417415</v>
      </c>
      <c r="AR34" s="53">
        <v>298</v>
      </c>
      <c r="AS34" s="54">
        <v>3.3557050000000001E-3</v>
      </c>
      <c r="AT34" s="60">
        <v>12.6287</v>
      </c>
      <c r="AU34" s="53">
        <v>306</v>
      </c>
      <c r="AV34" s="54">
        <v>3.2679699999999998E-3</v>
      </c>
      <c r="AW34" s="60">
        <v>12.21293</v>
      </c>
      <c r="AX34" s="95">
        <v>315</v>
      </c>
      <c r="AY34" s="54">
        <f t="shared" si="0"/>
        <v>3.1746031746031746E-3</v>
      </c>
      <c r="AZ34" s="98">
        <v>12.115270000000001</v>
      </c>
      <c r="BA34" s="95">
        <v>324</v>
      </c>
      <c r="BB34" s="97">
        <v>3.0864197530864196E-3</v>
      </c>
      <c r="BC34" s="107">
        <v>11.758962</v>
      </c>
      <c r="BD34" s="53">
        <v>306</v>
      </c>
      <c r="BE34" s="54">
        <v>3.2680000000000001E-3</v>
      </c>
      <c r="BF34" s="15">
        <v>24.417000000000002</v>
      </c>
      <c r="BG34" s="53">
        <v>324</v>
      </c>
      <c r="BH34" s="54">
        <v>3.0860000000000002E-3</v>
      </c>
      <c r="BI34" s="61">
        <v>11.759</v>
      </c>
      <c r="BJ34" s="53">
        <v>324</v>
      </c>
      <c r="BK34" s="54">
        <v>3.0860000000000002E-3</v>
      </c>
      <c r="BL34" s="61">
        <v>11.759</v>
      </c>
      <c r="CH34" s="95">
        <v>286</v>
      </c>
      <c r="CI34" s="99">
        <v>976.76329999999996</v>
      </c>
      <c r="CJ34" s="53">
        <v>286</v>
      </c>
      <c r="CK34" s="61">
        <v>946.27020000000005</v>
      </c>
      <c r="CL34" s="53">
        <v>286</v>
      </c>
      <c r="CM34" s="61">
        <v>946.27020000000005</v>
      </c>
      <c r="CN34" s="53">
        <v>286</v>
      </c>
      <c r="CO34" s="61">
        <v>927.77499999999998</v>
      </c>
    </row>
    <row r="35" spans="2:93">
      <c r="B35" s="42"/>
      <c r="C35" s="43"/>
      <c r="D35" s="49"/>
      <c r="E35" s="42"/>
      <c r="F35" s="43"/>
      <c r="G35" s="92"/>
      <c r="K35" s="42"/>
      <c r="L35" s="43"/>
      <c r="M35" s="66"/>
      <c r="AO35" s="53">
        <v>292</v>
      </c>
      <c r="AP35" s="54">
        <v>3.4246599999999999E-3</v>
      </c>
      <c r="AQ35" s="60">
        <v>13.520574999999999</v>
      </c>
      <c r="AR35" s="53">
        <v>299</v>
      </c>
      <c r="AS35" s="54">
        <v>3.3444820000000002E-3</v>
      </c>
      <c r="AT35" s="60">
        <v>13.743790000000001</v>
      </c>
      <c r="AU35" s="53">
        <v>307</v>
      </c>
      <c r="AV35" s="54">
        <v>3.2573300000000001E-3</v>
      </c>
      <c r="AW35" s="60">
        <v>13.28473</v>
      </c>
      <c r="AX35" s="95">
        <v>316</v>
      </c>
      <c r="AY35" s="54">
        <f t="shared" si="0"/>
        <v>3.1645569620253164E-3</v>
      </c>
      <c r="AZ35" s="98">
        <v>13.167337</v>
      </c>
      <c r="BA35" s="95">
        <v>325</v>
      </c>
      <c r="BB35" s="97">
        <v>3.0769230769230769E-3</v>
      </c>
      <c r="BC35" s="107">
        <v>12.770549000000001</v>
      </c>
      <c r="BD35" s="53">
        <v>307</v>
      </c>
      <c r="BE35" s="54">
        <v>3.2569999999999999E-3</v>
      </c>
      <c r="BF35" s="15">
        <v>26.442</v>
      </c>
      <c r="BG35" s="53">
        <v>325</v>
      </c>
      <c r="BH35" s="54">
        <v>3.0769999999999999E-3</v>
      </c>
      <c r="BI35" s="61">
        <v>12.771000000000001</v>
      </c>
      <c r="BJ35" s="53">
        <v>325</v>
      </c>
      <c r="BK35" s="54">
        <v>3.0769999999999999E-3</v>
      </c>
      <c r="BL35" s="61">
        <v>12.771000000000001</v>
      </c>
      <c r="CH35" s="95">
        <v>287</v>
      </c>
      <c r="CI35" s="99">
        <v>975.70934999999997</v>
      </c>
      <c r="CJ35" s="53">
        <v>287</v>
      </c>
      <c r="CK35" s="61">
        <v>945.23170000000005</v>
      </c>
      <c r="CL35" s="53">
        <v>287</v>
      </c>
      <c r="CM35" s="61">
        <v>945.23170000000005</v>
      </c>
      <c r="CN35" s="53">
        <v>287</v>
      </c>
      <c r="CO35" s="61">
        <v>926.76239999999996</v>
      </c>
    </row>
    <row r="36" spans="2:93">
      <c r="B36" s="42"/>
      <c r="C36" s="43"/>
      <c r="D36" s="49"/>
      <c r="E36" s="42"/>
      <c r="F36" s="43"/>
      <c r="G36" s="92"/>
      <c r="K36" s="42"/>
      <c r="L36" s="43"/>
      <c r="M36" s="66"/>
      <c r="AO36" s="53">
        <v>293</v>
      </c>
      <c r="AP36" s="54">
        <v>3.41297E-3</v>
      </c>
      <c r="AQ36" s="60">
        <v>14.712099</v>
      </c>
      <c r="AR36" s="53">
        <v>300</v>
      </c>
      <c r="AS36" s="54">
        <v>3.333333E-3</v>
      </c>
      <c r="AT36" s="60">
        <v>14.94774</v>
      </c>
      <c r="AU36" s="53">
        <v>308</v>
      </c>
      <c r="AV36" s="54">
        <v>3.2467500000000001E-3</v>
      </c>
      <c r="AW36" s="60">
        <v>14.441520000000001</v>
      </c>
      <c r="AX36" s="95">
        <v>317</v>
      </c>
      <c r="AY36" s="54">
        <f t="shared" si="0"/>
        <v>3.1545741324921135E-3</v>
      </c>
      <c r="AZ36" s="98">
        <v>14.302046000000001</v>
      </c>
      <c r="BA36" s="95">
        <v>326</v>
      </c>
      <c r="BB36" s="97">
        <v>3.0674846625766872E-3</v>
      </c>
      <c r="BC36" s="107">
        <v>13.860944999999999</v>
      </c>
      <c r="BD36" s="53">
        <v>308</v>
      </c>
      <c r="BE36" s="54">
        <v>3.2469999999999999E-3</v>
      </c>
      <c r="BF36" s="15">
        <v>28.617999999999999</v>
      </c>
      <c r="BG36" s="53">
        <v>326</v>
      </c>
      <c r="BH36" s="54">
        <v>3.0669999999999998E-3</v>
      </c>
      <c r="BI36" s="61">
        <v>13.861000000000001</v>
      </c>
      <c r="BJ36" s="53">
        <v>326</v>
      </c>
      <c r="BK36" s="54">
        <v>3.0669999999999998E-3</v>
      </c>
      <c r="BL36" s="61">
        <v>13.861000000000001</v>
      </c>
      <c r="CH36" s="95">
        <v>288</v>
      </c>
      <c r="CI36" s="99">
        <v>974.65520000000004</v>
      </c>
      <c r="CJ36" s="53">
        <v>288</v>
      </c>
      <c r="CK36" s="61">
        <v>944.19304999999997</v>
      </c>
      <c r="CL36" s="53">
        <v>288</v>
      </c>
      <c r="CM36" s="61">
        <v>944.19304999999997</v>
      </c>
      <c r="CN36" s="53">
        <v>288</v>
      </c>
      <c r="CO36" s="61">
        <v>925.74976000000004</v>
      </c>
    </row>
    <row r="37" spans="2:93" ht="15" thickBot="1">
      <c r="B37" s="46"/>
      <c r="C37" s="47"/>
      <c r="D37" s="50"/>
      <c r="E37" s="42"/>
      <c r="F37" s="43"/>
      <c r="G37" s="92"/>
      <c r="K37" s="42"/>
      <c r="L37" s="43"/>
      <c r="M37" s="66"/>
      <c r="AO37" s="53">
        <v>294</v>
      </c>
      <c r="AP37" s="54">
        <v>3.40136E-3</v>
      </c>
      <c r="AQ37" s="60">
        <v>15.998260500000001</v>
      </c>
      <c r="AR37" s="53">
        <v>301</v>
      </c>
      <c r="AS37" s="54">
        <v>3.3222590000000001E-3</v>
      </c>
      <c r="AT37" s="60">
        <v>16.24682</v>
      </c>
      <c r="AU37" s="53">
        <v>309</v>
      </c>
      <c r="AV37" s="54">
        <v>3.23625E-3</v>
      </c>
      <c r="AW37" s="60">
        <v>15.68929</v>
      </c>
      <c r="AX37" s="95">
        <v>318</v>
      </c>
      <c r="AY37" s="54">
        <f t="shared" si="0"/>
        <v>3.1446540880503146E-3</v>
      </c>
      <c r="AZ37" s="98">
        <v>15.525168000000001</v>
      </c>
      <c r="BA37" s="95">
        <v>327</v>
      </c>
      <c r="BB37" s="97">
        <v>3.0581039755351682E-3</v>
      </c>
      <c r="BC37" s="107">
        <v>15.035619000000001</v>
      </c>
      <c r="BD37" s="53">
        <v>309</v>
      </c>
      <c r="BE37" s="54">
        <v>3.2360000000000002E-3</v>
      </c>
      <c r="BF37" s="15">
        <v>30.954000000000001</v>
      </c>
      <c r="BG37" s="53">
        <v>327</v>
      </c>
      <c r="BH37" s="54">
        <v>3.058E-3</v>
      </c>
      <c r="BI37" s="61">
        <v>15.036</v>
      </c>
      <c r="BJ37" s="53">
        <v>327</v>
      </c>
      <c r="BK37" s="54">
        <v>3.058E-3</v>
      </c>
      <c r="BL37" s="61">
        <v>15.036</v>
      </c>
      <c r="CH37" s="95">
        <v>289</v>
      </c>
      <c r="CI37" s="99">
        <v>973.60090000000002</v>
      </c>
      <c r="CJ37" s="53">
        <v>289</v>
      </c>
      <c r="CK37" s="61">
        <v>943.15436</v>
      </c>
      <c r="CL37" s="53">
        <v>289</v>
      </c>
      <c r="CM37" s="61">
        <v>943.15436</v>
      </c>
      <c r="CN37" s="53">
        <v>289</v>
      </c>
      <c r="CO37" s="61">
        <v>924.73706000000004</v>
      </c>
    </row>
    <row r="38" spans="2:93">
      <c r="E38" s="42"/>
      <c r="F38" s="43"/>
      <c r="G38" s="92"/>
      <c r="K38" s="42"/>
      <c r="L38" s="43"/>
      <c r="M38" s="66"/>
      <c r="AO38" s="53">
        <v>295</v>
      </c>
      <c r="AP38" s="54">
        <v>3.3898299999999999E-3</v>
      </c>
      <c r="AQ38" s="60">
        <v>17.385715000000001</v>
      </c>
      <c r="AR38" s="53">
        <v>302</v>
      </c>
      <c r="AS38" s="54">
        <v>3.3112580000000001E-3</v>
      </c>
      <c r="AT38" s="60">
        <v>17.64771</v>
      </c>
      <c r="AU38" s="53">
        <v>310</v>
      </c>
      <c r="AV38" s="54">
        <v>3.22581E-3</v>
      </c>
      <c r="AW38" s="60">
        <v>17.034389999999998</v>
      </c>
      <c r="AX38" s="95">
        <v>319</v>
      </c>
      <c r="AY38" s="54">
        <f t="shared" si="0"/>
        <v>3.134796238244514E-3</v>
      </c>
      <c r="AZ38" s="98">
        <v>16.842832999999999</v>
      </c>
      <c r="BA38" s="95">
        <v>328</v>
      </c>
      <c r="BB38" s="97">
        <v>3.0487804878048782E-3</v>
      </c>
      <c r="BC38" s="107">
        <v>16.300373</v>
      </c>
      <c r="BD38" s="53">
        <v>310</v>
      </c>
      <c r="BE38" s="54">
        <v>3.2260000000000001E-3</v>
      </c>
      <c r="BF38" s="15">
        <v>33.462000000000003</v>
      </c>
      <c r="BG38" s="53">
        <v>328</v>
      </c>
      <c r="BH38" s="54">
        <v>3.0490000000000001E-3</v>
      </c>
      <c r="BI38" s="61">
        <v>16.3</v>
      </c>
      <c r="BJ38" s="53">
        <v>328</v>
      </c>
      <c r="BK38" s="54">
        <v>3.0490000000000001E-3</v>
      </c>
      <c r="BL38" s="61">
        <v>16.3</v>
      </c>
      <c r="CH38" s="95">
        <v>290</v>
      </c>
      <c r="CI38" s="99">
        <v>972.54639999999995</v>
      </c>
      <c r="CJ38" s="53">
        <v>290</v>
      </c>
      <c r="CK38" s="61">
        <v>942.11559999999997</v>
      </c>
      <c r="CL38" s="53">
        <v>290</v>
      </c>
      <c r="CM38" s="61">
        <v>942.11559999999997</v>
      </c>
      <c r="CN38" s="53">
        <v>290</v>
      </c>
      <c r="CO38" s="61">
        <v>923.72437000000002</v>
      </c>
    </row>
    <row r="39" spans="2:93">
      <c r="E39" s="42"/>
      <c r="F39" s="43"/>
      <c r="G39" s="92"/>
      <c r="K39" s="42"/>
      <c r="L39" s="43"/>
      <c r="M39" s="66"/>
      <c r="AO39" s="53">
        <v>296</v>
      </c>
      <c r="AP39" s="54">
        <v>3.3783799999999998E-3</v>
      </c>
      <c r="AQ39" s="60">
        <v>18.881529</v>
      </c>
      <c r="AR39" s="53">
        <v>303</v>
      </c>
      <c r="AS39" s="54">
        <v>3.3003300000000002E-3</v>
      </c>
      <c r="AT39" s="60">
        <v>19.15746</v>
      </c>
      <c r="AU39" s="53">
        <v>311</v>
      </c>
      <c r="AV39" s="54">
        <v>3.21543E-3</v>
      </c>
      <c r="AW39" s="60">
        <v>18.483560000000001</v>
      </c>
      <c r="AX39" s="95">
        <v>320</v>
      </c>
      <c r="AY39" s="54">
        <f t="shared" si="0"/>
        <v>3.1250000000000002E-3</v>
      </c>
      <c r="AZ39" s="98">
        <v>18.261527999999998</v>
      </c>
      <c r="BA39" s="95">
        <v>329</v>
      </c>
      <c r="BB39" s="97">
        <v>3.0395136778115501E-3</v>
      </c>
      <c r="BC39" s="107">
        <v>17.661349999999999</v>
      </c>
      <c r="BD39" s="53">
        <v>311</v>
      </c>
      <c r="BE39" s="54">
        <v>3.215E-3</v>
      </c>
      <c r="BF39" s="15">
        <v>36.152999999999999</v>
      </c>
      <c r="BG39" s="53">
        <v>329</v>
      </c>
      <c r="BH39" s="54">
        <v>3.0400000000000002E-3</v>
      </c>
      <c r="BI39" s="61">
        <v>17.661000000000001</v>
      </c>
      <c r="BJ39" s="53">
        <v>329</v>
      </c>
      <c r="BK39" s="54">
        <v>3.0400000000000002E-3</v>
      </c>
      <c r="BL39" s="61">
        <v>17.661000000000001</v>
      </c>
      <c r="CH39" s="95">
        <v>291</v>
      </c>
      <c r="CI39" s="99">
        <v>971.49163999999996</v>
      </c>
      <c r="CJ39" s="53">
        <v>291</v>
      </c>
      <c r="CK39" s="61">
        <v>941.07665999999995</v>
      </c>
      <c r="CL39" s="53">
        <v>291</v>
      </c>
      <c r="CM39" s="61">
        <v>941.07665999999995</v>
      </c>
      <c r="CN39" s="53">
        <v>291</v>
      </c>
      <c r="CO39" s="61">
        <v>922.71169999999995</v>
      </c>
    </row>
    <row r="40" spans="2:93">
      <c r="E40" s="42"/>
      <c r="F40" s="43"/>
      <c r="G40" s="92"/>
      <c r="K40" s="42"/>
      <c r="L40" s="43"/>
      <c r="M40" s="66"/>
      <c r="AO40" s="53">
        <v>297</v>
      </c>
      <c r="AP40" s="54">
        <v>3.3670000000000002E-3</v>
      </c>
      <c r="AQ40" s="60">
        <v>20.493182999999998</v>
      </c>
      <c r="AR40" s="53">
        <v>304</v>
      </c>
      <c r="AS40" s="54">
        <v>3.2894740000000001E-3</v>
      </c>
      <c r="AT40" s="60">
        <v>20.783580000000001</v>
      </c>
      <c r="AU40" s="53">
        <v>312</v>
      </c>
      <c r="AV40" s="54">
        <v>3.20513E-3</v>
      </c>
      <c r="AW40" s="60">
        <v>20.04393</v>
      </c>
      <c r="AX40" s="95">
        <v>321</v>
      </c>
      <c r="AY40" s="54">
        <f t="shared" si="0"/>
        <v>3.1152647975077881E-3</v>
      </c>
      <c r="AZ40" s="98">
        <v>19.788136999999999</v>
      </c>
      <c r="BA40" s="95">
        <v>330</v>
      </c>
      <c r="BB40" s="97">
        <v>3.0303030303030303E-3</v>
      </c>
      <c r="BC40" s="107">
        <v>19.125064999999999</v>
      </c>
      <c r="BD40" s="53">
        <v>312</v>
      </c>
      <c r="BE40" s="54">
        <v>3.2049999999999999E-3</v>
      </c>
      <c r="BF40" s="15">
        <v>39.037999999999997</v>
      </c>
      <c r="BG40" s="53">
        <v>330</v>
      </c>
      <c r="BH40" s="54">
        <v>3.0300000000000001E-3</v>
      </c>
      <c r="BI40" s="61">
        <v>19.125</v>
      </c>
      <c r="BJ40" s="53">
        <v>330</v>
      </c>
      <c r="BK40" s="54">
        <v>3.0300000000000001E-3</v>
      </c>
      <c r="BL40" s="61">
        <v>19.125</v>
      </c>
      <c r="CH40" s="95">
        <v>292</v>
      </c>
      <c r="CI40" s="99">
        <v>970.43669999999997</v>
      </c>
      <c r="CJ40" s="53">
        <v>292</v>
      </c>
      <c r="CK40" s="61">
        <v>940.03765999999996</v>
      </c>
      <c r="CL40" s="53">
        <v>292</v>
      </c>
      <c r="CM40" s="61">
        <v>940.03765999999996</v>
      </c>
      <c r="CN40" s="53">
        <v>292</v>
      </c>
      <c r="CO40" s="61">
        <v>921.69889999999998</v>
      </c>
    </row>
    <row r="41" spans="2:93">
      <c r="E41" s="42"/>
      <c r="F41" s="43"/>
      <c r="G41" s="92"/>
      <c r="K41" s="42"/>
      <c r="L41" s="43"/>
      <c r="M41" s="66"/>
      <c r="AO41" s="53">
        <v>298</v>
      </c>
      <c r="AP41" s="54">
        <v>3.3557000000000001E-3</v>
      </c>
      <c r="AQ41" s="60">
        <v>22.228611000000001</v>
      </c>
      <c r="AR41" s="53">
        <v>305</v>
      </c>
      <c r="AS41" s="54">
        <v>3.278689E-3</v>
      </c>
      <c r="AT41" s="60">
        <v>22.533999999999999</v>
      </c>
      <c r="AU41" s="53">
        <v>313</v>
      </c>
      <c r="AV41" s="54">
        <v>3.1948900000000001E-3</v>
      </c>
      <c r="AW41" s="60">
        <v>21.72308</v>
      </c>
      <c r="AX41" s="95">
        <v>322</v>
      </c>
      <c r="AY41" s="54">
        <f t="shared" si="0"/>
        <v>3.105590062111801E-3</v>
      </c>
      <c r="AZ41" s="98">
        <v>21.429945</v>
      </c>
      <c r="BA41" s="95">
        <v>331</v>
      </c>
      <c r="BB41" s="97">
        <v>3.0211480362537764E-3</v>
      </c>
      <c r="BC41" s="107">
        <v>20.698405999999999</v>
      </c>
      <c r="BD41" s="53">
        <v>313</v>
      </c>
      <c r="BE41" s="54">
        <v>3.1949999999999999E-3</v>
      </c>
      <c r="BF41" s="15">
        <v>42.128999999999998</v>
      </c>
      <c r="BG41" s="53">
        <v>331</v>
      </c>
      <c r="BH41" s="54">
        <v>3.0209999999999998E-3</v>
      </c>
      <c r="BI41" s="61">
        <v>20.698</v>
      </c>
      <c r="BJ41" s="53">
        <v>331</v>
      </c>
      <c r="BK41" s="54">
        <v>3.0209999999999998E-3</v>
      </c>
      <c r="BL41" s="61">
        <v>20.698</v>
      </c>
      <c r="CH41" s="95">
        <v>293</v>
      </c>
      <c r="CI41" s="99">
        <v>969.38160000000005</v>
      </c>
      <c r="CJ41" s="53">
        <v>293</v>
      </c>
      <c r="CK41" s="61">
        <v>938.99854000000005</v>
      </c>
      <c r="CL41" s="53">
        <v>293</v>
      </c>
      <c r="CM41" s="61">
        <v>938.99854000000005</v>
      </c>
      <c r="CN41" s="53">
        <v>293</v>
      </c>
      <c r="CO41" s="61">
        <v>920.68610000000001</v>
      </c>
    </row>
    <row r="42" spans="2:93">
      <c r="E42" s="42"/>
      <c r="F42" s="43"/>
      <c r="G42" s="92"/>
      <c r="K42" s="42"/>
      <c r="L42" s="43"/>
      <c r="M42" s="66"/>
      <c r="AO42" s="53">
        <v>299</v>
      </c>
      <c r="AP42" s="54">
        <v>3.3444799999999999E-3</v>
      </c>
      <c r="AQ42" s="60">
        <v>24.096212000000001</v>
      </c>
      <c r="AR42" s="53">
        <v>306</v>
      </c>
      <c r="AS42" s="54">
        <v>3.2679739999999999E-3</v>
      </c>
      <c r="AT42" s="60">
        <v>24.417110000000001</v>
      </c>
      <c r="AU42" s="53">
        <v>314</v>
      </c>
      <c r="AV42" s="54">
        <v>3.1847099999999999E-3</v>
      </c>
      <c r="AW42" s="60">
        <v>23.52901</v>
      </c>
      <c r="AX42" s="95">
        <v>323</v>
      </c>
      <c r="AY42" s="54">
        <f t="shared" si="0"/>
        <v>3.0959752321981426E-3</v>
      </c>
      <c r="AZ42" s="98">
        <v>23.194659999999999</v>
      </c>
      <c r="BA42" s="95">
        <v>332</v>
      </c>
      <c r="BB42" s="97">
        <v>3.0120481927710845E-3</v>
      </c>
      <c r="BC42" s="107">
        <v>22.388670000000001</v>
      </c>
      <c r="BD42" s="53">
        <v>314</v>
      </c>
      <c r="BE42" s="54">
        <v>3.1849999999999999E-3</v>
      </c>
      <c r="BF42" s="15">
        <v>45.441000000000003</v>
      </c>
      <c r="BG42" s="53">
        <v>332</v>
      </c>
      <c r="BH42" s="54">
        <v>3.0119999999999999E-3</v>
      </c>
      <c r="BI42" s="61">
        <v>22.388999999999999</v>
      </c>
      <c r="BJ42" s="53">
        <v>332</v>
      </c>
      <c r="BK42" s="54">
        <v>3.0119999999999999E-3</v>
      </c>
      <c r="BL42" s="61">
        <v>22.388999999999999</v>
      </c>
      <c r="CH42" s="95">
        <v>294</v>
      </c>
      <c r="CI42" s="99">
        <v>968.32623000000001</v>
      </c>
      <c r="CJ42" s="53">
        <v>294</v>
      </c>
      <c r="CK42" s="61">
        <v>937.95929999999998</v>
      </c>
      <c r="CL42" s="53">
        <v>294</v>
      </c>
      <c r="CM42" s="61">
        <v>937.95929999999998</v>
      </c>
      <c r="CN42" s="53">
        <v>294</v>
      </c>
      <c r="CO42" s="61">
        <v>919.67319999999995</v>
      </c>
    </row>
    <row r="43" spans="2:93">
      <c r="E43" s="42"/>
      <c r="F43" s="43"/>
      <c r="G43" s="92"/>
      <c r="K43" s="42"/>
      <c r="L43" s="43"/>
      <c r="M43" s="66"/>
      <c r="AO43" s="53">
        <v>300</v>
      </c>
      <c r="AP43" s="54">
        <v>3.3333299999999998E-3</v>
      </c>
      <c r="AQ43" s="60">
        <v>26.104876000000001</v>
      </c>
      <c r="AR43" s="53">
        <v>307</v>
      </c>
      <c r="AS43" s="54">
        <v>3.2573290000000002E-3</v>
      </c>
      <c r="AT43" s="60">
        <v>26.44183</v>
      </c>
      <c r="AU43" s="53">
        <v>315</v>
      </c>
      <c r="AV43" s="54">
        <v>3.1746000000000001E-3</v>
      </c>
      <c r="AW43" s="60">
        <v>25.470189999999999</v>
      </c>
      <c r="AX43" s="95">
        <v>324</v>
      </c>
      <c r="AY43" s="54">
        <f t="shared" si="0"/>
        <v>3.0864197530864196E-3</v>
      </c>
      <c r="AZ43" s="98">
        <v>25.090443</v>
      </c>
      <c r="BA43" s="95">
        <v>333</v>
      </c>
      <c r="BB43" s="97">
        <v>3.003003003003003E-3</v>
      </c>
      <c r="BC43" s="107">
        <v>24.203568000000001</v>
      </c>
      <c r="BD43" s="53">
        <v>315</v>
      </c>
      <c r="BE43" s="54">
        <v>3.1749999999999999E-3</v>
      </c>
      <c r="BF43" s="15">
        <v>48.984999999999999</v>
      </c>
      <c r="BG43" s="53">
        <v>333</v>
      </c>
      <c r="BH43" s="54">
        <v>3.003E-3</v>
      </c>
      <c r="BI43" s="61">
        <v>24.204000000000001</v>
      </c>
      <c r="BJ43" s="53">
        <v>333</v>
      </c>
      <c r="BK43" s="54">
        <v>3.003E-3</v>
      </c>
      <c r="BL43" s="61">
        <v>24.204000000000001</v>
      </c>
      <c r="CH43" s="95">
        <v>295</v>
      </c>
      <c r="CI43" s="99">
        <v>967.27059999999994</v>
      </c>
      <c r="CJ43" s="53">
        <v>295</v>
      </c>
      <c r="CK43" s="61">
        <v>936.91989999999998</v>
      </c>
      <c r="CL43" s="53">
        <v>295</v>
      </c>
      <c r="CM43" s="61">
        <v>936.91989999999998</v>
      </c>
      <c r="CN43" s="53">
        <v>295</v>
      </c>
      <c r="CO43" s="61">
        <v>918.66030000000001</v>
      </c>
    </row>
    <row r="44" spans="2:93">
      <c r="E44" s="42"/>
      <c r="F44" s="43"/>
      <c r="G44" s="92"/>
      <c r="K44" s="42"/>
      <c r="L44" s="43"/>
      <c r="M44" s="66"/>
      <c r="AO44" s="53">
        <v>301</v>
      </c>
      <c r="AP44" s="54">
        <v>3.3222600000000001E-3</v>
      </c>
      <c r="AQ44" s="60">
        <v>28.264005999999998</v>
      </c>
      <c r="AR44" s="53">
        <v>308</v>
      </c>
      <c r="AS44" s="54">
        <v>3.2467529999999998E-3</v>
      </c>
      <c r="AT44" s="60">
        <v>28.617540000000002</v>
      </c>
      <c r="AU44" s="53">
        <v>316</v>
      </c>
      <c r="AV44" s="54">
        <v>3.1645599999999999E-3</v>
      </c>
      <c r="AW44" s="60">
        <v>27.555589999999999</v>
      </c>
      <c r="AX44" s="95">
        <v>325</v>
      </c>
      <c r="AY44" s="54">
        <f t="shared" si="0"/>
        <v>3.0769230769230769E-3</v>
      </c>
      <c r="AZ44" s="98">
        <v>27.125912</v>
      </c>
      <c r="BA44" s="95">
        <v>334</v>
      </c>
      <c r="BB44" s="97">
        <v>2.9940119760479044E-3</v>
      </c>
      <c r="BC44" s="107">
        <v>26.151253000000001</v>
      </c>
      <c r="BD44" s="53">
        <v>316</v>
      </c>
      <c r="BE44" s="54">
        <v>3.1649999999999998E-3</v>
      </c>
      <c r="BF44" s="15">
        <v>52.777000000000001</v>
      </c>
      <c r="BG44" s="53">
        <v>334</v>
      </c>
      <c r="BH44" s="54">
        <v>2.9940000000000001E-3</v>
      </c>
      <c r="BI44" s="61">
        <v>26.151</v>
      </c>
      <c r="BJ44" s="53">
        <v>334</v>
      </c>
      <c r="BK44" s="54">
        <v>2.9940000000000001E-3</v>
      </c>
      <c r="BL44" s="61">
        <v>26.151</v>
      </c>
      <c r="CH44" s="95">
        <v>296</v>
      </c>
      <c r="CI44" s="99">
        <v>966.21483999999998</v>
      </c>
      <c r="CJ44" s="53">
        <v>296</v>
      </c>
      <c r="CK44" s="61">
        <v>935.88040000000001</v>
      </c>
      <c r="CL44" s="53">
        <v>296</v>
      </c>
      <c r="CM44" s="61">
        <v>935.88040000000001</v>
      </c>
      <c r="CN44" s="53">
        <v>296</v>
      </c>
      <c r="CO44" s="61">
        <v>917.64729999999997</v>
      </c>
    </row>
    <row r="45" spans="2:93">
      <c r="E45" s="42"/>
      <c r="F45" s="43"/>
      <c r="G45" s="92"/>
      <c r="K45" s="42"/>
      <c r="L45" s="43"/>
      <c r="M45" s="66"/>
      <c r="AO45" s="53">
        <v>302</v>
      </c>
      <c r="AP45" s="54">
        <v>3.3112599999999999E-3</v>
      </c>
      <c r="AQ45" s="60">
        <v>30.583542000000001</v>
      </c>
      <c r="AR45" s="53">
        <v>309</v>
      </c>
      <c r="AS45" s="54">
        <v>3.2362459999999999E-3</v>
      </c>
      <c r="AT45" s="60">
        <v>30.95421</v>
      </c>
      <c r="AU45" s="53">
        <v>317</v>
      </c>
      <c r="AV45" s="54">
        <v>3.1545700000000002E-3</v>
      </c>
      <c r="AW45" s="60">
        <v>29.79468</v>
      </c>
      <c r="AX45" s="95">
        <v>326</v>
      </c>
      <c r="AY45" s="54">
        <f t="shared" si="0"/>
        <v>3.0674846625766872E-3</v>
      </c>
      <c r="AZ45" s="98">
        <v>29.310182999999999</v>
      </c>
      <c r="BA45" s="95">
        <v>335</v>
      </c>
      <c r="BB45" s="97">
        <v>2.9850746268656717E-3</v>
      </c>
      <c r="BC45" s="107">
        <v>28.24034</v>
      </c>
      <c r="BD45" s="53">
        <v>317</v>
      </c>
      <c r="BE45" s="54">
        <v>3.1549999999999998E-3</v>
      </c>
      <c r="BF45" s="15">
        <v>56.832999999999998</v>
      </c>
      <c r="BG45" s="53">
        <v>335</v>
      </c>
      <c r="BH45" s="54">
        <v>2.9849999999999998E-3</v>
      </c>
      <c r="BI45" s="61">
        <v>28.24</v>
      </c>
      <c r="BJ45" s="53">
        <v>335</v>
      </c>
      <c r="BK45" s="54">
        <v>2.9849999999999998E-3</v>
      </c>
      <c r="BL45" s="61">
        <v>28.24</v>
      </c>
      <c r="CH45" s="95">
        <v>297</v>
      </c>
      <c r="CI45" s="99">
        <v>965.15875000000005</v>
      </c>
      <c r="CJ45" s="53">
        <v>297</v>
      </c>
      <c r="CK45" s="61">
        <v>934.84069999999997</v>
      </c>
      <c r="CL45" s="53">
        <v>297</v>
      </c>
      <c r="CM45" s="61">
        <v>934.84069999999997</v>
      </c>
      <c r="CN45" s="53">
        <v>297</v>
      </c>
      <c r="CO45" s="61">
        <v>916.63419999999996</v>
      </c>
    </row>
    <row r="46" spans="2:93">
      <c r="E46" s="42"/>
      <c r="F46" s="43"/>
      <c r="G46" s="92"/>
      <c r="K46" s="42"/>
      <c r="L46" s="43"/>
      <c r="M46" s="66"/>
      <c r="AO46" s="53">
        <v>303</v>
      </c>
      <c r="AP46" s="54">
        <v>3.3003300000000002E-3</v>
      </c>
      <c r="AQ46" s="60">
        <v>33.073985999999998</v>
      </c>
      <c r="AR46" s="53">
        <v>310</v>
      </c>
      <c r="AS46" s="54">
        <v>3.2258059999999999E-3</v>
      </c>
      <c r="AT46" s="60">
        <v>33.462319999999998</v>
      </c>
      <c r="AU46" s="53">
        <v>318</v>
      </c>
      <c r="AV46" s="54">
        <v>3.1446500000000001E-3</v>
      </c>
      <c r="AW46" s="60">
        <v>32.19746</v>
      </c>
      <c r="AX46" s="95">
        <v>327</v>
      </c>
      <c r="AY46" s="54">
        <f t="shared" si="0"/>
        <v>3.0581039755351682E-3</v>
      </c>
      <c r="AZ46" s="98">
        <v>31.652882000000002</v>
      </c>
      <c r="BA46" s="95">
        <v>336</v>
      </c>
      <c r="BB46" s="97">
        <v>2.976190476190476E-3</v>
      </c>
      <c r="BC46" s="107">
        <v>30.479922999999999</v>
      </c>
      <c r="BD46" s="53">
        <v>318</v>
      </c>
      <c r="BE46" s="54">
        <v>3.1449999999999998E-3</v>
      </c>
      <c r="BF46" s="15">
        <v>61.167000000000002</v>
      </c>
      <c r="BG46" s="53">
        <v>336</v>
      </c>
      <c r="BH46" s="54">
        <v>2.9759999999999999E-3</v>
      </c>
      <c r="BI46" s="61">
        <v>30.48</v>
      </c>
      <c r="BJ46" s="53">
        <v>336</v>
      </c>
      <c r="BK46" s="54">
        <v>2.9759999999999999E-3</v>
      </c>
      <c r="BL46" s="61">
        <v>30.48</v>
      </c>
      <c r="CH46" s="95">
        <v>298</v>
      </c>
      <c r="CI46" s="99">
        <v>964.10249999999996</v>
      </c>
      <c r="CJ46" s="53">
        <v>298</v>
      </c>
      <c r="CK46" s="61">
        <v>933.80083999999999</v>
      </c>
      <c r="CL46" s="53">
        <v>298</v>
      </c>
      <c r="CM46" s="61">
        <v>933.80083999999999</v>
      </c>
      <c r="CN46" s="53">
        <v>298</v>
      </c>
      <c r="CO46" s="61">
        <v>915.62103000000002</v>
      </c>
    </row>
    <row r="47" spans="2:93">
      <c r="E47" s="42"/>
      <c r="F47" s="43"/>
      <c r="G47" s="66"/>
      <c r="K47" s="42"/>
      <c r="L47" s="43"/>
      <c r="M47" s="66"/>
      <c r="AO47" s="53">
        <v>304</v>
      </c>
      <c r="AP47" s="54">
        <v>3.2894700000000001E-3</v>
      </c>
      <c r="AQ47" s="60">
        <v>35.74644</v>
      </c>
      <c r="AR47" s="53">
        <v>311</v>
      </c>
      <c r="AS47" s="54">
        <v>3.2154340000000001E-3</v>
      </c>
      <c r="AT47" s="60">
        <v>36.152970000000003</v>
      </c>
      <c r="AU47" s="53">
        <v>319</v>
      </c>
      <c r="AV47" s="54">
        <v>3.1348000000000001E-3</v>
      </c>
      <c r="AW47" s="60">
        <v>34.774529999999999</v>
      </c>
      <c r="AX47" s="95">
        <v>328</v>
      </c>
      <c r="AY47" s="54">
        <f t="shared" si="0"/>
        <v>3.0487804878048782E-3</v>
      </c>
      <c r="AZ47" s="98">
        <v>34.164169999999999</v>
      </c>
      <c r="BA47" s="95">
        <v>337</v>
      </c>
      <c r="BB47" s="97">
        <v>2.967359050445104E-3</v>
      </c>
      <c r="BC47" s="107">
        <v>32.879604</v>
      </c>
      <c r="BD47" s="53">
        <v>319</v>
      </c>
      <c r="BE47" s="54">
        <v>3.1350000000000002E-3</v>
      </c>
      <c r="BF47" s="15">
        <v>65.796999999999997</v>
      </c>
      <c r="BG47" s="53">
        <v>337</v>
      </c>
      <c r="BH47" s="54">
        <v>2.967E-3</v>
      </c>
      <c r="BI47" s="61">
        <v>32.880000000000003</v>
      </c>
      <c r="BJ47" s="53">
        <v>337</v>
      </c>
      <c r="BK47" s="54">
        <v>2.967E-3</v>
      </c>
      <c r="BL47" s="61">
        <v>32.880000000000003</v>
      </c>
      <c r="CH47" s="95">
        <v>299</v>
      </c>
      <c r="CI47" s="99">
        <v>963.04589999999996</v>
      </c>
      <c r="CJ47" s="53">
        <v>299</v>
      </c>
      <c r="CK47" s="61">
        <v>932.76080000000002</v>
      </c>
      <c r="CL47" s="53">
        <v>299</v>
      </c>
      <c r="CM47" s="61">
        <v>932.76080000000002</v>
      </c>
      <c r="CN47" s="53">
        <v>299</v>
      </c>
      <c r="CO47" s="61">
        <v>914.6078</v>
      </c>
    </row>
    <row r="48" spans="2:93">
      <c r="E48" s="42"/>
      <c r="F48" s="43"/>
      <c r="G48" s="66"/>
      <c r="K48" s="42"/>
      <c r="L48" s="43"/>
      <c r="M48" s="66"/>
      <c r="AO48" s="53">
        <v>305</v>
      </c>
      <c r="AP48" s="54">
        <v>3.2786899999999999E-3</v>
      </c>
      <c r="AQ48" s="60">
        <v>38.612606</v>
      </c>
      <c r="AR48" s="53">
        <v>312</v>
      </c>
      <c r="AS48" s="54">
        <v>3.2051279999999998E-3</v>
      </c>
      <c r="AT48" s="60">
        <v>39.037869999999998</v>
      </c>
      <c r="AU48" s="53">
        <v>320</v>
      </c>
      <c r="AV48" s="54">
        <v>3.1250000000000002E-3</v>
      </c>
      <c r="AW48" s="60">
        <v>37.537010000000002</v>
      </c>
      <c r="AX48" s="95">
        <v>329</v>
      </c>
      <c r="AY48" s="54">
        <f t="shared" si="0"/>
        <v>3.0395136778115501E-3</v>
      </c>
      <c r="AZ48" s="98">
        <v>36.854767000000002</v>
      </c>
      <c r="BA48" s="95">
        <v>338</v>
      </c>
      <c r="BB48" s="97">
        <v>2.9585798816568047E-3</v>
      </c>
      <c r="BC48" s="107">
        <v>35.449511999999999</v>
      </c>
      <c r="BD48" s="53">
        <v>320</v>
      </c>
      <c r="BE48" s="54">
        <v>3.1250000000000002E-3</v>
      </c>
      <c r="BF48" s="15">
        <v>70.741</v>
      </c>
      <c r="BG48" s="53">
        <v>338</v>
      </c>
      <c r="BH48" s="54">
        <v>2.9589999999999998E-3</v>
      </c>
      <c r="BI48" s="61">
        <v>35.450000000000003</v>
      </c>
      <c r="BJ48" s="53">
        <v>338</v>
      </c>
      <c r="BK48" s="54">
        <v>2.9589999999999998E-3</v>
      </c>
      <c r="BL48" s="61">
        <v>35.450000000000003</v>
      </c>
      <c r="CH48" s="95">
        <v>300</v>
      </c>
      <c r="CI48" s="99">
        <v>961.98900000000003</v>
      </c>
      <c r="CJ48" s="53">
        <v>300</v>
      </c>
      <c r="CK48" s="61">
        <v>931.72064</v>
      </c>
      <c r="CL48" s="53">
        <v>300</v>
      </c>
      <c r="CM48" s="61">
        <v>931.72064</v>
      </c>
      <c r="CN48" s="53">
        <v>300</v>
      </c>
      <c r="CO48" s="61">
        <v>913.59439999999995</v>
      </c>
    </row>
    <row r="49" spans="5:93">
      <c r="E49" s="42"/>
      <c r="F49" s="43"/>
      <c r="G49" s="66"/>
      <c r="K49" s="42"/>
      <c r="L49" s="43"/>
      <c r="M49" s="66"/>
      <c r="AO49" s="53">
        <v>306</v>
      </c>
      <c r="AP49" s="54">
        <v>3.2679699999999998E-3</v>
      </c>
      <c r="AQ49" s="60">
        <v>41.684845000000003</v>
      </c>
      <c r="AR49" s="53">
        <v>313</v>
      </c>
      <c r="AS49" s="54">
        <v>3.1948879999999999E-3</v>
      </c>
      <c r="AT49" s="60">
        <v>42.129370000000002</v>
      </c>
      <c r="AU49" s="53">
        <v>321</v>
      </c>
      <c r="AV49" s="54">
        <v>3.1152599999999999E-3</v>
      </c>
      <c r="AW49" s="60">
        <v>40.496679999999998</v>
      </c>
      <c r="AX49" s="95">
        <v>330</v>
      </c>
      <c r="AY49" s="54">
        <f t="shared" si="0"/>
        <v>3.0303030303030303E-3</v>
      </c>
      <c r="AZ49" s="98">
        <v>39.735979999999998</v>
      </c>
      <c r="BA49" s="95">
        <v>339</v>
      </c>
      <c r="BB49" s="97">
        <v>2.9498525073746312E-3</v>
      </c>
      <c r="BC49" s="107">
        <v>38.200330000000001</v>
      </c>
      <c r="BD49" s="53">
        <v>321</v>
      </c>
      <c r="BE49" s="54">
        <v>3.1150000000000001E-3</v>
      </c>
      <c r="BF49" s="15">
        <v>76.016999999999996</v>
      </c>
      <c r="BG49" s="53">
        <v>339</v>
      </c>
      <c r="BH49" s="54">
        <v>2.9499999999999999E-3</v>
      </c>
      <c r="BI49" s="61">
        <v>38.200000000000003</v>
      </c>
      <c r="BJ49" s="53">
        <v>339</v>
      </c>
      <c r="BK49" s="54">
        <v>2.9499999999999999E-3</v>
      </c>
      <c r="BL49" s="61">
        <v>38.200000000000003</v>
      </c>
      <c r="CH49" s="95">
        <v>301</v>
      </c>
      <c r="CI49" s="99">
        <v>960.93190000000004</v>
      </c>
      <c r="CJ49" s="53">
        <v>301</v>
      </c>
      <c r="CK49" s="61">
        <v>930.68024000000003</v>
      </c>
      <c r="CL49" s="53">
        <v>301</v>
      </c>
      <c r="CM49" s="61">
        <v>930.68024000000003</v>
      </c>
      <c r="CN49" s="53">
        <v>301</v>
      </c>
      <c r="CO49" s="61">
        <v>912.58100000000002</v>
      </c>
    </row>
    <row r="50" spans="5:93">
      <c r="E50" s="42"/>
      <c r="F50" s="43"/>
      <c r="G50" s="66"/>
      <c r="K50" s="42"/>
      <c r="L50" s="43"/>
      <c r="M50" s="66"/>
      <c r="AO50" s="53">
        <v>307</v>
      </c>
      <c r="AP50" s="54">
        <v>3.2573300000000001E-3</v>
      </c>
      <c r="AQ50" s="60">
        <v>44.976179999999999</v>
      </c>
      <c r="AR50" s="53">
        <v>314</v>
      </c>
      <c r="AS50" s="54">
        <v>3.184713E-3</v>
      </c>
      <c r="AT50" s="60">
        <v>45.4405</v>
      </c>
      <c r="AU50" s="53">
        <v>322</v>
      </c>
      <c r="AV50" s="54">
        <v>3.1055900000000001E-3</v>
      </c>
      <c r="AW50" s="60">
        <v>43.665959999999998</v>
      </c>
      <c r="AX50" s="95">
        <v>331</v>
      </c>
      <c r="AY50" s="54">
        <f t="shared" si="0"/>
        <v>3.0211480362537764E-3</v>
      </c>
      <c r="AZ50" s="98">
        <v>42.819735999999999</v>
      </c>
      <c r="BA50" s="95">
        <v>340</v>
      </c>
      <c r="BB50" s="97">
        <v>2.9411764705882353E-3</v>
      </c>
      <c r="BC50" s="107">
        <v>41.143307</v>
      </c>
      <c r="BD50" s="53">
        <v>322</v>
      </c>
      <c r="BE50" s="54">
        <v>3.1059999999999998E-3</v>
      </c>
      <c r="BF50" s="15">
        <v>81.644999999999996</v>
      </c>
      <c r="BG50" s="53">
        <v>340</v>
      </c>
      <c r="BH50" s="54">
        <v>2.941E-3</v>
      </c>
      <c r="BI50" s="61">
        <v>41.143000000000001</v>
      </c>
      <c r="BJ50" s="53">
        <v>340</v>
      </c>
      <c r="BK50" s="54">
        <v>2.941E-3</v>
      </c>
      <c r="BL50" s="61">
        <v>41.143000000000001</v>
      </c>
      <c r="CH50" s="95">
        <v>302</v>
      </c>
      <c r="CI50" s="99">
        <v>959.87445000000002</v>
      </c>
      <c r="CJ50" s="53">
        <v>302</v>
      </c>
      <c r="CK50" s="61">
        <v>929.63969999999995</v>
      </c>
      <c r="CL50" s="53">
        <v>302</v>
      </c>
      <c r="CM50" s="61">
        <v>929.63969999999995</v>
      </c>
      <c r="CN50" s="53">
        <v>302</v>
      </c>
      <c r="CO50" s="61">
        <v>911.56740000000002</v>
      </c>
    </row>
    <row r="51" spans="5:93">
      <c r="E51" s="42"/>
      <c r="F51" s="43"/>
      <c r="G51" s="66"/>
      <c r="K51" s="42"/>
      <c r="L51" s="43"/>
      <c r="M51" s="66"/>
      <c r="AO51" s="53">
        <v>308</v>
      </c>
      <c r="AP51" s="54">
        <v>3.2467500000000001E-3</v>
      </c>
      <c r="AQ51" s="60">
        <v>48.500346999999998</v>
      </c>
      <c r="AR51" s="53">
        <v>315</v>
      </c>
      <c r="AS51" s="54">
        <v>3.1746029999999998E-3</v>
      </c>
      <c r="AT51" s="60">
        <v>48.984969999999997</v>
      </c>
      <c r="AU51" s="53">
        <v>323</v>
      </c>
      <c r="AV51" s="54">
        <v>3.0959799999999999E-3</v>
      </c>
      <c r="AW51" s="60">
        <v>47.057920000000003</v>
      </c>
      <c r="AX51" s="95">
        <v>332</v>
      </c>
      <c r="AY51" s="54">
        <f t="shared" si="0"/>
        <v>3.0120481927710845E-3</v>
      </c>
      <c r="AZ51" s="98">
        <v>46.118586999999998</v>
      </c>
      <c r="BA51" s="95">
        <v>341</v>
      </c>
      <c r="BB51" s="97">
        <v>2.9325513196480938E-3</v>
      </c>
      <c r="BC51" s="107">
        <v>44.290309999999998</v>
      </c>
      <c r="BD51" s="53">
        <v>323</v>
      </c>
      <c r="BE51" s="54">
        <v>3.0959999999999998E-3</v>
      </c>
      <c r="BF51" s="15">
        <v>87.644999999999996</v>
      </c>
      <c r="BG51" s="53">
        <v>341</v>
      </c>
      <c r="BH51" s="54">
        <v>2.9329999999999998E-3</v>
      </c>
      <c r="BI51" s="61">
        <v>44.29</v>
      </c>
      <c r="BJ51" s="53">
        <v>341</v>
      </c>
      <c r="BK51" s="54">
        <v>2.9329999999999998E-3</v>
      </c>
      <c r="BL51" s="61">
        <v>44.29</v>
      </c>
      <c r="CH51" s="95">
        <v>303</v>
      </c>
      <c r="CI51" s="99">
        <v>958.81679999999994</v>
      </c>
      <c r="CJ51" s="53">
        <v>303</v>
      </c>
      <c r="CK51" s="61">
        <v>928.59893999999997</v>
      </c>
      <c r="CL51" s="53">
        <v>303</v>
      </c>
      <c r="CM51" s="61">
        <v>928.59893999999997</v>
      </c>
      <c r="CN51" s="53">
        <v>303</v>
      </c>
      <c r="CO51" s="61">
        <v>910.55364999999995</v>
      </c>
    </row>
    <row r="52" spans="5:93">
      <c r="E52" s="42"/>
      <c r="F52" s="43"/>
      <c r="G52" s="66"/>
      <c r="K52" s="42"/>
      <c r="L52" s="43"/>
      <c r="M52" s="66"/>
      <c r="AO52" s="53">
        <v>309</v>
      </c>
      <c r="AP52" s="54">
        <v>3.23625E-3</v>
      </c>
      <c r="AQ52" s="60">
        <v>52.271810000000002</v>
      </c>
      <c r="AR52" s="53">
        <v>316</v>
      </c>
      <c r="AS52" s="54">
        <v>3.1645570000000001E-3</v>
      </c>
      <c r="AT52" s="60">
        <v>52.777250000000002</v>
      </c>
      <c r="AU52" s="53">
        <v>324</v>
      </c>
      <c r="AV52" s="54">
        <v>3.0864199999999999E-3</v>
      </c>
      <c r="AW52" s="60">
        <v>50.686320000000002</v>
      </c>
      <c r="AX52" s="95">
        <v>333</v>
      </c>
      <c r="AY52" s="54">
        <f t="shared" si="0"/>
        <v>3.003003003003003E-3</v>
      </c>
      <c r="AZ52" s="98">
        <v>49.645763000000002</v>
      </c>
      <c r="BA52" s="95">
        <v>342</v>
      </c>
      <c r="BB52" s="97">
        <v>2.9239766081871343E-3</v>
      </c>
      <c r="BC52" s="107">
        <v>47.653812000000002</v>
      </c>
      <c r="BD52" s="53">
        <v>324</v>
      </c>
      <c r="BE52" s="54">
        <v>3.0860000000000002E-3</v>
      </c>
      <c r="BF52" s="15">
        <v>94.039000000000001</v>
      </c>
      <c r="BG52" s="53">
        <v>342</v>
      </c>
      <c r="BH52" s="54">
        <v>2.9239999999999999E-3</v>
      </c>
      <c r="BI52" s="61">
        <v>47.654000000000003</v>
      </c>
      <c r="BJ52" s="53">
        <v>342</v>
      </c>
      <c r="BK52" s="54">
        <v>2.9239999999999999E-3</v>
      </c>
      <c r="BL52" s="61">
        <v>47.654000000000003</v>
      </c>
      <c r="CH52" s="95">
        <v>304</v>
      </c>
      <c r="CI52" s="99">
        <v>957.75869999999998</v>
      </c>
      <c r="CJ52" s="53">
        <v>304</v>
      </c>
      <c r="CK52" s="61">
        <v>927.55790000000002</v>
      </c>
      <c r="CL52" s="53">
        <v>304</v>
      </c>
      <c r="CM52" s="61">
        <v>927.55790000000002</v>
      </c>
      <c r="CN52" s="53">
        <v>304</v>
      </c>
      <c r="CO52" s="61">
        <v>909.53985999999998</v>
      </c>
    </row>
    <row r="53" spans="5:93">
      <c r="E53" s="42"/>
      <c r="F53" s="43"/>
      <c r="G53" s="66"/>
      <c r="K53" s="42"/>
      <c r="L53" s="43"/>
      <c r="M53" s="66"/>
      <c r="AO53" s="53">
        <v>310</v>
      </c>
      <c r="AP53" s="54">
        <v>3.22581E-3</v>
      </c>
      <c r="AQ53" s="60">
        <v>56.305793999999999</v>
      </c>
      <c r="AR53" s="53">
        <v>317</v>
      </c>
      <c r="AS53" s="54">
        <v>3.1545739999999998E-3</v>
      </c>
      <c r="AT53" s="60">
        <v>56.832549999999998</v>
      </c>
      <c r="AU53" s="53">
        <v>325</v>
      </c>
      <c r="AV53" s="54">
        <v>3.0769199999999999E-3</v>
      </c>
      <c r="AW53" s="60">
        <v>54.56568</v>
      </c>
      <c r="AX53" s="95">
        <v>334</v>
      </c>
      <c r="AY53" s="54">
        <f t="shared" si="0"/>
        <v>2.9940119760479044E-3</v>
      </c>
      <c r="AZ53" s="98">
        <v>53.415184000000004</v>
      </c>
      <c r="BA53" s="95">
        <v>343</v>
      </c>
      <c r="BB53" s="97">
        <v>2.9154518950437317E-3</v>
      </c>
      <c r="BC53" s="107">
        <v>51.246966999999998</v>
      </c>
      <c r="BD53" s="53">
        <v>325</v>
      </c>
      <c r="BE53" s="54">
        <v>3.0769999999999999E-3</v>
      </c>
      <c r="BF53" s="15">
        <v>100.85</v>
      </c>
      <c r="BG53" s="53">
        <v>343</v>
      </c>
      <c r="BH53" s="54">
        <v>2.9150000000000001E-3</v>
      </c>
      <c r="BI53" s="61">
        <v>51.247</v>
      </c>
      <c r="BJ53" s="53">
        <v>343</v>
      </c>
      <c r="BK53" s="54">
        <v>2.9150000000000001E-3</v>
      </c>
      <c r="BL53" s="61">
        <v>51.247</v>
      </c>
      <c r="CH53" s="95">
        <v>305</v>
      </c>
      <c r="CI53" s="99">
        <v>956.70043999999996</v>
      </c>
      <c r="CJ53" s="53">
        <v>305</v>
      </c>
      <c r="CK53" s="61">
        <v>926.51670000000001</v>
      </c>
      <c r="CL53" s="53">
        <v>305</v>
      </c>
      <c r="CM53" s="61">
        <v>926.51670000000001</v>
      </c>
      <c r="CN53" s="53">
        <v>305</v>
      </c>
      <c r="CO53" s="61">
        <v>908.52589999999998</v>
      </c>
    </row>
    <row r="54" spans="5:93">
      <c r="E54" s="42"/>
      <c r="F54" s="43"/>
      <c r="G54" s="66"/>
      <c r="K54" s="42"/>
      <c r="L54" s="43"/>
      <c r="M54" s="66"/>
      <c r="AO54" s="53">
        <v>311</v>
      </c>
      <c r="AP54" s="54">
        <v>3.21543E-3</v>
      </c>
      <c r="AQ54" s="60">
        <v>60.618335999999999</v>
      </c>
      <c r="AR54" s="53">
        <v>318</v>
      </c>
      <c r="AS54" s="54">
        <v>3.1446540000000002E-3</v>
      </c>
      <c r="AT54" s="60">
        <v>61.166899999999998</v>
      </c>
      <c r="AU54" s="53">
        <v>326</v>
      </c>
      <c r="AV54" s="54">
        <v>3.06748E-3</v>
      </c>
      <c r="AW54" s="60">
        <v>58.711260000000003</v>
      </c>
      <c r="AX54" s="95">
        <v>335</v>
      </c>
      <c r="AY54" s="54">
        <f t="shared" ref="AY54:AY117" si="1">1/AX54</f>
        <v>2.9850746268656717E-3</v>
      </c>
      <c r="AZ54" s="98">
        <v>57.441499999999998</v>
      </c>
      <c r="BA54" s="95">
        <v>344</v>
      </c>
      <c r="BB54" s="97">
        <v>2.9069767441860465E-3</v>
      </c>
      <c r="BC54" s="107">
        <v>55.083590000000001</v>
      </c>
      <c r="BD54" s="53">
        <v>326</v>
      </c>
      <c r="BE54" s="54">
        <v>3.0669999999999998E-3</v>
      </c>
      <c r="BF54" s="15">
        <v>108.1</v>
      </c>
      <c r="BG54" s="53">
        <v>344</v>
      </c>
      <c r="BH54" s="54">
        <v>2.9069999999999999E-3</v>
      </c>
      <c r="BI54" s="61">
        <v>55.084000000000003</v>
      </c>
      <c r="BJ54" s="53">
        <v>344</v>
      </c>
      <c r="BK54" s="54">
        <v>2.9069999999999999E-3</v>
      </c>
      <c r="BL54" s="61">
        <v>55.084000000000003</v>
      </c>
      <c r="CH54" s="95">
        <v>306</v>
      </c>
      <c r="CI54" s="99">
        <v>955.64179999999999</v>
      </c>
      <c r="CJ54" s="53">
        <v>306</v>
      </c>
      <c r="CK54" s="61">
        <v>925.47529999999995</v>
      </c>
      <c r="CL54" s="53">
        <v>306</v>
      </c>
      <c r="CM54" s="61">
        <v>925.47529999999995</v>
      </c>
      <c r="CN54" s="53">
        <v>306</v>
      </c>
      <c r="CO54" s="61">
        <v>907.51170000000002</v>
      </c>
    </row>
    <row r="55" spans="5:93" ht="15" thickBot="1">
      <c r="E55" s="46"/>
      <c r="F55" s="47"/>
      <c r="G55" s="93"/>
      <c r="K55" s="42"/>
      <c r="L55" s="43"/>
      <c r="M55" s="66"/>
      <c r="AO55" s="53">
        <v>312</v>
      </c>
      <c r="AP55" s="54">
        <v>3.20513E-3</v>
      </c>
      <c r="AQ55" s="60">
        <v>65.226294999999993</v>
      </c>
      <c r="AR55" s="53">
        <v>319</v>
      </c>
      <c r="AS55" s="54">
        <v>3.134796E-3</v>
      </c>
      <c r="AT55" s="60">
        <v>65.797129999999996</v>
      </c>
      <c r="AU55" s="53">
        <v>327</v>
      </c>
      <c r="AV55" s="54">
        <v>3.0580999999999998E-3</v>
      </c>
      <c r="AW55" s="60">
        <v>63.139099999999999</v>
      </c>
      <c r="AX55" s="95">
        <v>336</v>
      </c>
      <c r="AY55" s="54">
        <f t="shared" si="1"/>
        <v>2.976190476190476E-3</v>
      </c>
      <c r="AZ55" s="98">
        <v>61.740116</v>
      </c>
      <c r="BA55" s="95">
        <v>345</v>
      </c>
      <c r="BB55" s="97">
        <v>2.8985507246376812E-3</v>
      </c>
      <c r="BC55" s="107">
        <v>59.178220000000003</v>
      </c>
      <c r="BD55" s="53">
        <v>327</v>
      </c>
      <c r="BE55" s="54">
        <v>3.058E-3</v>
      </c>
      <c r="BF55" s="15">
        <v>115.82</v>
      </c>
      <c r="BG55" s="53">
        <v>345</v>
      </c>
      <c r="BH55" s="54">
        <v>2.8990000000000001E-3</v>
      </c>
      <c r="BI55" s="61">
        <v>59.177999999999997</v>
      </c>
      <c r="BJ55" s="53">
        <v>345</v>
      </c>
      <c r="BK55" s="54">
        <v>2.8990000000000001E-3</v>
      </c>
      <c r="BL55" s="61">
        <v>59.177999999999997</v>
      </c>
      <c r="CH55" s="95">
        <v>307</v>
      </c>
      <c r="CI55" s="99">
        <v>954.58280000000002</v>
      </c>
      <c r="CJ55" s="53">
        <v>307</v>
      </c>
      <c r="CK55" s="61">
        <v>924.43364999999994</v>
      </c>
      <c r="CL55" s="53">
        <v>307</v>
      </c>
      <c r="CM55" s="61">
        <v>924.43364999999994</v>
      </c>
      <c r="CN55" s="53">
        <v>307</v>
      </c>
      <c r="CO55" s="61">
        <v>906.49743999999998</v>
      </c>
    </row>
    <row r="56" spans="5:93">
      <c r="K56" s="42"/>
      <c r="L56" s="43"/>
      <c r="M56" s="66"/>
      <c r="AO56" s="53">
        <v>313</v>
      </c>
      <c r="AP56" s="54">
        <v>3.1948900000000001E-3</v>
      </c>
      <c r="AQ56" s="60">
        <v>70.147400000000005</v>
      </c>
      <c r="AR56" s="53">
        <v>320</v>
      </c>
      <c r="AS56" s="54">
        <v>3.1250000000000002E-3</v>
      </c>
      <c r="AT56" s="60">
        <v>70.740970000000004</v>
      </c>
      <c r="AU56" s="53">
        <v>328</v>
      </c>
      <c r="AV56" s="54">
        <v>3.0487800000000001E-3</v>
      </c>
      <c r="AW56" s="60">
        <v>67.866100000000003</v>
      </c>
      <c r="AX56" s="95">
        <v>337</v>
      </c>
      <c r="AY56" s="54">
        <f t="shared" si="1"/>
        <v>2.967359050445104E-3</v>
      </c>
      <c r="AZ56" s="98">
        <v>66.327224999999999</v>
      </c>
      <c r="BA56" s="95">
        <v>346</v>
      </c>
      <c r="BB56" s="97">
        <v>2.8901734104046241E-3</v>
      </c>
      <c r="BC56" s="107">
        <v>63.546129999999998</v>
      </c>
      <c r="BD56" s="53">
        <v>328</v>
      </c>
      <c r="BE56" s="54">
        <v>3.0490000000000001E-3</v>
      </c>
      <c r="BF56" s="15">
        <v>124.02</v>
      </c>
      <c r="BG56" s="53">
        <v>346</v>
      </c>
      <c r="BH56" s="54">
        <v>2.8900000000000002E-3</v>
      </c>
      <c r="BI56" s="61">
        <v>63.545999999999999</v>
      </c>
      <c r="BJ56" s="53">
        <v>346</v>
      </c>
      <c r="BK56" s="54">
        <v>2.8900000000000002E-3</v>
      </c>
      <c r="BL56" s="61">
        <v>63.545999999999999</v>
      </c>
      <c r="CH56" s="95">
        <v>308</v>
      </c>
      <c r="CI56" s="99">
        <v>953.52350000000001</v>
      </c>
      <c r="CJ56" s="53">
        <v>308</v>
      </c>
      <c r="CK56" s="61">
        <v>923.39170000000001</v>
      </c>
      <c r="CL56" s="53">
        <v>308</v>
      </c>
      <c r="CM56" s="61">
        <v>923.39170000000001</v>
      </c>
      <c r="CN56" s="53">
        <v>308</v>
      </c>
      <c r="CO56" s="61">
        <v>905.48299999999995</v>
      </c>
    </row>
    <row r="57" spans="5:93">
      <c r="K57" s="42"/>
      <c r="L57" s="43"/>
      <c r="M57" s="44"/>
      <c r="AO57" s="53">
        <v>314</v>
      </c>
      <c r="AP57" s="54">
        <v>3.1847099999999999E-3</v>
      </c>
      <c r="AQ57" s="60">
        <v>75.400279999999995</v>
      </c>
      <c r="AR57" s="53">
        <v>321</v>
      </c>
      <c r="AS57" s="54">
        <v>3.1152649999999999E-3</v>
      </c>
      <c r="AT57" s="60">
        <v>76.017030000000005</v>
      </c>
      <c r="AU57" s="53">
        <v>329</v>
      </c>
      <c r="AV57" s="54">
        <v>3.03951E-3</v>
      </c>
      <c r="AW57" s="60">
        <v>72.909970000000001</v>
      </c>
      <c r="AX57" s="95">
        <v>338</v>
      </c>
      <c r="AY57" s="54">
        <f t="shared" si="1"/>
        <v>2.9585798816568047E-3</v>
      </c>
      <c r="AZ57" s="98">
        <v>71.219830000000002</v>
      </c>
      <c r="BA57" s="95">
        <v>347</v>
      </c>
      <c r="BB57" s="97">
        <v>2.881844380403458E-3</v>
      </c>
      <c r="BC57" s="107">
        <v>68.203379999999996</v>
      </c>
      <c r="BD57" s="53">
        <v>329</v>
      </c>
      <c r="BE57" s="54">
        <v>3.0400000000000002E-3</v>
      </c>
      <c r="BF57" s="15">
        <v>132.75</v>
      </c>
      <c r="BG57" s="53">
        <v>347</v>
      </c>
      <c r="BH57" s="54">
        <v>2.882E-3</v>
      </c>
      <c r="BI57" s="61">
        <v>68.203000000000003</v>
      </c>
      <c r="BJ57" s="53">
        <v>347</v>
      </c>
      <c r="BK57" s="54">
        <v>2.882E-3</v>
      </c>
      <c r="BL57" s="61">
        <v>68.203000000000003</v>
      </c>
      <c r="CH57" s="95">
        <v>309</v>
      </c>
      <c r="CI57" s="99">
        <v>952.46387000000004</v>
      </c>
      <c r="CJ57" s="53">
        <v>309</v>
      </c>
      <c r="CK57" s="61">
        <v>922.34955000000002</v>
      </c>
      <c r="CL57" s="53">
        <v>309</v>
      </c>
      <c r="CM57" s="61">
        <v>922.34955000000002</v>
      </c>
      <c r="CN57" s="53">
        <v>309</v>
      </c>
      <c r="CO57" s="61">
        <v>904.46839999999997</v>
      </c>
    </row>
    <row r="58" spans="5:93">
      <c r="K58" s="42"/>
      <c r="L58" s="43"/>
      <c r="M58" s="44"/>
      <c r="AO58" s="53">
        <v>315</v>
      </c>
      <c r="AP58" s="54">
        <v>3.1746000000000001E-3</v>
      </c>
      <c r="AQ58" s="60">
        <v>81.004519999999999</v>
      </c>
      <c r="AR58" s="53">
        <v>322</v>
      </c>
      <c r="AS58" s="54">
        <v>3.1055900000000001E-3</v>
      </c>
      <c r="AT58" s="60">
        <v>81.644850000000005</v>
      </c>
      <c r="AU58" s="53">
        <v>330</v>
      </c>
      <c r="AV58" s="54">
        <v>3.0303000000000001E-3</v>
      </c>
      <c r="AW58" s="60">
        <v>78.289370000000005</v>
      </c>
      <c r="AX58" s="95">
        <v>339</v>
      </c>
      <c r="AY58" s="54">
        <f t="shared" si="1"/>
        <v>2.9498525073746312E-3</v>
      </c>
      <c r="AZ58" s="98">
        <v>76.435813999999993</v>
      </c>
      <c r="BA58" s="95">
        <v>348</v>
      </c>
      <c r="BB58" s="97">
        <v>2.8735632183908046E-3</v>
      </c>
      <c r="BC58" s="107">
        <v>73.166809999999998</v>
      </c>
      <c r="BD58" s="53">
        <v>330</v>
      </c>
      <c r="BE58" s="54">
        <v>3.0300000000000001E-3</v>
      </c>
      <c r="BF58" s="15">
        <v>142.02000000000001</v>
      </c>
      <c r="BG58" s="53">
        <v>348</v>
      </c>
      <c r="BH58" s="54">
        <v>2.8739999999999998E-3</v>
      </c>
      <c r="BI58" s="61">
        <v>73.167000000000002</v>
      </c>
      <c r="BJ58" s="53">
        <v>348</v>
      </c>
      <c r="BK58" s="54">
        <v>2.8739999999999998E-3</v>
      </c>
      <c r="BL58" s="61">
        <v>73.167000000000002</v>
      </c>
      <c r="CH58" s="95">
        <v>310</v>
      </c>
      <c r="CI58" s="99">
        <v>951.40390000000002</v>
      </c>
      <c r="CJ58" s="53">
        <v>310</v>
      </c>
      <c r="CK58" s="61">
        <v>921.30709999999999</v>
      </c>
      <c r="CL58" s="53">
        <v>310</v>
      </c>
      <c r="CM58" s="61">
        <v>921.30709999999999</v>
      </c>
      <c r="CN58" s="53">
        <v>310</v>
      </c>
      <c r="CO58" s="61">
        <v>903.45354999999995</v>
      </c>
    </row>
    <row r="59" spans="5:93" ht="15" thickBot="1">
      <c r="K59" s="46"/>
      <c r="L59" s="47"/>
      <c r="M59" s="70"/>
      <c r="AO59" s="53">
        <v>316</v>
      </c>
      <c r="AP59" s="54">
        <v>3.1645599999999999E-3</v>
      </c>
      <c r="AQ59" s="60">
        <v>86.980649999999997</v>
      </c>
      <c r="AR59" s="53">
        <v>323</v>
      </c>
      <c r="AS59" s="54">
        <v>3.0959749999999999E-3</v>
      </c>
      <c r="AT59" s="60">
        <v>87.644959999999998</v>
      </c>
      <c r="AU59" s="53">
        <v>331</v>
      </c>
      <c r="AV59" s="54">
        <v>3.0211499999999998E-3</v>
      </c>
      <c r="AW59" s="60">
        <v>84.023830000000004</v>
      </c>
      <c r="AX59" s="95">
        <v>340</v>
      </c>
      <c r="AY59" s="54">
        <f t="shared" si="1"/>
        <v>2.9411764705882353E-3</v>
      </c>
      <c r="AZ59" s="98">
        <v>81.993930000000006</v>
      </c>
      <c r="BA59" s="95">
        <v>349</v>
      </c>
      <c r="BB59" s="97">
        <v>2.8653295128939827E-3</v>
      </c>
      <c r="BC59" s="107">
        <v>78.454120000000003</v>
      </c>
      <c r="BD59" s="53">
        <v>331</v>
      </c>
      <c r="BE59" s="54">
        <v>3.0209999999999998E-3</v>
      </c>
      <c r="BF59" s="15">
        <v>151.87</v>
      </c>
      <c r="BG59" s="53">
        <v>349</v>
      </c>
      <c r="BH59" s="54">
        <v>2.8649999999999999E-3</v>
      </c>
      <c r="BI59" s="61">
        <v>78.453999999999994</v>
      </c>
      <c r="BJ59" s="53">
        <v>349</v>
      </c>
      <c r="BK59" s="54">
        <v>2.8649999999999999E-3</v>
      </c>
      <c r="BL59" s="61">
        <v>78.453999999999994</v>
      </c>
      <c r="CH59" s="95">
        <v>311</v>
      </c>
      <c r="CI59" s="99">
        <v>950.34349999999995</v>
      </c>
      <c r="CJ59" s="53">
        <v>311</v>
      </c>
      <c r="CK59" s="61">
        <v>920.26446999999996</v>
      </c>
      <c r="CL59" s="53">
        <v>311</v>
      </c>
      <c r="CM59" s="61">
        <v>920.26446999999996</v>
      </c>
      <c r="CN59" s="53">
        <v>311</v>
      </c>
      <c r="CO59" s="61">
        <v>902.43853999999999</v>
      </c>
    </row>
    <row r="60" spans="5:93">
      <c r="AO60" s="53">
        <v>317</v>
      </c>
      <c r="AP60" s="54">
        <v>3.1545700000000002E-3</v>
      </c>
      <c r="AQ60" s="60">
        <v>93.350250000000003</v>
      </c>
      <c r="AR60" s="53">
        <v>324</v>
      </c>
      <c r="AS60" s="54">
        <v>3.0864199999999999E-3</v>
      </c>
      <c r="AT60" s="60">
        <v>94.038910000000001</v>
      </c>
      <c r="AU60" s="53">
        <v>332</v>
      </c>
      <c r="AV60" s="54">
        <v>3.0120500000000001E-3</v>
      </c>
      <c r="AW60" s="60">
        <v>90.13391</v>
      </c>
      <c r="AX60" s="95">
        <v>341</v>
      </c>
      <c r="AY60" s="54">
        <f t="shared" si="1"/>
        <v>2.9325513196480938E-3</v>
      </c>
      <c r="AZ60" s="98">
        <v>87.91386</v>
      </c>
      <c r="BA60" s="95">
        <v>350</v>
      </c>
      <c r="BB60" s="97">
        <v>2.8571428571428571E-3</v>
      </c>
      <c r="BC60" s="107">
        <v>84.083855</v>
      </c>
      <c r="BD60" s="53">
        <v>332</v>
      </c>
      <c r="BE60" s="54">
        <v>3.0119999999999999E-3</v>
      </c>
      <c r="BF60" s="15">
        <v>162.32</v>
      </c>
      <c r="BG60" s="53">
        <v>350</v>
      </c>
      <c r="BH60" s="54">
        <v>2.8570000000000002E-3</v>
      </c>
      <c r="BI60" s="61">
        <v>84.084000000000003</v>
      </c>
      <c r="BJ60" s="53">
        <v>350</v>
      </c>
      <c r="BK60" s="54">
        <v>2.8570000000000002E-3</v>
      </c>
      <c r="BL60" s="61">
        <v>84.084000000000003</v>
      </c>
      <c r="CH60" s="95">
        <v>312</v>
      </c>
      <c r="CI60" s="99">
        <v>949.28279999999995</v>
      </c>
      <c r="CJ60" s="53">
        <v>312</v>
      </c>
      <c r="CK60" s="61">
        <v>919.22149999999999</v>
      </c>
      <c r="CL60" s="53">
        <v>312</v>
      </c>
      <c r="CM60" s="61">
        <v>919.22149999999999</v>
      </c>
      <c r="CN60" s="53">
        <v>312</v>
      </c>
      <c r="CO60" s="61">
        <v>901.42334000000005</v>
      </c>
    </row>
    <row r="61" spans="5:93">
      <c r="AO61" s="53">
        <v>318</v>
      </c>
      <c r="AP61" s="54">
        <v>3.1446500000000001E-3</v>
      </c>
      <c r="AQ61" s="61">
        <v>100.13594000000001</v>
      </c>
      <c r="AR61" s="53">
        <v>325</v>
      </c>
      <c r="AS61" s="54">
        <v>3.0769230000000001E-3</v>
      </c>
      <c r="AT61" s="61">
        <v>100.8493</v>
      </c>
      <c r="AU61" s="53">
        <v>333</v>
      </c>
      <c r="AV61" s="54">
        <v>3.003E-3</v>
      </c>
      <c r="AW61" s="60">
        <v>96.641130000000004</v>
      </c>
      <c r="AX61" s="95">
        <v>342</v>
      </c>
      <c r="AY61" s="54">
        <f t="shared" si="1"/>
        <v>2.9239766081871343E-3</v>
      </c>
      <c r="AZ61" s="98">
        <v>94.216229999999996</v>
      </c>
      <c r="BA61" s="95">
        <v>351</v>
      </c>
      <c r="BB61" s="97">
        <v>2.8490028490028491E-3</v>
      </c>
      <c r="BC61" s="107">
        <v>90.075490000000002</v>
      </c>
      <c r="BD61" s="53">
        <v>333</v>
      </c>
      <c r="BE61" s="54">
        <v>3.003E-3</v>
      </c>
      <c r="BF61" s="15">
        <v>173.42</v>
      </c>
      <c r="BG61" s="53">
        <v>351</v>
      </c>
      <c r="BH61" s="54">
        <v>2.849E-3</v>
      </c>
      <c r="BI61" s="61">
        <v>90.075000000000003</v>
      </c>
      <c r="BJ61" s="53">
        <v>351</v>
      </c>
      <c r="BK61" s="54">
        <v>2.849E-3</v>
      </c>
      <c r="BL61" s="61">
        <v>90.075000000000003</v>
      </c>
      <c r="CH61" s="95">
        <v>313</v>
      </c>
      <c r="CI61" s="99">
        <v>948.22170000000006</v>
      </c>
      <c r="CJ61" s="53">
        <v>313</v>
      </c>
      <c r="CK61" s="61">
        <v>918.17819999999995</v>
      </c>
      <c r="CL61" s="53">
        <v>313</v>
      </c>
      <c r="CM61" s="61">
        <v>918.17819999999995</v>
      </c>
      <c r="CN61" s="53">
        <v>313</v>
      </c>
      <c r="CO61" s="61">
        <v>900.40796</v>
      </c>
    </row>
    <row r="62" spans="5:93">
      <c r="AO62" s="53">
        <v>319</v>
      </c>
      <c r="AP62" s="54">
        <v>3.1348000000000001E-3</v>
      </c>
      <c r="AQ62" s="61">
        <v>107.36144</v>
      </c>
      <c r="AR62" s="53">
        <v>326</v>
      </c>
      <c r="AS62" s="54">
        <v>3.067485E-3</v>
      </c>
      <c r="AT62" s="61">
        <v>108.0998</v>
      </c>
      <c r="AU62" s="53">
        <v>334</v>
      </c>
      <c r="AV62" s="54">
        <v>2.9940100000000001E-3</v>
      </c>
      <c r="AW62" s="61">
        <v>103.5681</v>
      </c>
      <c r="AX62" s="95">
        <v>343</v>
      </c>
      <c r="AY62" s="54">
        <f t="shared" si="1"/>
        <v>2.9154518950437317E-3</v>
      </c>
      <c r="AZ62" s="99">
        <v>100.92271</v>
      </c>
      <c r="BA62" s="95">
        <v>352</v>
      </c>
      <c r="BB62" s="97">
        <v>2.840909090909091E-3</v>
      </c>
      <c r="BC62" s="107">
        <v>96.449439999999996</v>
      </c>
      <c r="BD62" s="53">
        <v>334</v>
      </c>
      <c r="BE62" s="54">
        <v>2.9940000000000001E-3</v>
      </c>
      <c r="BF62" s="15">
        <v>185.19</v>
      </c>
      <c r="BG62" s="53">
        <v>352</v>
      </c>
      <c r="BH62" s="54">
        <v>2.8410000000000002E-3</v>
      </c>
      <c r="BI62" s="61">
        <v>96.448999999999998</v>
      </c>
      <c r="BJ62" s="53">
        <v>352</v>
      </c>
      <c r="BK62" s="54">
        <v>2.8410000000000002E-3</v>
      </c>
      <c r="BL62" s="61">
        <v>96.448999999999998</v>
      </c>
      <c r="CH62" s="95">
        <v>314</v>
      </c>
      <c r="CI62" s="99">
        <v>947.16016000000002</v>
      </c>
      <c r="CJ62" s="53">
        <v>314</v>
      </c>
      <c r="CK62" s="61">
        <v>917.13469999999995</v>
      </c>
      <c r="CL62" s="53">
        <v>314</v>
      </c>
      <c r="CM62" s="61">
        <v>917.13469999999995</v>
      </c>
      <c r="CN62" s="53">
        <v>314</v>
      </c>
      <c r="CO62" s="61">
        <v>899.39233000000002</v>
      </c>
    </row>
    <row r="63" spans="5:93">
      <c r="AO63" s="53">
        <v>320</v>
      </c>
      <c r="AP63" s="54">
        <v>3.1250000000000002E-3</v>
      </c>
      <c r="AQ63" s="61">
        <v>115.05162</v>
      </c>
      <c r="AR63" s="53">
        <v>327</v>
      </c>
      <c r="AS63" s="54">
        <v>3.0581039999999999E-3</v>
      </c>
      <c r="AT63" s="61">
        <v>115.8152</v>
      </c>
      <c r="AU63" s="53">
        <v>335</v>
      </c>
      <c r="AV63" s="54">
        <v>2.9850699999999998E-3</v>
      </c>
      <c r="AW63" s="61">
        <v>110.9384</v>
      </c>
      <c r="AX63" s="95">
        <v>344</v>
      </c>
      <c r="AY63" s="54">
        <f t="shared" si="1"/>
        <v>2.9069767441860465E-3</v>
      </c>
      <c r="AZ63" s="99">
        <v>108.05595</v>
      </c>
      <c r="BA63" s="95">
        <v>353</v>
      </c>
      <c r="BB63" s="97">
        <v>2.8328611898016999E-3</v>
      </c>
      <c r="BC63" s="108">
        <v>103.22705999999999</v>
      </c>
      <c r="BD63" s="53">
        <v>335</v>
      </c>
      <c r="BE63" s="54">
        <v>2.9849999999999998E-3</v>
      </c>
      <c r="BF63" s="15">
        <v>197.67</v>
      </c>
      <c r="BG63" s="53">
        <v>353</v>
      </c>
      <c r="BH63" s="54">
        <v>2.833E-3</v>
      </c>
      <c r="BI63" s="61">
        <v>103.23</v>
      </c>
      <c r="BJ63" s="53">
        <v>353</v>
      </c>
      <c r="BK63" s="54">
        <v>2.833E-3</v>
      </c>
      <c r="BL63" s="61">
        <v>103.23</v>
      </c>
      <c r="CH63" s="95">
        <v>315</v>
      </c>
      <c r="CI63" s="99">
        <v>946.09826999999996</v>
      </c>
      <c r="CJ63" s="53">
        <v>315</v>
      </c>
      <c r="CK63" s="61">
        <v>916.09079999999994</v>
      </c>
      <c r="CL63" s="53">
        <v>315</v>
      </c>
      <c r="CM63" s="61">
        <v>916.09079999999994</v>
      </c>
      <c r="CN63" s="53">
        <v>315</v>
      </c>
      <c r="CO63" s="61">
        <v>898.37649999999996</v>
      </c>
    </row>
    <row r="64" spans="5:93">
      <c r="AO64" s="53">
        <v>321</v>
      </c>
      <c r="AP64" s="54">
        <v>3.1152599999999999E-3</v>
      </c>
      <c r="AQ64" s="61">
        <v>123.23251999999999</v>
      </c>
      <c r="AR64" s="53">
        <v>328</v>
      </c>
      <c r="AS64" s="54">
        <v>3.0487800000000001E-3</v>
      </c>
      <c r="AT64" s="61">
        <v>124.02160000000001</v>
      </c>
      <c r="AU64" s="53">
        <v>336</v>
      </c>
      <c r="AV64" s="54">
        <v>2.9761900000000001E-3</v>
      </c>
      <c r="AW64" s="61">
        <v>118.7769</v>
      </c>
      <c r="AX64" s="95">
        <v>345</v>
      </c>
      <c r="AY64" s="54">
        <f t="shared" si="1"/>
        <v>2.8985507246376812E-3</v>
      </c>
      <c r="AZ64" s="99">
        <v>115.63972</v>
      </c>
      <c r="BA64" s="95">
        <v>354</v>
      </c>
      <c r="BB64" s="97">
        <v>2.8248587570621469E-3</v>
      </c>
      <c r="BC64" s="108">
        <v>110.430756</v>
      </c>
      <c r="BD64" s="53">
        <v>336</v>
      </c>
      <c r="BE64" s="54">
        <v>2.9759999999999999E-3</v>
      </c>
      <c r="BF64" s="15">
        <v>210.89</v>
      </c>
      <c r="BG64" s="53">
        <v>354</v>
      </c>
      <c r="BH64" s="54">
        <v>2.8249999999999998E-3</v>
      </c>
      <c r="BI64" s="61">
        <v>110.43</v>
      </c>
      <c r="BJ64" s="53">
        <v>354</v>
      </c>
      <c r="BK64" s="54">
        <v>2.8249999999999998E-3</v>
      </c>
      <c r="BL64" s="61">
        <v>110.43</v>
      </c>
      <c r="CH64" s="95">
        <v>316</v>
      </c>
      <c r="CI64" s="99">
        <v>945.03594999999996</v>
      </c>
      <c r="CJ64" s="53">
        <v>316</v>
      </c>
      <c r="CK64" s="61">
        <v>915.04669999999999</v>
      </c>
      <c r="CL64" s="53">
        <v>316</v>
      </c>
      <c r="CM64" s="61">
        <v>915.04669999999999</v>
      </c>
      <c r="CN64" s="53">
        <v>316</v>
      </c>
      <c r="CO64" s="61">
        <v>897.36040000000003</v>
      </c>
    </row>
    <row r="65" spans="41:93">
      <c r="AO65" s="53">
        <v>322</v>
      </c>
      <c r="AP65" s="54">
        <v>3.1055900000000001E-3</v>
      </c>
      <c r="AQ65" s="61">
        <v>131.93143000000001</v>
      </c>
      <c r="AR65" s="53">
        <v>329</v>
      </c>
      <c r="AS65" s="54">
        <v>3.0395140000000001E-3</v>
      </c>
      <c r="AT65" s="61">
        <v>132.74619999999999</v>
      </c>
      <c r="AU65" s="53">
        <v>337</v>
      </c>
      <c r="AV65" s="54">
        <v>2.96736E-3</v>
      </c>
      <c r="AW65" s="61">
        <v>127.1096</v>
      </c>
      <c r="AX65" s="95">
        <v>346</v>
      </c>
      <c r="AY65" s="54">
        <f t="shared" si="1"/>
        <v>2.8901734104046241E-3</v>
      </c>
      <c r="AZ65" s="99">
        <v>123.69889000000001</v>
      </c>
      <c r="BA65" s="95">
        <v>355</v>
      </c>
      <c r="BB65" s="97">
        <v>2.8169014084507044E-3</v>
      </c>
      <c r="BC65" s="108">
        <v>118.08396</v>
      </c>
      <c r="BD65" s="53">
        <v>337</v>
      </c>
      <c r="BE65" s="54">
        <v>2.967E-3</v>
      </c>
      <c r="BF65" s="15">
        <v>224.91</v>
      </c>
      <c r="BG65" s="53">
        <v>355</v>
      </c>
      <c r="BH65" s="54">
        <v>2.8170000000000001E-3</v>
      </c>
      <c r="BI65" s="61">
        <v>118.08</v>
      </c>
      <c r="BJ65" s="53">
        <v>355</v>
      </c>
      <c r="BK65" s="54">
        <v>2.8170000000000001E-3</v>
      </c>
      <c r="BL65" s="61">
        <v>118.08</v>
      </c>
      <c r="CH65" s="95">
        <v>317</v>
      </c>
      <c r="CI65" s="99">
        <v>943.97326999999996</v>
      </c>
      <c r="CJ65" s="53">
        <v>317</v>
      </c>
      <c r="CK65" s="61">
        <v>914.00220000000002</v>
      </c>
      <c r="CL65" s="53">
        <v>317</v>
      </c>
      <c r="CM65" s="61">
        <v>914.00220000000002</v>
      </c>
      <c r="CN65" s="53">
        <v>317</v>
      </c>
      <c r="CO65" s="61">
        <v>896.34410000000003</v>
      </c>
    </row>
    <row r="66" spans="41:93">
      <c r="AO66" s="53">
        <v>323</v>
      </c>
      <c r="AP66" s="54">
        <v>3.0959799999999999E-3</v>
      </c>
      <c r="AQ66" s="61">
        <v>141.17689999999999</v>
      </c>
      <c r="AR66" s="53">
        <v>330</v>
      </c>
      <c r="AS66" s="54">
        <v>3.0303029999999998E-3</v>
      </c>
      <c r="AT66" s="61">
        <v>142.01750000000001</v>
      </c>
      <c r="AU66" s="53">
        <v>338</v>
      </c>
      <c r="AV66" s="54">
        <v>2.9585800000000002E-3</v>
      </c>
      <c r="AW66" s="61">
        <v>135.96350000000001</v>
      </c>
      <c r="AX66" s="95">
        <v>347</v>
      </c>
      <c r="AY66" s="54">
        <f t="shared" si="1"/>
        <v>2.881844380403458E-3</v>
      </c>
      <c r="AZ66" s="99">
        <v>132.25949</v>
      </c>
      <c r="BA66" s="95">
        <v>356</v>
      </c>
      <c r="BB66" s="97">
        <v>2.8089887640449437E-3</v>
      </c>
      <c r="BC66" s="108">
        <v>126.21122</v>
      </c>
      <c r="BD66" s="53">
        <v>338</v>
      </c>
      <c r="BE66" s="54">
        <v>2.9589999999999998E-3</v>
      </c>
      <c r="BF66" s="15">
        <v>239.75</v>
      </c>
      <c r="BG66" s="53">
        <v>356</v>
      </c>
      <c r="BH66" s="54">
        <v>2.8089999999999999E-3</v>
      </c>
      <c r="BI66" s="61">
        <v>126.21</v>
      </c>
      <c r="BJ66" s="53">
        <v>356</v>
      </c>
      <c r="BK66" s="54">
        <v>2.8089999999999999E-3</v>
      </c>
      <c r="BL66" s="61">
        <v>126.21</v>
      </c>
      <c r="CH66" s="95">
        <v>318</v>
      </c>
      <c r="CI66" s="99">
        <v>942.91010000000006</v>
      </c>
      <c r="CJ66" s="53">
        <v>318</v>
      </c>
      <c r="CK66" s="61">
        <v>912.95740000000001</v>
      </c>
      <c r="CL66" s="53">
        <v>318</v>
      </c>
      <c r="CM66" s="61">
        <v>912.95740000000001</v>
      </c>
      <c r="CN66" s="53">
        <v>318</v>
      </c>
      <c r="CO66" s="61">
        <v>895.32759999999996</v>
      </c>
    </row>
    <row r="67" spans="41:93">
      <c r="AO67" s="53">
        <v>324</v>
      </c>
      <c r="AP67" s="54">
        <v>3.0864199999999999E-3</v>
      </c>
      <c r="AQ67" s="61">
        <v>150.99878000000001</v>
      </c>
      <c r="AR67" s="53">
        <v>331</v>
      </c>
      <c r="AS67" s="54">
        <v>3.021148E-3</v>
      </c>
      <c r="AT67" s="61">
        <v>151.86529999999999</v>
      </c>
      <c r="AU67" s="53">
        <v>339</v>
      </c>
      <c r="AV67" s="54">
        <v>2.94985E-3</v>
      </c>
      <c r="AW67" s="61">
        <v>145.3673</v>
      </c>
      <c r="AX67" s="95">
        <v>348</v>
      </c>
      <c r="AY67" s="54">
        <f t="shared" si="1"/>
        <v>2.8735632183908046E-3</v>
      </c>
      <c r="AZ67" s="99">
        <v>141.34875</v>
      </c>
      <c r="BA67" s="95">
        <v>357</v>
      </c>
      <c r="BB67" s="97">
        <v>2.8011204481792717E-3</v>
      </c>
      <c r="BC67" s="108">
        <v>134.83817999999999</v>
      </c>
      <c r="BD67" s="53">
        <v>339</v>
      </c>
      <c r="BE67" s="54">
        <v>2.9499999999999999E-3</v>
      </c>
      <c r="BF67" s="15">
        <v>255.46</v>
      </c>
      <c r="BG67" s="53">
        <v>357</v>
      </c>
      <c r="BH67" s="54">
        <v>2.8010000000000001E-3</v>
      </c>
      <c r="BI67" s="61">
        <v>134.84</v>
      </c>
      <c r="BJ67" s="53">
        <v>357</v>
      </c>
      <c r="BK67" s="54">
        <v>2.8010000000000001E-3</v>
      </c>
      <c r="BL67" s="61">
        <v>134.84</v>
      </c>
      <c r="CH67" s="95">
        <v>319</v>
      </c>
      <c r="CI67" s="99">
        <v>941.84655999999995</v>
      </c>
      <c r="CJ67" s="53">
        <v>319</v>
      </c>
      <c r="CK67" s="61">
        <v>911.91223000000002</v>
      </c>
      <c r="CL67" s="53">
        <v>319</v>
      </c>
      <c r="CM67" s="61">
        <v>911.91223000000002</v>
      </c>
      <c r="CN67" s="53">
        <v>319</v>
      </c>
      <c r="CO67" s="61">
        <v>894.3107</v>
      </c>
    </row>
    <row r="68" spans="41:93">
      <c r="AO68" s="53">
        <v>325</v>
      </c>
      <c r="AP68" s="54">
        <v>3.0769199999999999E-3</v>
      </c>
      <c r="AQ68" s="61">
        <v>161.42836</v>
      </c>
      <c r="AR68" s="53">
        <v>332</v>
      </c>
      <c r="AS68" s="54">
        <v>3.0120479999999998E-3</v>
      </c>
      <c r="AT68" s="61">
        <v>162.32089999999999</v>
      </c>
      <c r="AU68" s="53">
        <v>340</v>
      </c>
      <c r="AV68" s="54">
        <v>2.9411799999999998E-3</v>
      </c>
      <c r="AW68" s="61">
        <v>155.35050000000001</v>
      </c>
      <c r="AX68" s="95">
        <v>349</v>
      </c>
      <c r="AY68" s="54">
        <f t="shared" si="1"/>
        <v>2.8653295128939827E-3</v>
      </c>
      <c r="AZ68" s="99">
        <v>150.99516</v>
      </c>
      <c r="BA68" s="95">
        <v>358</v>
      </c>
      <c r="BB68" s="97">
        <v>2.7932960893854749E-3</v>
      </c>
      <c r="BC68" s="108">
        <v>143.99170000000001</v>
      </c>
      <c r="BD68" s="53">
        <v>340</v>
      </c>
      <c r="BE68" s="54">
        <v>2.941E-3</v>
      </c>
      <c r="BF68" s="15">
        <v>272.08</v>
      </c>
      <c r="BG68" s="53">
        <v>358</v>
      </c>
      <c r="BH68" s="54">
        <v>2.7929999999999999E-3</v>
      </c>
      <c r="BI68" s="61">
        <v>143.99</v>
      </c>
      <c r="BJ68" s="53">
        <v>358</v>
      </c>
      <c r="BK68" s="54">
        <v>2.7929999999999999E-3</v>
      </c>
      <c r="BL68" s="61">
        <v>143.99</v>
      </c>
      <c r="CH68" s="95">
        <v>320</v>
      </c>
      <c r="CI68" s="99">
        <v>940.78252999999995</v>
      </c>
      <c r="CJ68" s="53">
        <v>320</v>
      </c>
      <c r="CK68" s="61">
        <v>910.86670000000004</v>
      </c>
      <c r="CL68" s="53">
        <v>320</v>
      </c>
      <c r="CM68" s="61">
        <v>910.86670000000004</v>
      </c>
      <c r="CN68" s="53">
        <v>320</v>
      </c>
      <c r="CO68" s="61">
        <v>893.29363999999998</v>
      </c>
    </row>
    <row r="69" spans="41:93">
      <c r="AO69" s="53">
        <v>326</v>
      </c>
      <c r="AP69" s="54">
        <v>3.06748E-3</v>
      </c>
      <c r="AQ69" s="61">
        <v>172.49825999999999</v>
      </c>
      <c r="AR69" s="53">
        <v>333</v>
      </c>
      <c r="AS69" s="54">
        <v>3.0030030000000002E-3</v>
      </c>
      <c r="AT69" s="61">
        <v>173.41679999999999</v>
      </c>
      <c r="AU69" s="53">
        <v>341</v>
      </c>
      <c r="AV69" s="54">
        <v>2.9325499999999999E-3</v>
      </c>
      <c r="AW69" s="61">
        <v>165.9443</v>
      </c>
      <c r="AX69" s="95">
        <v>350</v>
      </c>
      <c r="AY69" s="54">
        <f t="shared" si="1"/>
        <v>2.8571428571428571E-3</v>
      </c>
      <c r="AZ69" s="99">
        <v>161.22846999999999</v>
      </c>
      <c r="BA69" s="95">
        <v>359</v>
      </c>
      <c r="BB69" s="97">
        <v>2.7855153203342618E-3</v>
      </c>
      <c r="BC69" s="108">
        <v>153.69982999999999</v>
      </c>
      <c r="BD69" s="53">
        <v>341</v>
      </c>
      <c r="BE69" s="54">
        <v>2.9329999999999998E-3</v>
      </c>
      <c r="BF69" s="15">
        <v>289.66000000000003</v>
      </c>
      <c r="BG69" s="53">
        <v>359</v>
      </c>
      <c r="BH69" s="54">
        <v>2.7859999999999998E-3</v>
      </c>
      <c r="BI69" s="61">
        <v>153.69999999999999</v>
      </c>
      <c r="BJ69" s="53">
        <v>359</v>
      </c>
      <c r="BK69" s="54">
        <v>2.7859999999999998E-3</v>
      </c>
      <c r="BL69" s="61">
        <v>153.69999999999999</v>
      </c>
      <c r="CH69" s="95">
        <v>321</v>
      </c>
      <c r="CI69" s="99">
        <v>939.71810000000005</v>
      </c>
      <c r="CJ69" s="53">
        <v>321</v>
      </c>
      <c r="CK69" s="61">
        <v>909.82086000000004</v>
      </c>
      <c r="CL69" s="53">
        <v>321</v>
      </c>
      <c r="CM69" s="61">
        <v>909.82086000000004</v>
      </c>
      <c r="CN69" s="53">
        <v>321</v>
      </c>
      <c r="CO69" s="61">
        <v>892.27629999999999</v>
      </c>
    </row>
    <row r="70" spans="41:93">
      <c r="AO70" s="53">
        <v>327</v>
      </c>
      <c r="AP70" s="54">
        <v>3.0580999999999998E-3</v>
      </c>
      <c r="AQ70" s="61">
        <v>184.24265</v>
      </c>
      <c r="AR70" s="53">
        <v>334</v>
      </c>
      <c r="AS70" s="54">
        <v>2.9940119999999999E-3</v>
      </c>
      <c r="AT70" s="61">
        <v>185.18700000000001</v>
      </c>
      <c r="AU70" s="53">
        <v>342</v>
      </c>
      <c r="AV70" s="54">
        <v>2.9239800000000001E-3</v>
      </c>
      <c r="AW70" s="61">
        <v>177.18129999999999</v>
      </c>
      <c r="AX70" s="95">
        <v>351</v>
      </c>
      <c r="AY70" s="54">
        <f t="shared" si="1"/>
        <v>2.8490028490028491E-3</v>
      </c>
      <c r="AZ70" s="99">
        <v>172.07980000000001</v>
      </c>
      <c r="BA70" s="95">
        <v>360</v>
      </c>
      <c r="BB70" s="97">
        <v>2.7777777777777779E-3</v>
      </c>
      <c r="BC70" s="108">
        <v>163.99185</v>
      </c>
      <c r="BD70" s="53">
        <v>342</v>
      </c>
      <c r="BE70" s="54">
        <v>2.9239999999999999E-3</v>
      </c>
      <c r="BF70" s="15">
        <v>308.24</v>
      </c>
      <c r="BG70" s="53">
        <v>360</v>
      </c>
      <c r="BH70" s="54">
        <v>2.7780000000000001E-3</v>
      </c>
      <c r="BI70" s="61">
        <v>163.99</v>
      </c>
      <c r="BJ70" s="53">
        <v>360</v>
      </c>
      <c r="BK70" s="54">
        <v>2.7780000000000001E-3</v>
      </c>
      <c r="BL70" s="61">
        <v>163.99</v>
      </c>
      <c r="CH70" s="95">
        <v>322</v>
      </c>
      <c r="CI70" s="99">
        <v>938.65314000000001</v>
      </c>
      <c r="CJ70" s="53">
        <v>322</v>
      </c>
      <c r="CK70" s="61">
        <v>908.77459999999996</v>
      </c>
      <c r="CL70" s="53">
        <v>322</v>
      </c>
      <c r="CM70" s="61">
        <v>908.77459999999996</v>
      </c>
      <c r="CN70" s="53">
        <v>322</v>
      </c>
      <c r="CO70" s="61">
        <v>891.2586</v>
      </c>
    </row>
    <row r="71" spans="41:93">
      <c r="AO71" s="53">
        <v>328</v>
      </c>
      <c r="AP71" s="54">
        <v>3.0487800000000001E-3</v>
      </c>
      <c r="AQ71" s="61">
        <v>196.69717</v>
      </c>
      <c r="AR71" s="53">
        <v>335</v>
      </c>
      <c r="AS71" s="54">
        <v>2.9850749999999998E-3</v>
      </c>
      <c r="AT71" s="61">
        <v>197.66730000000001</v>
      </c>
      <c r="AU71" s="53">
        <v>343</v>
      </c>
      <c r="AV71" s="54">
        <v>2.91545E-3</v>
      </c>
      <c r="AW71" s="61">
        <v>189.09520000000001</v>
      </c>
      <c r="AX71" s="95">
        <v>352</v>
      </c>
      <c r="AY71" s="54">
        <f t="shared" si="1"/>
        <v>2.840909090909091E-3</v>
      </c>
      <c r="AZ71" s="99">
        <v>183.58165</v>
      </c>
      <c r="BA71" s="95">
        <v>361</v>
      </c>
      <c r="BB71" s="97">
        <v>2.7700831024930748E-3</v>
      </c>
      <c r="BC71" s="108">
        <v>174.89839000000001</v>
      </c>
      <c r="BD71" s="53">
        <v>343</v>
      </c>
      <c r="BE71" s="54">
        <v>2.9150000000000001E-3</v>
      </c>
      <c r="BF71" s="15">
        <v>327.88</v>
      </c>
      <c r="BG71" s="53">
        <v>361</v>
      </c>
      <c r="BH71" s="54">
        <v>2.7699999999999999E-3</v>
      </c>
      <c r="BI71" s="61">
        <v>174.9</v>
      </c>
      <c r="BJ71" s="53">
        <v>361</v>
      </c>
      <c r="BK71" s="54">
        <v>2.7699999999999999E-3</v>
      </c>
      <c r="BL71" s="61">
        <v>174.9</v>
      </c>
      <c r="CH71" s="95">
        <v>323</v>
      </c>
      <c r="CI71" s="99">
        <v>937.58776999999998</v>
      </c>
      <c r="CJ71" s="53">
        <v>323</v>
      </c>
      <c r="CK71" s="61">
        <v>907.72799999999995</v>
      </c>
      <c r="CL71" s="53">
        <v>323</v>
      </c>
      <c r="CM71" s="61">
        <v>907.72799999999995</v>
      </c>
      <c r="CN71" s="53">
        <v>323</v>
      </c>
      <c r="CO71" s="61">
        <v>890.24066000000005</v>
      </c>
    </row>
    <row r="72" spans="41:93">
      <c r="AO72" s="53">
        <v>329</v>
      </c>
      <c r="AP72" s="54">
        <v>3.03951E-3</v>
      </c>
      <c r="AQ72" s="61">
        <v>209.89908</v>
      </c>
      <c r="AR72" s="53">
        <v>336</v>
      </c>
      <c r="AS72" s="54">
        <v>2.9761900000000001E-3</v>
      </c>
      <c r="AT72" s="61">
        <v>210.8948</v>
      </c>
      <c r="AU72" s="53">
        <v>344</v>
      </c>
      <c r="AV72" s="54">
        <v>2.90698E-3</v>
      </c>
      <c r="AW72" s="61">
        <v>201.7217</v>
      </c>
      <c r="AX72" s="95">
        <v>353</v>
      </c>
      <c r="AY72" s="54">
        <f t="shared" si="1"/>
        <v>2.8328611898016999E-3</v>
      </c>
      <c r="AZ72" s="99">
        <v>195.76793000000001</v>
      </c>
      <c r="BA72" s="95">
        <v>362</v>
      </c>
      <c r="BB72" s="97">
        <v>2.7624309392265192E-3</v>
      </c>
      <c r="BC72" s="108">
        <v>186.45140000000001</v>
      </c>
      <c r="BD72" s="53">
        <v>344</v>
      </c>
      <c r="BE72" s="54">
        <v>2.9069999999999999E-3</v>
      </c>
      <c r="BF72" s="15">
        <v>348.63</v>
      </c>
      <c r="BG72" s="53">
        <v>362</v>
      </c>
      <c r="BH72" s="54">
        <v>2.7620000000000001E-3</v>
      </c>
      <c r="BI72" s="61">
        <v>186.45</v>
      </c>
      <c r="BJ72" s="53">
        <v>362</v>
      </c>
      <c r="BK72" s="54">
        <v>2.7620000000000001E-3</v>
      </c>
      <c r="BL72" s="61">
        <v>186.45</v>
      </c>
      <c r="CH72" s="95">
        <v>324</v>
      </c>
      <c r="CI72" s="99">
        <v>936.52189999999996</v>
      </c>
      <c r="CJ72" s="53">
        <v>324</v>
      </c>
      <c r="CK72" s="61">
        <v>906.68100000000004</v>
      </c>
      <c r="CL72" s="53">
        <v>324</v>
      </c>
      <c r="CM72" s="61">
        <v>906.68100000000004</v>
      </c>
      <c r="CN72" s="53">
        <v>324</v>
      </c>
      <c r="CO72" s="61">
        <v>889.22249999999997</v>
      </c>
    </row>
    <row r="73" spans="41:93">
      <c r="AO73" s="53">
        <v>330</v>
      </c>
      <c r="AP73" s="54">
        <v>3.0303000000000001E-3</v>
      </c>
      <c r="AQ73" s="61">
        <v>223.88720000000001</v>
      </c>
      <c r="AR73" s="53">
        <v>337</v>
      </c>
      <c r="AS73" s="54">
        <v>2.9673590000000001E-3</v>
      </c>
      <c r="AT73" s="61">
        <v>224.90819999999999</v>
      </c>
      <c r="AU73" s="53">
        <v>345</v>
      </c>
      <c r="AV73" s="54">
        <v>2.8985500000000002E-3</v>
      </c>
      <c r="AW73" s="61">
        <v>215.0976</v>
      </c>
      <c r="AX73" s="95">
        <v>354</v>
      </c>
      <c r="AY73" s="54">
        <f t="shared" si="1"/>
        <v>2.8248587570621469E-3</v>
      </c>
      <c r="AZ73" s="99">
        <v>208.67403999999999</v>
      </c>
      <c r="BA73" s="95">
        <v>363</v>
      </c>
      <c r="BB73" s="97">
        <v>2.7548209366391185E-3</v>
      </c>
      <c r="BC73" s="108">
        <v>198.68423000000001</v>
      </c>
      <c r="BD73" s="53">
        <v>345</v>
      </c>
      <c r="BE73" s="54">
        <v>2.8990000000000001E-3</v>
      </c>
      <c r="BF73" s="15">
        <v>370.55</v>
      </c>
      <c r="BG73" s="53">
        <v>363</v>
      </c>
      <c r="BH73" s="54">
        <v>2.7550000000000001E-3</v>
      </c>
      <c r="BI73" s="61">
        <v>198.68</v>
      </c>
      <c r="BJ73" s="53">
        <v>363</v>
      </c>
      <c r="BK73" s="54">
        <v>2.7550000000000001E-3</v>
      </c>
      <c r="BL73" s="61">
        <v>198.68</v>
      </c>
      <c r="CH73" s="95">
        <v>325</v>
      </c>
      <c r="CI73" s="99">
        <v>935.45556999999997</v>
      </c>
      <c r="CJ73" s="53">
        <v>325</v>
      </c>
      <c r="CK73" s="61">
        <v>905.6336</v>
      </c>
      <c r="CL73" s="53">
        <v>325</v>
      </c>
      <c r="CM73" s="61">
        <v>905.6336</v>
      </c>
      <c r="CN73" s="53">
        <v>325</v>
      </c>
      <c r="CO73" s="61">
        <v>888.20389999999998</v>
      </c>
    </row>
    <row r="74" spans="41:93">
      <c r="AO74" s="53">
        <v>331</v>
      </c>
      <c r="AP74" s="54">
        <v>3.0211499999999998E-3</v>
      </c>
      <c r="AQ74" s="61">
        <v>238.70212000000001</v>
      </c>
      <c r="AR74" s="53">
        <v>338</v>
      </c>
      <c r="AS74" s="54">
        <v>2.9585800000000002E-3</v>
      </c>
      <c r="AT74" s="61">
        <v>239.74799999999999</v>
      </c>
      <c r="AU74" s="53">
        <v>346</v>
      </c>
      <c r="AV74" s="54">
        <v>2.8901700000000001E-3</v>
      </c>
      <c r="AW74" s="61">
        <v>229.26150000000001</v>
      </c>
      <c r="AX74" s="95">
        <v>355</v>
      </c>
      <c r="AY74" s="54">
        <f t="shared" si="1"/>
        <v>2.8169014084507044E-3</v>
      </c>
      <c r="AZ74" s="99">
        <v>222.33690999999999</v>
      </c>
      <c r="BA74" s="95">
        <v>364</v>
      </c>
      <c r="BB74" s="97">
        <v>2.7472527472527475E-3</v>
      </c>
      <c r="BC74" s="108">
        <v>211.6317</v>
      </c>
      <c r="BD74" s="53">
        <v>346</v>
      </c>
      <c r="BE74" s="54">
        <v>2.8900000000000002E-3</v>
      </c>
      <c r="BF74" s="15">
        <v>393.67</v>
      </c>
      <c r="BG74" s="53">
        <v>364</v>
      </c>
      <c r="BH74" s="54">
        <v>2.7469999999999999E-3</v>
      </c>
      <c r="BI74" s="61">
        <v>211.63</v>
      </c>
      <c r="BJ74" s="53">
        <v>364</v>
      </c>
      <c r="BK74" s="54">
        <v>2.7469999999999999E-3</v>
      </c>
      <c r="BL74" s="61">
        <v>211.63</v>
      </c>
      <c r="CH74" s="95">
        <v>326</v>
      </c>
      <c r="CI74" s="99">
        <v>934.38873000000001</v>
      </c>
      <c r="CJ74" s="53">
        <v>326</v>
      </c>
      <c r="CK74" s="61">
        <v>904.58579999999995</v>
      </c>
      <c r="CL74" s="53">
        <v>326</v>
      </c>
      <c r="CM74" s="61">
        <v>904.58579999999995</v>
      </c>
      <c r="CN74" s="53">
        <v>326</v>
      </c>
      <c r="CO74" s="61">
        <v>887.18499999999995</v>
      </c>
    </row>
    <row r="75" spans="41:93">
      <c r="AO75" s="53">
        <v>332</v>
      </c>
      <c r="AP75" s="54">
        <v>3.0120500000000001E-3</v>
      </c>
      <c r="AQ75" s="61">
        <v>254.38611</v>
      </c>
      <c r="AR75" s="53">
        <v>339</v>
      </c>
      <c r="AS75" s="54">
        <v>2.9498530000000001E-3</v>
      </c>
      <c r="AT75" s="61">
        <v>255.4564</v>
      </c>
      <c r="AU75" s="53">
        <v>347</v>
      </c>
      <c r="AV75" s="54">
        <v>2.8818400000000001E-3</v>
      </c>
      <c r="AW75" s="61">
        <v>244.25389999999999</v>
      </c>
      <c r="AX75" s="95">
        <v>356</v>
      </c>
      <c r="AY75" s="54">
        <f t="shared" si="1"/>
        <v>2.8089887640449437E-3</v>
      </c>
      <c r="AZ75" s="99">
        <v>236.79508999999999</v>
      </c>
      <c r="BA75" s="95">
        <v>365</v>
      </c>
      <c r="BB75" s="97">
        <v>2.7397260273972603E-3</v>
      </c>
      <c r="BC75" s="108">
        <v>225.33005</v>
      </c>
      <c r="BD75" s="53">
        <v>347</v>
      </c>
      <c r="BE75" s="54">
        <v>2.882E-3</v>
      </c>
      <c r="BF75" s="15">
        <v>418.08</v>
      </c>
      <c r="BG75" s="53">
        <v>365</v>
      </c>
      <c r="BH75" s="54">
        <v>2.7399999999999998E-3</v>
      </c>
      <c r="BI75" s="61">
        <v>225.33</v>
      </c>
      <c r="BJ75" s="53">
        <v>365</v>
      </c>
      <c r="BK75" s="54">
        <v>2.7399999999999998E-3</v>
      </c>
      <c r="BL75" s="61">
        <v>225.33</v>
      </c>
      <c r="CH75" s="95">
        <v>327</v>
      </c>
      <c r="CI75" s="99">
        <v>933.32140000000004</v>
      </c>
      <c r="CJ75" s="53">
        <v>327</v>
      </c>
      <c r="CK75" s="61">
        <v>903.53765999999996</v>
      </c>
      <c r="CL75" s="53">
        <v>327</v>
      </c>
      <c r="CM75" s="61">
        <v>903.53765999999996</v>
      </c>
      <c r="CN75" s="53">
        <v>327</v>
      </c>
      <c r="CO75" s="61">
        <v>886.16583000000003</v>
      </c>
    </row>
    <row r="76" spans="41:93">
      <c r="AO76" s="53">
        <v>333</v>
      </c>
      <c r="AP76" s="54">
        <v>3.003E-3</v>
      </c>
      <c r="AQ76" s="61">
        <v>270.98327999999998</v>
      </c>
      <c r="AR76" s="53">
        <v>340</v>
      </c>
      <c r="AS76" s="54">
        <v>2.9411760000000002E-3</v>
      </c>
      <c r="AT76" s="61">
        <v>272.07749999999999</v>
      </c>
      <c r="AU76" s="53">
        <v>348</v>
      </c>
      <c r="AV76" s="54">
        <v>2.8735599999999998E-3</v>
      </c>
      <c r="AW76" s="61">
        <v>260.11649999999997</v>
      </c>
      <c r="AX76" s="95">
        <v>357</v>
      </c>
      <c r="AY76" s="54">
        <f t="shared" si="1"/>
        <v>2.8011204481792717E-3</v>
      </c>
      <c r="AZ76" s="99">
        <v>252.08870999999999</v>
      </c>
      <c r="BA76" s="95">
        <v>366</v>
      </c>
      <c r="BB76" s="97">
        <v>2.7322404371584699E-3</v>
      </c>
      <c r="BC76" s="108">
        <v>239.81711000000001</v>
      </c>
      <c r="BD76" s="53">
        <v>348</v>
      </c>
      <c r="BE76" s="54">
        <v>2.8739999999999998E-3</v>
      </c>
      <c r="BF76" s="15">
        <v>443.82</v>
      </c>
      <c r="BG76" s="53">
        <v>366</v>
      </c>
      <c r="BH76" s="54">
        <v>2.7320000000000001E-3</v>
      </c>
      <c r="BI76" s="61">
        <v>239.82</v>
      </c>
      <c r="BJ76" s="53">
        <v>366</v>
      </c>
      <c r="BK76" s="54">
        <v>2.7320000000000001E-3</v>
      </c>
      <c r="BL76" s="61">
        <v>239.82</v>
      </c>
      <c r="CH76" s="95">
        <v>328</v>
      </c>
      <c r="CI76" s="99">
        <v>932.25354000000004</v>
      </c>
      <c r="CJ76" s="53">
        <v>328</v>
      </c>
      <c r="CK76" s="61">
        <v>902.48900000000003</v>
      </c>
      <c r="CL76" s="53">
        <v>328</v>
      </c>
      <c r="CM76" s="61">
        <v>902.48900000000003</v>
      </c>
      <c r="CN76" s="53">
        <v>328</v>
      </c>
      <c r="CO76" s="61">
        <v>885.1463</v>
      </c>
    </row>
    <row r="77" spans="41:93">
      <c r="AO77" s="53">
        <v>334</v>
      </c>
      <c r="AP77" s="54">
        <v>2.9940100000000001E-3</v>
      </c>
      <c r="AQ77" s="61">
        <v>288.53955000000002</v>
      </c>
      <c r="AR77" s="53">
        <v>341</v>
      </c>
      <c r="AS77" s="54">
        <v>2.9325509999999998E-3</v>
      </c>
      <c r="AT77" s="61">
        <v>289.65710000000001</v>
      </c>
      <c r="AU77" s="53">
        <v>349</v>
      </c>
      <c r="AV77" s="54">
        <v>2.8653300000000001E-3</v>
      </c>
      <c r="AW77" s="61">
        <v>276.89319999999998</v>
      </c>
      <c r="AX77" s="95">
        <v>358</v>
      </c>
      <c r="AY77" s="54">
        <f t="shared" si="1"/>
        <v>2.7932960893854749E-3</v>
      </c>
      <c r="AZ77" s="99">
        <v>268.25959999999998</v>
      </c>
      <c r="BA77" s="95">
        <v>367</v>
      </c>
      <c r="BB77" s="97">
        <v>2.7247956403269754E-3</v>
      </c>
      <c r="BC77" s="108">
        <v>255.13229999999999</v>
      </c>
      <c r="BD77" s="53">
        <v>349</v>
      </c>
      <c r="BE77" s="54">
        <v>2.8649999999999999E-3</v>
      </c>
      <c r="BF77" s="15">
        <v>470.96</v>
      </c>
      <c r="BG77" s="53">
        <v>367</v>
      </c>
      <c r="BH77" s="54">
        <v>2.725E-3</v>
      </c>
      <c r="BI77" s="61">
        <v>255.13</v>
      </c>
      <c r="BJ77" s="53">
        <v>367</v>
      </c>
      <c r="BK77" s="54">
        <v>2.725E-3</v>
      </c>
      <c r="BL77" s="61">
        <v>255.13</v>
      </c>
      <c r="CH77" s="95">
        <v>329</v>
      </c>
      <c r="CI77" s="99">
        <v>931.18510000000003</v>
      </c>
      <c r="CJ77" s="53">
        <v>329</v>
      </c>
      <c r="CK77" s="61">
        <v>901.43993999999998</v>
      </c>
      <c r="CL77" s="53">
        <v>329</v>
      </c>
      <c r="CM77" s="61">
        <v>901.43993999999998</v>
      </c>
      <c r="CN77" s="53">
        <v>329</v>
      </c>
      <c r="CO77" s="61">
        <v>884.12639999999999</v>
      </c>
    </row>
    <row r="78" spans="41:93">
      <c r="AO78" s="53">
        <v>335</v>
      </c>
      <c r="AP78" s="54">
        <v>2.9850699999999998E-3</v>
      </c>
      <c r="AQ78" s="61">
        <v>307.1028</v>
      </c>
      <c r="AR78" s="53">
        <v>342</v>
      </c>
      <c r="AS78" s="54">
        <v>2.9239769999999999E-3</v>
      </c>
      <c r="AT78" s="61">
        <v>308.24290000000002</v>
      </c>
      <c r="AU78" s="53">
        <v>350</v>
      </c>
      <c r="AV78" s="54">
        <v>2.8571400000000002E-3</v>
      </c>
      <c r="AW78" s="61">
        <v>294.62950000000001</v>
      </c>
      <c r="AX78" s="95">
        <v>359</v>
      </c>
      <c r="AY78" s="54">
        <f t="shared" si="1"/>
        <v>2.7855153203342618E-3</v>
      </c>
      <c r="AZ78" s="99">
        <v>285.35140000000001</v>
      </c>
      <c r="BA78" s="95">
        <v>368</v>
      </c>
      <c r="BB78" s="97">
        <v>2.717391304347826E-3</v>
      </c>
      <c r="BC78" s="108">
        <v>271.31664999999998</v>
      </c>
      <c r="BD78" s="53">
        <v>350</v>
      </c>
      <c r="BE78" s="54">
        <v>2.8570000000000002E-3</v>
      </c>
      <c r="BF78" s="15">
        <v>499.57</v>
      </c>
      <c r="BG78" s="53">
        <v>368</v>
      </c>
      <c r="BH78" s="54">
        <v>2.7169999999999998E-3</v>
      </c>
      <c r="BI78" s="61">
        <v>271.32</v>
      </c>
      <c r="BJ78" s="53">
        <v>368</v>
      </c>
      <c r="BK78" s="54">
        <v>2.7169999999999998E-3</v>
      </c>
      <c r="BL78" s="61">
        <v>271.32</v>
      </c>
      <c r="CH78" s="95">
        <v>330</v>
      </c>
      <c r="CI78" s="99">
        <v>930.11620000000005</v>
      </c>
      <c r="CJ78" s="53">
        <v>330</v>
      </c>
      <c r="CK78" s="61">
        <v>900.39044000000001</v>
      </c>
      <c r="CL78" s="53">
        <v>330</v>
      </c>
      <c r="CM78" s="61">
        <v>900.39044000000001</v>
      </c>
      <c r="CN78" s="53">
        <v>330</v>
      </c>
      <c r="CO78" s="61">
        <v>883.10613999999998</v>
      </c>
    </row>
    <row r="79" spans="41:93">
      <c r="AO79" s="53">
        <v>336</v>
      </c>
      <c r="AP79" s="54">
        <v>2.9761900000000001E-3</v>
      </c>
      <c r="AQ79" s="61">
        <v>326.72289999999998</v>
      </c>
      <c r="AR79" s="53">
        <v>343</v>
      </c>
      <c r="AS79" s="54">
        <v>2.9154519999999998E-3</v>
      </c>
      <c r="AT79" s="61">
        <v>327.88470000000001</v>
      </c>
      <c r="AU79" s="53">
        <v>351</v>
      </c>
      <c r="AV79" s="54">
        <v>2.849E-3</v>
      </c>
      <c r="AW79" s="61">
        <v>313.37290000000002</v>
      </c>
      <c r="AX79" s="95">
        <v>360</v>
      </c>
      <c r="AY79" s="54">
        <f t="shared" si="1"/>
        <v>2.7777777777777779E-3</v>
      </c>
      <c r="AZ79" s="99">
        <v>303.40944999999999</v>
      </c>
      <c r="BA79" s="95">
        <v>369</v>
      </c>
      <c r="BB79" s="97">
        <v>2.7100271002710027E-3</v>
      </c>
      <c r="BC79" s="108">
        <v>288.41262999999998</v>
      </c>
      <c r="BD79" s="53">
        <v>351</v>
      </c>
      <c r="BE79" s="54">
        <v>2.849E-3</v>
      </c>
      <c r="BF79" s="15">
        <v>529.71</v>
      </c>
      <c r="BG79" s="53">
        <v>369</v>
      </c>
      <c r="BH79" s="54">
        <v>2.7100000000000002E-3</v>
      </c>
      <c r="BI79" s="61">
        <v>288.41000000000003</v>
      </c>
      <c r="BJ79" s="53">
        <v>369</v>
      </c>
      <c r="BK79" s="54">
        <v>2.7100000000000002E-3</v>
      </c>
      <c r="BL79" s="61">
        <v>288.41000000000003</v>
      </c>
      <c r="CH79" s="95">
        <v>331</v>
      </c>
      <c r="CI79" s="99">
        <v>929.04679999999996</v>
      </c>
      <c r="CJ79" s="53">
        <v>331</v>
      </c>
      <c r="CK79" s="61">
        <v>899.34050000000002</v>
      </c>
      <c r="CL79" s="53">
        <v>331</v>
      </c>
      <c r="CM79" s="61">
        <v>899.34050000000002</v>
      </c>
      <c r="CN79" s="53">
        <v>331</v>
      </c>
      <c r="CO79" s="61">
        <v>882.08550000000002</v>
      </c>
    </row>
    <row r="80" spans="41:93">
      <c r="AO80" s="53">
        <v>337</v>
      </c>
      <c r="AP80" s="54">
        <v>2.96736E-3</v>
      </c>
      <c r="AQ80" s="61">
        <v>347.45175</v>
      </c>
      <c r="AR80" s="53">
        <v>344</v>
      </c>
      <c r="AS80" s="54">
        <v>2.9069769999999998E-3</v>
      </c>
      <c r="AT80" s="61">
        <v>348.6343</v>
      </c>
      <c r="AU80" s="53">
        <v>352</v>
      </c>
      <c r="AV80" s="54">
        <v>2.8409099999999999E-3</v>
      </c>
      <c r="AW80" s="61">
        <v>333.1728</v>
      </c>
      <c r="AX80" s="95">
        <v>361</v>
      </c>
      <c r="AY80" s="54">
        <f t="shared" si="1"/>
        <v>2.7700831024930748E-3</v>
      </c>
      <c r="AZ80" s="99">
        <v>322.48104999999998</v>
      </c>
      <c r="BA80" s="95">
        <v>370</v>
      </c>
      <c r="BB80" s="97">
        <v>2.7027027027027029E-3</v>
      </c>
      <c r="BC80" s="108">
        <v>306.46532999999999</v>
      </c>
      <c r="BD80" s="53">
        <v>352</v>
      </c>
      <c r="BE80" s="54">
        <v>2.8410000000000002E-3</v>
      </c>
      <c r="BF80" s="15">
        <v>561.45000000000005</v>
      </c>
      <c r="BG80" s="53">
        <v>370</v>
      </c>
      <c r="BH80" s="54">
        <v>2.7030000000000001E-3</v>
      </c>
      <c r="BI80" s="61">
        <v>306.47000000000003</v>
      </c>
      <c r="BJ80" s="53">
        <v>370</v>
      </c>
      <c r="BK80" s="54">
        <v>2.7030000000000001E-3</v>
      </c>
      <c r="BL80" s="61">
        <v>306.47000000000003</v>
      </c>
      <c r="CH80" s="95">
        <v>332</v>
      </c>
      <c r="CI80" s="99">
        <v>927.97680000000003</v>
      </c>
      <c r="CJ80" s="53">
        <v>332</v>
      </c>
      <c r="CK80" s="61">
        <v>898.29010000000005</v>
      </c>
      <c r="CL80" s="53">
        <v>332</v>
      </c>
      <c r="CM80" s="61">
        <v>898.29010000000005</v>
      </c>
      <c r="CN80" s="53">
        <v>332</v>
      </c>
      <c r="CO80" s="61">
        <v>881.06449999999995</v>
      </c>
    </row>
    <row r="81" spans="41:93">
      <c r="AO81" s="53">
        <v>338</v>
      </c>
      <c r="AP81" s="54">
        <v>2.9585800000000002E-3</v>
      </c>
      <c r="AQ81" s="61">
        <v>369.34332000000001</v>
      </c>
      <c r="AR81" s="53">
        <v>345</v>
      </c>
      <c r="AS81" s="54">
        <v>2.8985510000000001E-3</v>
      </c>
      <c r="AT81" s="61">
        <v>370.5455</v>
      </c>
      <c r="AU81" s="53">
        <v>353</v>
      </c>
      <c r="AV81" s="54">
        <v>2.83286E-3</v>
      </c>
      <c r="AW81" s="61">
        <v>354.08069999999998</v>
      </c>
      <c r="AX81" s="95">
        <v>362</v>
      </c>
      <c r="AY81" s="54">
        <f t="shared" si="1"/>
        <v>2.7624309392265192E-3</v>
      </c>
      <c r="AZ81" s="99">
        <v>342.61529999999999</v>
      </c>
      <c r="BA81" s="95">
        <v>371</v>
      </c>
      <c r="BB81" s="97">
        <v>2.6954177897574125E-3</v>
      </c>
      <c r="BC81" s="108">
        <v>325.52069999999998</v>
      </c>
      <c r="BD81" s="53">
        <v>353</v>
      </c>
      <c r="BE81" s="54">
        <v>2.833E-3</v>
      </c>
      <c r="BF81" s="15">
        <v>594.87</v>
      </c>
      <c r="BG81" s="53">
        <v>371</v>
      </c>
      <c r="BH81" s="54">
        <v>2.6949999999999999E-3</v>
      </c>
      <c r="BI81" s="61">
        <v>325.52</v>
      </c>
      <c r="BJ81" s="53">
        <v>371</v>
      </c>
      <c r="BK81" s="54">
        <v>2.6949999999999999E-3</v>
      </c>
      <c r="BL81" s="61">
        <v>325.52</v>
      </c>
      <c r="CH81" s="95">
        <v>333</v>
      </c>
      <c r="CI81" s="99">
        <v>926.90625</v>
      </c>
      <c r="CJ81" s="53">
        <v>333</v>
      </c>
      <c r="CK81" s="61">
        <v>897.23925999999994</v>
      </c>
      <c r="CL81" s="53">
        <v>333</v>
      </c>
      <c r="CM81" s="61">
        <v>897.23925999999994</v>
      </c>
      <c r="CN81" s="53">
        <v>333</v>
      </c>
      <c r="CO81" s="61">
        <v>880.04314999999997</v>
      </c>
    </row>
    <row r="82" spans="41:93">
      <c r="AO82" s="53">
        <v>339</v>
      </c>
      <c r="AP82" s="54">
        <v>2.94985E-3</v>
      </c>
      <c r="AQ82" s="61">
        <v>392.45382999999998</v>
      </c>
      <c r="AR82" s="53">
        <v>346</v>
      </c>
      <c r="AS82" s="54">
        <v>2.8901729999999998E-3</v>
      </c>
      <c r="AT82" s="61">
        <v>393.67450000000002</v>
      </c>
      <c r="AU82" s="53">
        <v>354</v>
      </c>
      <c r="AV82" s="54">
        <v>2.8248599999999998E-3</v>
      </c>
      <c r="AW82" s="61">
        <v>376.1499</v>
      </c>
      <c r="AX82" s="95">
        <v>363</v>
      </c>
      <c r="AY82" s="54">
        <f t="shared" si="1"/>
        <v>2.7548209366391185E-3</v>
      </c>
      <c r="AZ82" s="99">
        <v>363.86340000000001</v>
      </c>
      <c r="BA82" s="95">
        <v>372</v>
      </c>
      <c r="BB82" s="97">
        <v>2.6881720430107529E-3</v>
      </c>
      <c r="BC82" s="108">
        <v>345.62691999999998</v>
      </c>
      <c r="BD82" s="53">
        <v>354</v>
      </c>
      <c r="BE82" s="54">
        <v>2.8249999999999998E-3</v>
      </c>
      <c r="BF82" s="15">
        <v>630.04</v>
      </c>
      <c r="BG82" s="53">
        <v>372</v>
      </c>
      <c r="BH82" s="54">
        <v>2.6879999999999999E-3</v>
      </c>
      <c r="BI82" s="61">
        <v>345.63</v>
      </c>
      <c r="BJ82" s="53">
        <v>372</v>
      </c>
      <c r="BK82" s="54">
        <v>2.6879999999999999E-3</v>
      </c>
      <c r="BL82" s="61">
        <v>345.63</v>
      </c>
      <c r="CH82" s="95">
        <v>334</v>
      </c>
      <c r="CI82" s="99">
        <v>925.83510000000001</v>
      </c>
      <c r="CJ82" s="53">
        <v>334</v>
      </c>
      <c r="CK82" s="61">
        <v>896.18786999999998</v>
      </c>
      <c r="CL82" s="53">
        <v>334</v>
      </c>
      <c r="CM82" s="61">
        <v>896.18786999999998</v>
      </c>
      <c r="CN82" s="53">
        <v>334</v>
      </c>
      <c r="CO82" s="61">
        <v>879.02135999999996</v>
      </c>
    </row>
    <row r="83" spans="41:93">
      <c r="AO83" s="53">
        <v>340</v>
      </c>
      <c r="AP83" s="54">
        <v>2.9411799999999998E-3</v>
      </c>
      <c r="AQ83" s="61">
        <v>416.84167000000002</v>
      </c>
      <c r="AR83" s="53">
        <v>347</v>
      </c>
      <c r="AS83" s="54">
        <v>2.8818440000000002E-3</v>
      </c>
      <c r="AT83" s="61">
        <v>418.07940000000002</v>
      </c>
      <c r="AU83" s="53">
        <v>355</v>
      </c>
      <c r="AV83" s="54">
        <v>2.8168999999999998E-3</v>
      </c>
      <c r="AW83" s="61">
        <v>399.43619999999999</v>
      </c>
      <c r="AX83" s="95">
        <v>364</v>
      </c>
      <c r="AY83" s="54">
        <f t="shared" si="1"/>
        <v>2.7472527472527475E-3</v>
      </c>
      <c r="AZ83" s="99">
        <v>386.27847000000003</v>
      </c>
      <c r="BA83" s="95">
        <v>373</v>
      </c>
      <c r="BB83" s="97">
        <v>2.6809651474530832E-3</v>
      </c>
      <c r="BC83" s="108">
        <v>366.83407999999997</v>
      </c>
      <c r="BD83" s="53">
        <v>355</v>
      </c>
      <c r="BE83" s="54">
        <v>2.8170000000000001E-3</v>
      </c>
      <c r="BF83" s="15">
        <v>667.04</v>
      </c>
      <c r="BG83" s="53">
        <v>373</v>
      </c>
      <c r="BH83" s="54">
        <v>2.6809999999999998E-3</v>
      </c>
      <c r="BI83" s="61">
        <v>366.83</v>
      </c>
      <c r="BJ83" s="53">
        <v>373</v>
      </c>
      <c r="BK83" s="54">
        <v>2.6809999999999998E-3</v>
      </c>
      <c r="BL83" s="61">
        <v>366.83</v>
      </c>
      <c r="CH83" s="95">
        <v>335</v>
      </c>
      <c r="CI83" s="99">
        <v>924.76337000000001</v>
      </c>
      <c r="CJ83" s="53">
        <v>335</v>
      </c>
      <c r="CK83" s="61">
        <v>895.13604999999995</v>
      </c>
      <c r="CL83" s="53">
        <v>335</v>
      </c>
      <c r="CM83" s="61">
        <v>895.13604999999995</v>
      </c>
      <c r="CN83" s="53">
        <v>335</v>
      </c>
      <c r="CO83" s="61">
        <v>877.99919999999997</v>
      </c>
    </row>
    <row r="84" spans="41:93">
      <c r="AO84" s="53">
        <v>341</v>
      </c>
      <c r="AP84" s="54">
        <v>2.9325499999999999E-3</v>
      </c>
      <c r="AQ84" s="61">
        <v>442.56760000000003</v>
      </c>
      <c r="AR84" s="53">
        <v>348</v>
      </c>
      <c r="AS84" s="54">
        <v>2.873563E-3</v>
      </c>
      <c r="AT84" s="61">
        <v>443.82080000000002</v>
      </c>
      <c r="AU84" s="53">
        <v>356</v>
      </c>
      <c r="AV84" s="54">
        <v>2.8089899999999999E-3</v>
      </c>
      <c r="AW84" s="61">
        <v>423.9973</v>
      </c>
      <c r="AX84" s="95">
        <v>365</v>
      </c>
      <c r="AY84" s="54">
        <f t="shared" si="1"/>
        <v>2.7397260273972603E-3</v>
      </c>
      <c r="AZ84" s="99">
        <v>409.91583000000003</v>
      </c>
      <c r="BA84" s="95">
        <v>374</v>
      </c>
      <c r="BB84" s="97">
        <v>2.6737967914438501E-3</v>
      </c>
      <c r="BC84" s="108">
        <v>389.19418000000002</v>
      </c>
      <c r="BD84" s="53">
        <v>356</v>
      </c>
      <c r="BE84" s="54">
        <v>2.8089999999999999E-3</v>
      </c>
      <c r="BF84" s="15">
        <v>705.95</v>
      </c>
      <c r="BG84" s="53">
        <v>374</v>
      </c>
      <c r="BH84" s="54">
        <v>2.6740000000000002E-3</v>
      </c>
      <c r="BI84" s="61">
        <v>389.19</v>
      </c>
      <c r="BJ84" s="53">
        <v>374</v>
      </c>
      <c r="BK84" s="54">
        <v>2.6740000000000002E-3</v>
      </c>
      <c r="BL84" s="61">
        <v>389.19</v>
      </c>
      <c r="CH84" s="95">
        <v>336</v>
      </c>
      <c r="CI84" s="99">
        <v>923.69110000000001</v>
      </c>
      <c r="CJ84" s="53">
        <v>336</v>
      </c>
      <c r="CK84" s="61">
        <v>894.08370000000002</v>
      </c>
      <c r="CL84" s="53">
        <v>336</v>
      </c>
      <c r="CM84" s="61">
        <v>894.08370000000002</v>
      </c>
      <c r="CN84" s="53">
        <v>336</v>
      </c>
      <c r="CO84" s="61">
        <v>876.97659999999996</v>
      </c>
    </row>
    <row r="85" spans="41:93">
      <c r="AO85" s="53">
        <v>342</v>
      </c>
      <c r="AP85" s="54">
        <v>2.9239800000000001E-3</v>
      </c>
      <c r="AQ85" s="61">
        <v>469.69470000000001</v>
      </c>
      <c r="AR85" s="53">
        <v>349</v>
      </c>
      <c r="AS85" s="54">
        <v>2.8653300000000001E-3</v>
      </c>
      <c r="AT85" s="61">
        <v>470.96179999999998</v>
      </c>
      <c r="AU85" s="53">
        <v>357</v>
      </c>
      <c r="AV85" s="54">
        <v>2.8011199999999998E-3</v>
      </c>
      <c r="AW85" s="61">
        <v>449.89339999999999</v>
      </c>
      <c r="AX85" s="95">
        <v>366</v>
      </c>
      <c r="AY85" s="54">
        <f t="shared" si="1"/>
        <v>2.7322404371584699E-3</v>
      </c>
      <c r="AZ85" s="99">
        <v>434.8329</v>
      </c>
      <c r="BA85" s="95">
        <v>375</v>
      </c>
      <c r="BB85" s="97">
        <v>2.6666666666666666E-3</v>
      </c>
      <c r="BC85" s="108">
        <v>412.76130000000001</v>
      </c>
      <c r="BD85" s="53">
        <v>357</v>
      </c>
      <c r="BE85" s="54">
        <v>2.8010000000000001E-3</v>
      </c>
      <c r="BF85" s="15">
        <v>746.86</v>
      </c>
      <c r="BG85" s="53">
        <v>375</v>
      </c>
      <c r="BH85" s="54">
        <v>2.6670000000000001E-3</v>
      </c>
      <c r="BI85" s="61">
        <v>412.76</v>
      </c>
      <c r="BJ85" s="53">
        <v>375</v>
      </c>
      <c r="BK85" s="54">
        <v>2.6670000000000001E-3</v>
      </c>
      <c r="BL85" s="61">
        <v>412.76</v>
      </c>
      <c r="CH85" s="95">
        <v>337</v>
      </c>
      <c r="CI85" s="99">
        <v>922.61815999999999</v>
      </c>
      <c r="CJ85" s="53">
        <v>337</v>
      </c>
      <c r="CK85" s="61">
        <v>893.0308</v>
      </c>
      <c r="CL85" s="53">
        <v>337</v>
      </c>
      <c r="CM85" s="61">
        <v>893.0308</v>
      </c>
      <c r="CN85" s="53">
        <v>337</v>
      </c>
      <c r="CO85" s="61">
        <v>875.95360000000005</v>
      </c>
    </row>
    <row r="86" spans="41:93">
      <c r="AO86" s="53">
        <v>343</v>
      </c>
      <c r="AP86" s="54">
        <v>2.91545E-3</v>
      </c>
      <c r="AQ86" s="61">
        <v>498.2885</v>
      </c>
      <c r="AR86" s="53">
        <v>350</v>
      </c>
      <c r="AS86" s="54">
        <v>2.8571429999999999E-3</v>
      </c>
      <c r="AT86" s="61">
        <v>499.5677</v>
      </c>
      <c r="AU86" s="53">
        <v>358</v>
      </c>
      <c r="AV86" s="54">
        <v>2.7932999999999999E-3</v>
      </c>
      <c r="AW86" s="61">
        <v>477.18689999999998</v>
      </c>
      <c r="AX86" s="95">
        <v>367</v>
      </c>
      <c r="AY86" s="54">
        <f t="shared" si="1"/>
        <v>2.7247956403269754E-3</v>
      </c>
      <c r="AZ86" s="99">
        <v>461.08929999999998</v>
      </c>
      <c r="BA86" s="95">
        <v>376</v>
      </c>
      <c r="BB86" s="97">
        <v>2.6595744680851063E-3</v>
      </c>
      <c r="BC86" s="108">
        <v>437.59158000000002</v>
      </c>
      <c r="BD86" s="53">
        <v>358</v>
      </c>
      <c r="BE86" s="54">
        <v>2.7929999999999999E-3</v>
      </c>
      <c r="BF86" s="15">
        <v>789.86</v>
      </c>
      <c r="BG86" s="53">
        <v>376</v>
      </c>
      <c r="BH86" s="54">
        <v>2.66E-3</v>
      </c>
      <c r="BI86" s="61">
        <v>437.59</v>
      </c>
      <c r="BJ86" s="53">
        <v>376</v>
      </c>
      <c r="BK86" s="54">
        <v>2.66E-3</v>
      </c>
      <c r="BL86" s="61">
        <v>437.59</v>
      </c>
      <c r="CH86" s="95">
        <v>338</v>
      </c>
      <c r="CI86" s="99">
        <v>921.54470000000003</v>
      </c>
      <c r="CJ86" s="53">
        <v>338</v>
      </c>
      <c r="CK86" s="61">
        <v>891.97749999999996</v>
      </c>
      <c r="CL86" s="53">
        <v>338</v>
      </c>
      <c r="CM86" s="61">
        <v>891.97749999999996</v>
      </c>
      <c r="CN86" s="53">
        <v>338</v>
      </c>
      <c r="CO86" s="61">
        <v>874.93020000000001</v>
      </c>
    </row>
    <row r="87" spans="41:93">
      <c r="AO87" s="53">
        <v>344</v>
      </c>
      <c r="AP87" s="54">
        <v>2.90698E-3</v>
      </c>
      <c r="AQ87" s="61">
        <v>528.4171</v>
      </c>
      <c r="AR87" s="53">
        <v>351</v>
      </c>
      <c r="AS87" s="54">
        <v>2.8490030000000001E-3</v>
      </c>
      <c r="AT87" s="61">
        <v>529.70640000000003</v>
      </c>
      <c r="AU87" s="53">
        <v>359</v>
      </c>
      <c r="AV87" s="54">
        <v>2.7855200000000001E-3</v>
      </c>
      <c r="AW87" s="61">
        <v>505.94260000000003</v>
      </c>
      <c r="AX87" s="95">
        <v>368</v>
      </c>
      <c r="AY87" s="54">
        <f t="shared" si="1"/>
        <v>2.717391304347826E-3</v>
      </c>
      <c r="AZ87" s="99">
        <v>488.74704000000003</v>
      </c>
      <c r="BA87" s="95">
        <v>377</v>
      </c>
      <c r="BB87" s="97">
        <v>2.6525198938992041E-3</v>
      </c>
      <c r="BC87" s="108">
        <v>463.74338</v>
      </c>
      <c r="BD87" s="53">
        <v>359</v>
      </c>
      <c r="BE87" s="54">
        <v>2.7859999999999998E-3</v>
      </c>
      <c r="BF87" s="15">
        <v>835.03</v>
      </c>
      <c r="BG87" s="53">
        <v>377</v>
      </c>
      <c r="BH87" s="54">
        <v>2.653E-3</v>
      </c>
      <c r="BI87" s="61">
        <v>463.74</v>
      </c>
      <c r="BJ87" s="53">
        <v>377</v>
      </c>
      <c r="BK87" s="54">
        <v>2.653E-3</v>
      </c>
      <c r="BL87" s="61">
        <v>463.74</v>
      </c>
      <c r="CH87" s="95">
        <v>339</v>
      </c>
      <c r="CI87" s="99">
        <v>920.47059999999999</v>
      </c>
      <c r="CJ87" s="53">
        <v>339</v>
      </c>
      <c r="CK87" s="61">
        <v>890.92349999999999</v>
      </c>
      <c r="CL87" s="53">
        <v>339</v>
      </c>
      <c r="CM87" s="61">
        <v>890.92349999999999</v>
      </c>
      <c r="CN87" s="53">
        <v>339</v>
      </c>
      <c r="CO87" s="61">
        <v>873.90625</v>
      </c>
    </row>
    <row r="88" spans="41:93">
      <c r="AO88" s="53">
        <v>345</v>
      </c>
      <c r="AP88" s="54">
        <v>2.8985500000000002E-3</v>
      </c>
      <c r="AQ88" s="61">
        <v>560.15125</v>
      </c>
      <c r="AR88" s="53">
        <v>352</v>
      </c>
      <c r="AS88" s="54">
        <v>2.840909E-3</v>
      </c>
      <c r="AT88" s="61">
        <v>561.44820000000004</v>
      </c>
      <c r="AU88" s="53">
        <v>360</v>
      </c>
      <c r="AV88" s="54">
        <v>2.7777800000000001E-3</v>
      </c>
      <c r="AW88" s="61">
        <v>536.22770000000003</v>
      </c>
      <c r="AX88" s="95">
        <v>369</v>
      </c>
      <c r="AY88" s="54">
        <f t="shared" si="1"/>
        <v>2.7100271002710027E-3</v>
      </c>
      <c r="AZ88" s="99">
        <v>517.87036000000001</v>
      </c>
      <c r="BA88" s="95">
        <v>378</v>
      </c>
      <c r="BB88" s="97">
        <v>2.6455026455026454E-3</v>
      </c>
      <c r="BC88" s="108">
        <v>491.27715999999998</v>
      </c>
      <c r="BD88" s="53">
        <v>360</v>
      </c>
      <c r="BE88" s="54">
        <v>2.7780000000000001E-3</v>
      </c>
      <c r="BF88" s="15">
        <v>882.47</v>
      </c>
      <c r="BG88" s="53">
        <v>378</v>
      </c>
      <c r="BH88" s="54">
        <v>2.6459999999999999E-3</v>
      </c>
      <c r="BI88" s="61">
        <v>491.28</v>
      </c>
      <c r="BJ88" s="53">
        <v>378</v>
      </c>
      <c r="BK88" s="54">
        <v>2.6459999999999999E-3</v>
      </c>
      <c r="BL88" s="61">
        <v>491.28</v>
      </c>
      <c r="CH88" s="95">
        <v>340</v>
      </c>
      <c r="CI88" s="99">
        <v>919.39580000000001</v>
      </c>
      <c r="CJ88" s="53">
        <v>340</v>
      </c>
      <c r="CK88" s="61">
        <v>889.8691</v>
      </c>
      <c r="CL88" s="53">
        <v>340</v>
      </c>
      <c r="CM88" s="61">
        <v>889.8691</v>
      </c>
      <c r="CN88" s="53">
        <v>340</v>
      </c>
      <c r="CO88" s="61">
        <v>872.88196000000005</v>
      </c>
    </row>
    <row r="89" spans="41:93">
      <c r="AO89" s="53">
        <v>346</v>
      </c>
      <c r="AP89" s="54">
        <v>2.8901700000000001E-3</v>
      </c>
      <c r="AQ89" s="61">
        <v>593.56420000000003</v>
      </c>
      <c r="AR89" s="53">
        <v>353</v>
      </c>
      <c r="AS89" s="54">
        <v>2.8328609999999999E-3</v>
      </c>
      <c r="AT89" s="61">
        <v>594.86659999999995</v>
      </c>
      <c r="AU89" s="53">
        <v>361</v>
      </c>
      <c r="AV89" s="54">
        <v>2.7700799999999999E-3</v>
      </c>
      <c r="AW89" s="61">
        <v>568.11220000000003</v>
      </c>
      <c r="AX89" s="95">
        <v>370</v>
      </c>
      <c r="AY89" s="54">
        <f t="shared" si="1"/>
        <v>2.7027027027027029E-3</v>
      </c>
      <c r="AZ89" s="99">
        <v>548.52599999999995</v>
      </c>
      <c r="BA89" s="95">
        <v>379</v>
      </c>
      <c r="BB89" s="97">
        <v>2.6385224274406332E-3</v>
      </c>
      <c r="BC89" s="108">
        <v>520.25580000000002</v>
      </c>
      <c r="BD89" s="53">
        <v>361</v>
      </c>
      <c r="BE89" s="54">
        <v>2.7699999999999999E-3</v>
      </c>
      <c r="BF89" s="15">
        <v>932.28</v>
      </c>
      <c r="BG89" s="53">
        <v>379</v>
      </c>
      <c r="BH89" s="54">
        <v>2.6389999999999999E-3</v>
      </c>
      <c r="BI89" s="61">
        <v>520.26</v>
      </c>
      <c r="BJ89" s="53">
        <v>379</v>
      </c>
      <c r="BK89" s="54">
        <v>2.6389999999999999E-3</v>
      </c>
      <c r="BL89" s="61">
        <v>520.26</v>
      </c>
      <c r="CH89" s="95">
        <v>341</v>
      </c>
      <c r="CI89" s="99">
        <v>918.32042999999999</v>
      </c>
      <c r="CJ89" s="53">
        <v>341</v>
      </c>
      <c r="CK89" s="61">
        <v>888.81410000000005</v>
      </c>
      <c r="CL89" s="53">
        <v>341</v>
      </c>
      <c r="CM89" s="61">
        <v>888.81410000000005</v>
      </c>
      <c r="CN89" s="53">
        <v>341</v>
      </c>
      <c r="CO89" s="61">
        <v>871.85709999999995</v>
      </c>
    </row>
    <row r="90" spans="41:93">
      <c r="AO90" s="53">
        <v>347</v>
      </c>
      <c r="AP90" s="54">
        <v>2.8818400000000001E-3</v>
      </c>
      <c r="AQ90" s="61">
        <v>628.73199999999997</v>
      </c>
      <c r="AR90" s="53">
        <v>354</v>
      </c>
      <c r="AS90" s="54">
        <v>2.8248589999999999E-3</v>
      </c>
      <c r="AT90" s="61">
        <v>630.03719999999998</v>
      </c>
      <c r="AU90" s="53">
        <v>362</v>
      </c>
      <c r="AV90" s="54">
        <v>2.7624300000000002E-3</v>
      </c>
      <c r="AW90" s="61">
        <v>601.66840000000002</v>
      </c>
      <c r="AX90" s="95">
        <v>371</v>
      </c>
      <c r="AY90" s="54">
        <f t="shared" si="1"/>
        <v>2.6954177897574125E-3</v>
      </c>
      <c r="AZ90" s="99">
        <v>580.78319999999997</v>
      </c>
      <c r="BA90" s="95">
        <v>380</v>
      </c>
      <c r="BB90" s="97">
        <v>2.631578947368421E-3</v>
      </c>
      <c r="BC90" s="108">
        <v>550.74429999999995</v>
      </c>
      <c r="BD90" s="53">
        <v>362</v>
      </c>
      <c r="BE90" s="54">
        <v>2.7620000000000001E-3</v>
      </c>
      <c r="BF90" s="15">
        <v>984.55</v>
      </c>
      <c r="BG90" s="53">
        <v>380</v>
      </c>
      <c r="BH90" s="54">
        <v>2.6319999999999998E-3</v>
      </c>
      <c r="BI90" s="61">
        <v>550.74</v>
      </c>
      <c r="BJ90" s="53">
        <v>380</v>
      </c>
      <c r="BK90" s="54">
        <v>2.6319999999999998E-3</v>
      </c>
      <c r="BL90" s="61">
        <v>550.74</v>
      </c>
      <c r="CH90" s="95">
        <v>342</v>
      </c>
      <c r="CI90" s="99">
        <v>917.24440000000004</v>
      </c>
      <c r="CJ90" s="53">
        <v>342</v>
      </c>
      <c r="CK90" s="61">
        <v>887.75854000000004</v>
      </c>
      <c r="CL90" s="53">
        <v>342</v>
      </c>
      <c r="CM90" s="61">
        <v>887.75854000000004</v>
      </c>
      <c r="CN90" s="53">
        <v>342</v>
      </c>
      <c r="CO90" s="61">
        <v>870.83185000000003</v>
      </c>
    </row>
    <row r="91" spans="41:93">
      <c r="AO91" s="53">
        <v>348</v>
      </c>
      <c r="AP91" s="54">
        <v>2.8735599999999998E-3</v>
      </c>
      <c r="AQ91" s="61">
        <v>665.73364000000004</v>
      </c>
      <c r="AR91" s="53">
        <v>355</v>
      </c>
      <c r="AS91" s="54">
        <v>2.8169010000000001E-3</v>
      </c>
      <c r="AT91" s="61">
        <v>667.03880000000004</v>
      </c>
      <c r="AU91" s="53">
        <v>363</v>
      </c>
      <c r="AV91" s="54">
        <v>2.7548199999999998E-3</v>
      </c>
      <c r="AW91" s="61">
        <v>636.97149999999999</v>
      </c>
      <c r="AX91" s="95">
        <v>372</v>
      </c>
      <c r="AY91" s="54">
        <f t="shared" si="1"/>
        <v>2.6881720430107529E-3</v>
      </c>
      <c r="AZ91" s="99">
        <v>614.71370000000002</v>
      </c>
      <c r="BA91" s="95">
        <v>381</v>
      </c>
      <c r="BB91" s="97">
        <v>2.6246719160104987E-3</v>
      </c>
      <c r="BC91" s="108">
        <v>582.81039999999996</v>
      </c>
      <c r="BD91" s="53">
        <v>363</v>
      </c>
      <c r="BE91" s="54">
        <v>2.7550000000000001E-3</v>
      </c>
      <c r="BF91" s="15">
        <v>1039.4000000000001</v>
      </c>
      <c r="BG91" s="53">
        <v>381</v>
      </c>
      <c r="BH91" s="54">
        <v>2.6250000000000002E-3</v>
      </c>
      <c r="BI91" s="61">
        <v>582.80999999999995</v>
      </c>
      <c r="BJ91" s="53">
        <v>381</v>
      </c>
      <c r="BK91" s="54">
        <v>2.6250000000000002E-3</v>
      </c>
      <c r="BL91" s="61">
        <v>582.80999999999995</v>
      </c>
      <c r="CH91" s="95">
        <v>343</v>
      </c>
      <c r="CI91" s="99">
        <v>916.16765999999996</v>
      </c>
      <c r="CJ91" s="53">
        <v>343</v>
      </c>
      <c r="CK91" s="61">
        <v>886.70240000000001</v>
      </c>
      <c r="CL91" s="53">
        <v>343</v>
      </c>
      <c r="CM91" s="61">
        <v>886.70240000000001</v>
      </c>
      <c r="CN91" s="53">
        <v>343</v>
      </c>
      <c r="CO91" s="61">
        <v>869.80610000000001</v>
      </c>
    </row>
    <row r="92" spans="41:93">
      <c r="AO92" s="53">
        <v>349</v>
      </c>
      <c r="AP92" s="54">
        <v>2.8653300000000001E-3</v>
      </c>
      <c r="AQ92" s="61">
        <v>704.6508</v>
      </c>
      <c r="AR92" s="53">
        <v>356</v>
      </c>
      <c r="AS92" s="54">
        <v>2.808989E-3</v>
      </c>
      <c r="AT92" s="61">
        <v>705.9529</v>
      </c>
      <c r="AU92" s="53">
        <v>364</v>
      </c>
      <c r="AV92" s="54">
        <v>2.7472500000000001E-3</v>
      </c>
      <c r="AW92" s="61">
        <v>674.09939999999995</v>
      </c>
      <c r="AX92" s="95">
        <v>373</v>
      </c>
      <c r="AY92" s="54">
        <f t="shared" si="1"/>
        <v>2.6809651474530832E-3</v>
      </c>
      <c r="AZ92" s="99">
        <v>650.39184999999998</v>
      </c>
      <c r="BA92" s="95">
        <v>382</v>
      </c>
      <c r="BB92" s="97">
        <v>2.617801047120419E-3</v>
      </c>
      <c r="BC92" s="108">
        <v>616.524</v>
      </c>
      <c r="BD92" s="53">
        <v>364</v>
      </c>
      <c r="BE92" s="54">
        <v>2.7469999999999999E-3</v>
      </c>
      <c r="BF92" s="15">
        <v>1096.9000000000001</v>
      </c>
      <c r="BG92" s="53">
        <v>382</v>
      </c>
      <c r="BH92" s="54">
        <v>2.6180000000000001E-3</v>
      </c>
      <c r="BI92" s="61">
        <v>616.52</v>
      </c>
      <c r="BJ92" s="53">
        <v>382</v>
      </c>
      <c r="BK92" s="54">
        <v>2.6180000000000001E-3</v>
      </c>
      <c r="BL92" s="61">
        <v>616.52</v>
      </c>
      <c r="CH92" s="95">
        <v>344</v>
      </c>
      <c r="CI92" s="99">
        <v>915.09029999999996</v>
      </c>
      <c r="CJ92" s="53">
        <v>344</v>
      </c>
      <c r="CK92" s="61">
        <v>885.64570000000003</v>
      </c>
      <c r="CL92" s="53">
        <v>344</v>
      </c>
      <c r="CM92" s="61">
        <v>885.64570000000003</v>
      </c>
      <c r="CN92" s="53">
        <v>344</v>
      </c>
      <c r="CO92" s="61">
        <v>868.77980000000002</v>
      </c>
    </row>
    <row r="93" spans="41:93">
      <c r="AO93" s="53">
        <v>350</v>
      </c>
      <c r="AP93" s="54">
        <v>2.8571400000000002E-3</v>
      </c>
      <c r="AQ93" s="61">
        <v>745.5684</v>
      </c>
      <c r="AR93" s="53">
        <v>357</v>
      </c>
      <c r="AS93" s="54">
        <v>2.8011199999999998E-3</v>
      </c>
      <c r="AT93" s="61">
        <v>746.86400000000003</v>
      </c>
      <c r="AU93" s="53">
        <v>365</v>
      </c>
      <c r="AV93" s="54">
        <v>2.7397300000000001E-3</v>
      </c>
      <c r="AW93" s="61">
        <v>713.13279999999997</v>
      </c>
      <c r="AX93" s="95">
        <v>374</v>
      </c>
      <c r="AY93" s="54">
        <f t="shared" si="1"/>
        <v>2.6737967914438501E-3</v>
      </c>
      <c r="AZ93" s="99">
        <v>687.89484000000004</v>
      </c>
      <c r="BA93" s="95">
        <v>383</v>
      </c>
      <c r="BB93" s="97">
        <v>2.6109660574412533E-3</v>
      </c>
      <c r="BC93" s="108">
        <v>651.95763999999997</v>
      </c>
      <c r="BD93" s="53">
        <v>365</v>
      </c>
      <c r="BE93" s="54">
        <v>2.7399999999999998E-3</v>
      </c>
      <c r="BF93" s="15">
        <v>1157.2</v>
      </c>
      <c r="BG93" s="53">
        <v>383</v>
      </c>
      <c r="BH93" s="54">
        <v>2.611E-3</v>
      </c>
      <c r="BI93" s="61">
        <v>651.96</v>
      </c>
      <c r="BJ93" s="53">
        <v>383</v>
      </c>
      <c r="BK93" s="54">
        <v>2.611E-3</v>
      </c>
      <c r="BL93" s="61">
        <v>651.96</v>
      </c>
      <c r="CH93" s="95">
        <v>345</v>
      </c>
      <c r="CI93" s="99">
        <v>914.01226999999994</v>
      </c>
      <c r="CJ93" s="53">
        <v>345</v>
      </c>
      <c r="CK93" s="61">
        <v>884.58839999999998</v>
      </c>
      <c r="CL93" s="53">
        <v>345</v>
      </c>
      <c r="CM93" s="61">
        <v>884.58839999999998</v>
      </c>
      <c r="CN93" s="53">
        <v>345</v>
      </c>
      <c r="CO93" s="61">
        <v>867.75305000000003</v>
      </c>
    </row>
    <row r="94" spans="41:93">
      <c r="AO94" s="53">
        <v>351</v>
      </c>
      <c r="AP94" s="54">
        <v>2.849E-3</v>
      </c>
      <c r="AQ94" s="61">
        <v>788.57416000000001</v>
      </c>
      <c r="AR94" s="53">
        <v>358</v>
      </c>
      <c r="AS94" s="54">
        <v>2.7932959999999998E-3</v>
      </c>
      <c r="AT94" s="61">
        <v>789.85969999999998</v>
      </c>
      <c r="AU94" s="53">
        <v>366</v>
      </c>
      <c r="AV94" s="54">
        <v>2.7322399999999999E-3</v>
      </c>
      <c r="AW94" s="61">
        <v>754.15520000000004</v>
      </c>
      <c r="AX94" s="95">
        <v>375</v>
      </c>
      <c r="AY94" s="54">
        <f t="shared" si="1"/>
        <v>2.6666666666666666E-3</v>
      </c>
      <c r="AZ94" s="99">
        <v>727.30250000000001</v>
      </c>
      <c r="BA94" s="95">
        <v>384</v>
      </c>
      <c r="BB94" s="97">
        <v>2.6041666666666665E-3</v>
      </c>
      <c r="BC94" s="108">
        <v>689.18650000000002</v>
      </c>
      <c r="BD94" s="53">
        <v>366</v>
      </c>
      <c r="BE94" s="54">
        <v>2.7320000000000001E-3</v>
      </c>
      <c r="BF94" s="15">
        <v>1220.4000000000001</v>
      </c>
      <c r="BG94" s="53">
        <v>384</v>
      </c>
      <c r="BH94" s="54">
        <v>2.604E-3</v>
      </c>
      <c r="BI94" s="61">
        <v>689.19</v>
      </c>
      <c r="BJ94" s="53">
        <v>384</v>
      </c>
      <c r="BK94" s="54">
        <v>2.604E-3</v>
      </c>
      <c r="BL94" s="61">
        <v>689.19</v>
      </c>
      <c r="CH94" s="95">
        <v>346</v>
      </c>
      <c r="CI94" s="99">
        <v>912.93353000000002</v>
      </c>
      <c r="CJ94" s="53">
        <v>346</v>
      </c>
      <c r="CK94" s="61">
        <v>883.53049999999996</v>
      </c>
      <c r="CL94" s="53">
        <v>346</v>
      </c>
      <c r="CM94" s="61">
        <v>883.53049999999996</v>
      </c>
      <c r="CN94" s="53">
        <v>346</v>
      </c>
      <c r="CO94" s="61">
        <v>866.72577000000001</v>
      </c>
    </row>
    <row r="95" spans="41:93">
      <c r="AO95" s="53">
        <v>352</v>
      </c>
      <c r="AP95" s="54">
        <v>2.8409099999999999E-3</v>
      </c>
      <c r="AQ95" s="61">
        <v>833.75909999999999</v>
      </c>
      <c r="AR95" s="53">
        <v>359</v>
      </c>
      <c r="AS95" s="54">
        <v>2.7855150000000001E-3</v>
      </c>
      <c r="AT95" s="61">
        <v>835.0308</v>
      </c>
      <c r="AU95" s="53">
        <v>367</v>
      </c>
      <c r="AV95" s="54">
        <v>2.7247999999999999E-3</v>
      </c>
      <c r="AW95" s="61">
        <v>797.25350000000003</v>
      </c>
      <c r="AX95" s="95">
        <v>376</v>
      </c>
      <c r="AY95" s="54">
        <f t="shared" si="1"/>
        <v>2.6595744680851063E-3</v>
      </c>
      <c r="AZ95" s="99">
        <v>768.69749999999999</v>
      </c>
      <c r="BA95" s="95">
        <v>385</v>
      </c>
      <c r="BB95" s="97">
        <v>2.5974025974025974E-3</v>
      </c>
      <c r="BC95" s="108">
        <v>728.28845000000001</v>
      </c>
      <c r="BD95" s="53">
        <v>367</v>
      </c>
      <c r="BE95" s="54">
        <v>2.725E-3</v>
      </c>
      <c r="BF95" s="15">
        <v>1286.7</v>
      </c>
      <c r="BG95" s="53">
        <v>385</v>
      </c>
      <c r="BH95" s="54">
        <v>2.5969999999999999E-3</v>
      </c>
      <c r="BI95" s="61">
        <v>728.29</v>
      </c>
      <c r="BJ95" s="53">
        <v>385</v>
      </c>
      <c r="BK95" s="54">
        <v>2.5969999999999999E-3</v>
      </c>
      <c r="BL95" s="61">
        <v>728.29</v>
      </c>
      <c r="CH95" s="95">
        <v>347</v>
      </c>
      <c r="CI95" s="99">
        <v>911.85406</v>
      </c>
      <c r="CJ95" s="53">
        <v>347</v>
      </c>
      <c r="CK95" s="61">
        <v>882.47199999999998</v>
      </c>
      <c r="CL95" s="53">
        <v>347</v>
      </c>
      <c r="CM95" s="61">
        <v>882.47199999999998</v>
      </c>
      <c r="CN95" s="53">
        <v>347</v>
      </c>
      <c r="CO95" s="61">
        <v>865.69794000000002</v>
      </c>
    </row>
    <row r="96" spans="41:93">
      <c r="AO96" s="53">
        <v>353</v>
      </c>
      <c r="AP96" s="54">
        <v>2.83286E-3</v>
      </c>
      <c r="AQ96" s="61">
        <v>881.2174</v>
      </c>
      <c r="AR96" s="53">
        <v>360</v>
      </c>
      <c r="AS96" s="54">
        <v>2.7777779999999998E-3</v>
      </c>
      <c r="AT96" s="61">
        <v>882.471</v>
      </c>
      <c r="AU96" s="53">
        <v>368</v>
      </c>
      <c r="AV96" s="54">
        <v>2.7173900000000001E-3</v>
      </c>
      <c r="AW96" s="61">
        <v>842.5172</v>
      </c>
      <c r="AX96" s="95">
        <v>377</v>
      </c>
      <c r="AY96" s="54">
        <f t="shared" si="1"/>
        <v>2.6525198938992041E-3</v>
      </c>
      <c r="AZ96" s="99">
        <v>812.16549999999995</v>
      </c>
      <c r="BA96" s="95">
        <v>386</v>
      </c>
      <c r="BB96" s="97">
        <v>2.5906735751295338E-3</v>
      </c>
      <c r="BC96" s="108">
        <v>769.34406000000001</v>
      </c>
      <c r="BD96" s="53">
        <v>368</v>
      </c>
      <c r="BE96" s="54">
        <v>2.7169999999999998E-3</v>
      </c>
      <c r="BF96" s="15">
        <v>1356.1</v>
      </c>
      <c r="BG96" s="53">
        <v>386</v>
      </c>
      <c r="BH96" s="54">
        <v>2.591E-3</v>
      </c>
      <c r="BI96" s="61">
        <v>769.34</v>
      </c>
      <c r="BJ96" s="53">
        <v>386</v>
      </c>
      <c r="BK96" s="54">
        <v>2.591E-3</v>
      </c>
      <c r="BL96" s="61">
        <v>769.34</v>
      </c>
      <c r="CH96" s="95">
        <v>348</v>
      </c>
      <c r="CI96" s="99">
        <v>910.77390000000003</v>
      </c>
      <c r="CJ96" s="53">
        <v>348</v>
      </c>
      <c r="CK96" s="61">
        <v>881.41283999999996</v>
      </c>
      <c r="CL96" s="53">
        <v>348</v>
      </c>
      <c r="CM96" s="61">
        <v>881.41283999999996</v>
      </c>
      <c r="CN96" s="53">
        <v>348</v>
      </c>
      <c r="CO96" s="61">
        <v>864.66959999999995</v>
      </c>
    </row>
    <row r="97" spans="41:93">
      <c r="AO97" s="53">
        <v>354</v>
      </c>
      <c r="AP97" s="54">
        <v>2.8248599999999998E-3</v>
      </c>
      <c r="AQ97" s="61">
        <v>931.04660000000001</v>
      </c>
      <c r="AR97" s="53">
        <v>361</v>
      </c>
      <c r="AS97" s="54">
        <v>2.770083E-3</v>
      </c>
      <c r="AT97" s="61">
        <v>932.27750000000003</v>
      </c>
      <c r="AU97" s="53">
        <v>369</v>
      </c>
      <c r="AV97" s="54">
        <v>2.71003E-3</v>
      </c>
      <c r="AW97" s="61">
        <v>890.03909999999996</v>
      </c>
      <c r="AX97" s="95">
        <v>378</v>
      </c>
      <c r="AY97" s="54">
        <f t="shared" si="1"/>
        <v>2.6455026455026454E-3</v>
      </c>
      <c r="AZ97" s="99">
        <v>857.79516999999998</v>
      </c>
      <c r="BA97" s="95">
        <v>387</v>
      </c>
      <c r="BB97" s="97">
        <v>2.5839793281653748E-3</v>
      </c>
      <c r="BC97" s="108">
        <v>812.43664999999999</v>
      </c>
      <c r="BD97" s="53">
        <v>369</v>
      </c>
      <c r="BE97" s="54">
        <v>2.7100000000000002E-3</v>
      </c>
      <c r="BF97" s="15">
        <v>1428.7</v>
      </c>
      <c r="BG97" s="53">
        <v>387</v>
      </c>
      <c r="BH97" s="54">
        <v>2.5839999999999999E-3</v>
      </c>
      <c r="BI97" s="61">
        <v>812.44</v>
      </c>
      <c r="BJ97" s="53">
        <v>387</v>
      </c>
      <c r="BK97" s="54">
        <v>2.5839999999999999E-3</v>
      </c>
      <c r="BL97" s="61">
        <v>812.44</v>
      </c>
      <c r="CH97" s="95">
        <v>349</v>
      </c>
      <c r="CI97" s="99">
        <v>909.69304999999997</v>
      </c>
      <c r="CJ97" s="53">
        <v>349</v>
      </c>
      <c r="CK97" s="61">
        <v>880.35299999999995</v>
      </c>
      <c r="CL97" s="53">
        <v>349</v>
      </c>
      <c r="CM97" s="61">
        <v>880.35299999999995</v>
      </c>
      <c r="CN97" s="53">
        <v>349</v>
      </c>
      <c r="CO97" s="61">
        <v>863.64070000000004</v>
      </c>
    </row>
    <row r="98" spans="41:93">
      <c r="AO98" s="53">
        <v>355</v>
      </c>
      <c r="AP98" s="54">
        <v>2.8168999999999998E-3</v>
      </c>
      <c r="AQ98" s="61">
        <v>983.34739999999999</v>
      </c>
      <c r="AR98" s="53">
        <v>362</v>
      </c>
      <c r="AS98" s="54">
        <v>2.7624310000000001E-3</v>
      </c>
      <c r="AT98" s="61">
        <v>984.55100000000004</v>
      </c>
      <c r="AU98" s="53">
        <v>370</v>
      </c>
      <c r="AV98" s="54">
        <v>2.7027000000000002E-3</v>
      </c>
      <c r="AW98" s="61">
        <v>939.9153</v>
      </c>
      <c r="AX98" s="95">
        <v>379</v>
      </c>
      <c r="AY98" s="54">
        <f t="shared" si="1"/>
        <v>2.6385224274406332E-3</v>
      </c>
      <c r="AZ98" s="99">
        <v>905.67816000000005</v>
      </c>
      <c r="BA98" s="95">
        <v>388</v>
      </c>
      <c r="BB98" s="97">
        <v>2.5773195876288659E-3</v>
      </c>
      <c r="BC98" s="108">
        <v>857.65250000000003</v>
      </c>
      <c r="BD98" s="53">
        <v>370</v>
      </c>
      <c r="BE98" s="54">
        <v>2.7030000000000001E-3</v>
      </c>
      <c r="BF98" s="15">
        <v>1504.8</v>
      </c>
      <c r="BG98" s="53">
        <v>388</v>
      </c>
      <c r="BH98" s="54">
        <v>2.5769999999999999E-3</v>
      </c>
      <c r="BI98" s="61">
        <v>857.65</v>
      </c>
      <c r="BJ98" s="53">
        <v>388</v>
      </c>
      <c r="BK98" s="54">
        <v>2.5769999999999999E-3</v>
      </c>
      <c r="BL98" s="61">
        <v>857.65</v>
      </c>
      <c r="CH98" s="95">
        <v>350</v>
      </c>
      <c r="CI98" s="99">
        <v>908.61144999999999</v>
      </c>
      <c r="CJ98" s="53">
        <v>350</v>
      </c>
      <c r="CK98" s="61">
        <v>879.29259999999999</v>
      </c>
      <c r="CL98" s="53">
        <v>350</v>
      </c>
      <c r="CM98" s="61">
        <v>879.29259999999999</v>
      </c>
      <c r="CN98" s="53">
        <v>350</v>
      </c>
      <c r="CO98" s="61">
        <v>862.61126999999999</v>
      </c>
    </row>
    <row r="99" spans="41:93">
      <c r="AO99" s="53">
        <v>356</v>
      </c>
      <c r="AP99" s="54">
        <v>2.8089899999999999E-3</v>
      </c>
      <c r="AQ99" s="62">
        <v>1038.2244000000001</v>
      </c>
      <c r="AR99" s="53">
        <v>363</v>
      </c>
      <c r="AS99" s="54">
        <v>2.7548210000000002E-3</v>
      </c>
      <c r="AT99" s="62">
        <v>1039.395</v>
      </c>
      <c r="AU99" s="53">
        <v>371</v>
      </c>
      <c r="AV99" s="54">
        <v>2.69542E-3</v>
      </c>
      <c r="AW99" s="61">
        <v>992.24519999999995</v>
      </c>
      <c r="AX99" s="95">
        <v>380</v>
      </c>
      <c r="AY99" s="54">
        <f t="shared" si="1"/>
        <v>2.631578947368421E-3</v>
      </c>
      <c r="AZ99" s="99">
        <v>955.90840000000003</v>
      </c>
      <c r="BA99" s="95">
        <v>389</v>
      </c>
      <c r="BB99" s="97">
        <v>2.5706940874035988E-3</v>
      </c>
      <c r="BC99" s="108">
        <v>905.08092999999997</v>
      </c>
      <c r="BD99" s="53">
        <v>371</v>
      </c>
      <c r="BE99" s="54">
        <v>2.6949999999999999E-3</v>
      </c>
      <c r="BF99" s="15">
        <v>1584.4</v>
      </c>
      <c r="BG99" s="53">
        <v>389</v>
      </c>
      <c r="BH99" s="54">
        <v>2.5709999999999999E-3</v>
      </c>
      <c r="BI99" s="61">
        <v>905.08</v>
      </c>
      <c r="BJ99" s="53">
        <v>389</v>
      </c>
      <c r="BK99" s="54">
        <v>2.5709999999999999E-3</v>
      </c>
      <c r="BL99" s="61">
        <v>905.08</v>
      </c>
      <c r="CH99" s="95">
        <v>351</v>
      </c>
      <c r="CI99" s="99">
        <v>907.52909999999997</v>
      </c>
      <c r="CJ99" s="14">
        <v>351</v>
      </c>
      <c r="CK99" s="15">
        <v>878.23149999999998</v>
      </c>
      <c r="CL99" s="53">
        <v>351</v>
      </c>
      <c r="CM99" s="61">
        <v>878.23149999999998</v>
      </c>
      <c r="CN99" s="14">
        <v>351</v>
      </c>
      <c r="CO99" s="15">
        <v>861.58123999999998</v>
      </c>
    </row>
    <row r="100" spans="41:93">
      <c r="AO100" s="53">
        <v>357</v>
      </c>
      <c r="AP100" s="54">
        <v>2.8011199999999998E-3</v>
      </c>
      <c r="AQ100" s="62">
        <v>1095.7854</v>
      </c>
      <c r="AR100" s="53">
        <v>364</v>
      </c>
      <c r="AS100" s="54">
        <v>2.7472529999999998E-3</v>
      </c>
      <c r="AT100" s="62">
        <v>1096.9179999999999</v>
      </c>
      <c r="AU100" s="53">
        <v>372</v>
      </c>
      <c r="AV100" s="54">
        <v>2.6881700000000001E-3</v>
      </c>
      <c r="AW100" s="62">
        <v>1047.1320000000001</v>
      </c>
      <c r="AX100" s="95">
        <v>381</v>
      </c>
      <c r="AY100" s="54">
        <f t="shared" si="1"/>
        <v>2.6246719160104987E-3</v>
      </c>
      <c r="AZ100" s="100">
        <v>1008.58575</v>
      </c>
      <c r="BA100" s="95">
        <v>390</v>
      </c>
      <c r="BB100" s="97">
        <v>2.5641025641025641E-3</v>
      </c>
      <c r="BC100" s="108">
        <v>954.81415000000004</v>
      </c>
      <c r="BD100" s="53">
        <v>372</v>
      </c>
      <c r="BE100" s="54">
        <v>2.6879999999999999E-3</v>
      </c>
      <c r="BF100" s="15">
        <v>1667.7</v>
      </c>
      <c r="BG100" s="53">
        <v>390</v>
      </c>
      <c r="BH100" s="54">
        <v>2.5639999999999999E-3</v>
      </c>
      <c r="BI100" s="61">
        <v>954.81</v>
      </c>
      <c r="BJ100" s="53">
        <v>390</v>
      </c>
      <c r="BK100" s="54">
        <v>2.5639999999999999E-3</v>
      </c>
      <c r="BL100" s="61">
        <v>954.81</v>
      </c>
      <c r="CH100" s="95">
        <v>352</v>
      </c>
      <c r="CI100" s="99">
        <v>906.44600000000003</v>
      </c>
      <c r="CJ100" s="14">
        <v>352</v>
      </c>
      <c r="CK100" s="15">
        <v>877.16980000000001</v>
      </c>
      <c r="CL100" s="53">
        <v>352</v>
      </c>
      <c r="CM100" s="61">
        <v>877.16980000000001</v>
      </c>
      <c r="CN100" s="14">
        <v>352</v>
      </c>
      <c r="CO100" s="15">
        <v>860.55065999999999</v>
      </c>
    </row>
    <row r="101" spans="41:93">
      <c r="AO101" s="53">
        <v>358</v>
      </c>
      <c r="AP101" s="54">
        <v>2.7932999999999999E-3</v>
      </c>
      <c r="AQ101" s="62">
        <v>1156.1421</v>
      </c>
      <c r="AR101" s="53">
        <v>365</v>
      </c>
      <c r="AS101" s="54">
        <v>2.7397260000000001E-3</v>
      </c>
      <c r="AT101" s="62">
        <v>1157.231</v>
      </c>
      <c r="AU101" s="53">
        <v>373</v>
      </c>
      <c r="AV101" s="54">
        <v>2.68097E-3</v>
      </c>
      <c r="AW101" s="62">
        <v>1104.681</v>
      </c>
      <c r="AX101" s="95">
        <v>382</v>
      </c>
      <c r="AY101" s="54">
        <f t="shared" si="1"/>
        <v>2.617801047120419E-3</v>
      </c>
      <c r="AZ101" s="100">
        <v>1063.8108</v>
      </c>
      <c r="BA101" s="95">
        <v>391</v>
      </c>
      <c r="BB101" s="97">
        <v>2.5575447570332483E-3</v>
      </c>
      <c r="BC101" s="109">
        <v>1006.9475</v>
      </c>
      <c r="BD101" s="53">
        <v>373</v>
      </c>
      <c r="BE101" s="54">
        <v>2.6809999999999998E-3</v>
      </c>
      <c r="BF101" s="15">
        <v>1754.8</v>
      </c>
      <c r="BG101" s="53">
        <v>391</v>
      </c>
      <c r="BH101" s="54">
        <v>2.5579999999999999E-3</v>
      </c>
      <c r="BI101" s="61">
        <v>1006.9</v>
      </c>
      <c r="BJ101" s="53">
        <v>391</v>
      </c>
      <c r="BK101" s="54">
        <v>2.5579999999999999E-3</v>
      </c>
      <c r="BL101" s="61">
        <v>1006.9</v>
      </c>
      <c r="CH101" s="95">
        <v>353</v>
      </c>
      <c r="CI101" s="99">
        <v>905.36210000000005</v>
      </c>
      <c r="CJ101" s="14">
        <v>353</v>
      </c>
      <c r="CK101" s="15">
        <v>876.10735999999997</v>
      </c>
      <c r="CL101" s="53">
        <v>353</v>
      </c>
      <c r="CM101" s="61">
        <v>876.10735999999997</v>
      </c>
      <c r="CN101" s="14">
        <v>353</v>
      </c>
      <c r="CO101" s="15">
        <v>859.51940000000002</v>
      </c>
    </row>
    <row r="102" spans="41:93">
      <c r="AO102" s="53">
        <v>359</v>
      </c>
      <c r="AP102" s="54">
        <v>2.7855200000000001E-3</v>
      </c>
      <c r="AQ102" s="62">
        <v>1219.4095</v>
      </c>
      <c r="AR102" s="53">
        <v>366</v>
      </c>
      <c r="AS102" s="54">
        <v>2.7322399999999999E-3</v>
      </c>
      <c r="AT102" s="62">
        <v>1220.4480000000001</v>
      </c>
      <c r="AU102" s="53">
        <v>374</v>
      </c>
      <c r="AV102" s="54">
        <v>2.6738E-3</v>
      </c>
      <c r="AW102" s="62">
        <v>1165.002</v>
      </c>
      <c r="AX102" s="95">
        <v>383</v>
      </c>
      <c r="AY102" s="54">
        <f t="shared" si="1"/>
        <v>2.6109660574412533E-3</v>
      </c>
      <c r="AZ102" s="100">
        <v>1121.6882000000001</v>
      </c>
      <c r="BA102" s="95">
        <v>392</v>
      </c>
      <c r="BB102" s="97">
        <v>2.5510204081632651E-3</v>
      </c>
      <c r="BC102" s="109">
        <v>1061.5795000000001</v>
      </c>
      <c r="BD102" s="53">
        <v>374</v>
      </c>
      <c r="BE102" s="54">
        <v>2.6740000000000002E-3</v>
      </c>
      <c r="BF102" s="15">
        <v>1845.8</v>
      </c>
      <c r="BG102" s="53">
        <v>392</v>
      </c>
      <c r="BH102" s="54">
        <v>2.5509999999999999E-3</v>
      </c>
      <c r="BI102" s="61">
        <v>1061.5999999999999</v>
      </c>
      <c r="BJ102" s="53">
        <v>392</v>
      </c>
      <c r="BK102" s="54">
        <v>2.5509999999999999E-3</v>
      </c>
      <c r="BL102" s="61">
        <v>1061.5999999999999</v>
      </c>
      <c r="CH102" s="95">
        <v>354</v>
      </c>
      <c r="CI102" s="99">
        <v>904.27746999999999</v>
      </c>
      <c r="CJ102" s="14">
        <v>354</v>
      </c>
      <c r="CK102" s="15">
        <v>875.04420000000005</v>
      </c>
      <c r="CL102" s="53">
        <v>354</v>
      </c>
      <c r="CM102" s="61">
        <v>875.04420000000005</v>
      </c>
      <c r="CN102" s="14">
        <v>354</v>
      </c>
      <c r="CO102" s="15">
        <v>858.48760000000004</v>
      </c>
    </row>
    <row r="103" spans="41:93">
      <c r="AO103" s="53">
        <v>360</v>
      </c>
      <c r="AP103" s="54">
        <v>2.7777800000000001E-3</v>
      </c>
      <c r="AQ103" s="62">
        <v>1285.7072000000001</v>
      </c>
      <c r="AR103" s="53">
        <v>367</v>
      </c>
      <c r="AS103" s="54">
        <v>2.7247959999999998E-3</v>
      </c>
      <c r="AT103" s="62">
        <v>1286.6880000000001</v>
      </c>
      <c r="AU103" s="53">
        <v>375</v>
      </c>
      <c r="AV103" s="54">
        <v>2.6666699999999999E-3</v>
      </c>
      <c r="AW103" s="62">
        <v>1228.2090000000001</v>
      </c>
      <c r="AX103" s="95">
        <v>384</v>
      </c>
      <c r="AY103" s="54">
        <f t="shared" si="1"/>
        <v>2.6041666666666665E-3</v>
      </c>
      <c r="AZ103" s="100">
        <v>1182.3262</v>
      </c>
      <c r="BA103" s="95">
        <v>393</v>
      </c>
      <c r="BB103" s="97">
        <v>2.5445292620865142E-3</v>
      </c>
      <c r="BC103" s="109">
        <v>1118.8119999999999</v>
      </c>
      <c r="BD103" s="53">
        <v>375</v>
      </c>
      <c r="BE103" s="54">
        <v>2.6670000000000001E-3</v>
      </c>
      <c r="BF103" s="15">
        <v>1941</v>
      </c>
      <c r="BG103" s="53">
        <v>393</v>
      </c>
      <c r="BH103" s="54">
        <v>2.545E-3</v>
      </c>
      <c r="BI103" s="61">
        <v>1118.8</v>
      </c>
      <c r="BJ103" s="53">
        <v>393</v>
      </c>
      <c r="BK103" s="54">
        <v>2.545E-3</v>
      </c>
      <c r="BL103" s="61">
        <v>1118.8</v>
      </c>
      <c r="CH103" s="95">
        <v>355</v>
      </c>
      <c r="CI103" s="99">
        <v>903.19200000000001</v>
      </c>
      <c r="CJ103" s="14">
        <v>355</v>
      </c>
      <c r="CK103" s="15">
        <v>873.98040000000003</v>
      </c>
      <c r="CL103" s="53">
        <v>355</v>
      </c>
      <c r="CM103" s="61">
        <v>873.98040000000003</v>
      </c>
      <c r="CN103" s="14">
        <v>355</v>
      </c>
      <c r="CO103" s="15">
        <v>857.45519999999999</v>
      </c>
    </row>
    <row r="104" spans="41:93">
      <c r="AO104" s="53">
        <v>361</v>
      </c>
      <c r="AP104" s="54">
        <v>2.7700799999999999E-3</v>
      </c>
      <c r="AQ104" s="62">
        <v>1355.1579999999999</v>
      </c>
      <c r="AR104" s="53">
        <v>368</v>
      </c>
      <c r="AS104" s="54">
        <v>2.717391E-3</v>
      </c>
      <c r="AT104" s="62">
        <v>1356.0740000000001</v>
      </c>
      <c r="AU104" s="53">
        <v>376</v>
      </c>
      <c r="AV104" s="54">
        <v>2.65957E-3</v>
      </c>
      <c r="AW104" s="62">
        <v>1294.4190000000001</v>
      </c>
      <c r="AX104" s="95">
        <v>385</v>
      </c>
      <c r="AY104" s="54">
        <f t="shared" si="1"/>
        <v>2.5974025974025974E-3</v>
      </c>
      <c r="AZ104" s="100">
        <v>1245.8364999999999</v>
      </c>
      <c r="BA104" s="95">
        <v>394</v>
      </c>
      <c r="BB104" s="97">
        <v>2.5380710659898475E-3</v>
      </c>
      <c r="BC104" s="109">
        <v>1178.7501</v>
      </c>
      <c r="BD104" s="53">
        <v>376</v>
      </c>
      <c r="BE104" s="54">
        <v>2.66E-3</v>
      </c>
      <c r="BF104" s="15">
        <v>2040.5</v>
      </c>
      <c r="BG104" s="53">
        <v>394</v>
      </c>
      <c r="BH104" s="54">
        <v>2.5379999999999999E-3</v>
      </c>
      <c r="BI104" s="61">
        <v>1178.8</v>
      </c>
      <c r="BJ104" s="53">
        <v>394</v>
      </c>
      <c r="BK104" s="54">
        <v>2.5379999999999999E-3</v>
      </c>
      <c r="BL104" s="61">
        <v>1178.8</v>
      </c>
      <c r="CH104" s="95">
        <v>356</v>
      </c>
      <c r="CI104" s="99">
        <v>902.10580000000004</v>
      </c>
      <c r="CJ104" s="14">
        <v>356</v>
      </c>
      <c r="CK104" s="15">
        <v>872.91583000000003</v>
      </c>
      <c r="CL104" s="53">
        <v>356</v>
      </c>
      <c r="CM104" s="61">
        <v>872.91583000000003</v>
      </c>
      <c r="CN104" s="14">
        <v>356</v>
      </c>
      <c r="CO104" s="15">
        <v>856.42219999999998</v>
      </c>
    </row>
    <row r="105" spans="41:93">
      <c r="AO105" s="53">
        <v>362</v>
      </c>
      <c r="AP105" s="54">
        <v>2.7624300000000002E-3</v>
      </c>
      <c r="AQ105" s="62">
        <v>1427.8889999999999</v>
      </c>
      <c r="AR105" s="53">
        <v>369</v>
      </c>
      <c r="AS105" s="54">
        <v>2.7100269999999998E-3</v>
      </c>
      <c r="AT105" s="62">
        <v>1428.7329999999999</v>
      </c>
      <c r="AU105" s="53">
        <v>377</v>
      </c>
      <c r="AV105" s="54">
        <v>2.6525199999999998E-3</v>
      </c>
      <c r="AW105" s="62">
        <v>1363.7529999999999</v>
      </c>
      <c r="AX105" s="95">
        <v>386</v>
      </c>
      <c r="AY105" s="54">
        <f t="shared" si="1"/>
        <v>2.5906735751295338E-3</v>
      </c>
      <c r="AZ105" s="100">
        <v>1312.3345999999999</v>
      </c>
      <c r="BA105" s="95">
        <v>395</v>
      </c>
      <c r="BB105" s="97">
        <v>2.5316455696202532E-3</v>
      </c>
      <c r="BC105" s="109">
        <v>1241.5023000000001</v>
      </c>
      <c r="BD105" s="53">
        <v>377</v>
      </c>
      <c r="BE105" s="54">
        <v>2.653E-3</v>
      </c>
      <c r="BF105" s="15">
        <v>2144.4</v>
      </c>
      <c r="BG105" s="53">
        <v>395</v>
      </c>
      <c r="BH105" s="54">
        <v>2.532E-3</v>
      </c>
      <c r="BI105" s="61">
        <v>1241.5</v>
      </c>
      <c r="BJ105" s="53">
        <v>395</v>
      </c>
      <c r="BK105" s="54">
        <v>2.532E-3</v>
      </c>
      <c r="BL105" s="61">
        <v>1241.5</v>
      </c>
      <c r="CH105" s="95">
        <v>357</v>
      </c>
      <c r="CI105" s="99">
        <v>901.01873999999998</v>
      </c>
      <c r="CJ105" s="14">
        <v>357</v>
      </c>
      <c r="CK105" s="15">
        <v>871.85059999999999</v>
      </c>
      <c r="CL105" s="53">
        <v>357</v>
      </c>
      <c r="CM105" s="61">
        <v>871.85059999999999</v>
      </c>
      <c r="CN105" s="14">
        <v>357</v>
      </c>
      <c r="CO105" s="15">
        <v>855.38855000000001</v>
      </c>
    </row>
    <row r="106" spans="41:93">
      <c r="AO106" s="53">
        <v>363</v>
      </c>
      <c r="AP106" s="54">
        <v>2.7548199999999998E-3</v>
      </c>
      <c r="AQ106" s="62">
        <v>1504.0315000000001</v>
      </c>
      <c r="AR106" s="53">
        <v>370</v>
      </c>
      <c r="AS106" s="54">
        <v>2.7027029999999999E-3</v>
      </c>
      <c r="AT106" s="62">
        <v>1504.7950000000001</v>
      </c>
      <c r="AU106" s="53">
        <v>378</v>
      </c>
      <c r="AV106" s="54">
        <v>2.6454999999999998E-3</v>
      </c>
      <c r="AW106" s="62">
        <v>1436.336</v>
      </c>
      <c r="AX106" s="95">
        <v>387</v>
      </c>
      <c r="AY106" s="54">
        <f t="shared" si="1"/>
        <v>2.5839793281653748E-3</v>
      </c>
      <c r="AZ106" s="100">
        <v>1381.9395999999999</v>
      </c>
      <c r="BA106" s="95">
        <v>396</v>
      </c>
      <c r="BB106" s="97">
        <v>2.5252525252525255E-3</v>
      </c>
      <c r="BC106" s="109">
        <v>1307.1806999999999</v>
      </c>
      <c r="BD106" s="53">
        <v>378</v>
      </c>
      <c r="BE106" s="54">
        <v>2.6459999999999999E-3</v>
      </c>
      <c r="BF106" s="15">
        <v>2252.9</v>
      </c>
      <c r="BG106" s="53">
        <v>396</v>
      </c>
      <c r="BH106" s="54">
        <v>2.5249999999999999E-3</v>
      </c>
      <c r="BI106" s="61">
        <v>1307.2</v>
      </c>
      <c r="BJ106" s="53">
        <v>396</v>
      </c>
      <c r="BK106" s="54">
        <v>2.5249999999999999E-3</v>
      </c>
      <c r="BL106" s="61">
        <v>1307.2</v>
      </c>
      <c r="CH106" s="95">
        <v>358</v>
      </c>
      <c r="CI106" s="99">
        <v>899.93089999999995</v>
      </c>
      <c r="CJ106" s="14">
        <v>358</v>
      </c>
      <c r="CK106" s="15">
        <v>870.78454999999997</v>
      </c>
      <c r="CL106" s="53">
        <v>358</v>
      </c>
      <c r="CM106" s="61">
        <v>870.78454999999997</v>
      </c>
      <c r="CN106" s="14">
        <v>358</v>
      </c>
      <c r="CO106" s="15">
        <v>854.35419999999999</v>
      </c>
    </row>
    <row r="107" spans="41:93">
      <c r="AO107" s="53">
        <v>364</v>
      </c>
      <c r="AP107" s="54">
        <v>2.7472500000000001E-3</v>
      </c>
      <c r="AQ107" s="62">
        <v>1583.7207000000001</v>
      </c>
      <c r="AR107" s="53">
        <v>371</v>
      </c>
      <c r="AS107" s="54">
        <v>2.6954180000000002E-3</v>
      </c>
      <c r="AT107" s="62">
        <v>1584.395</v>
      </c>
      <c r="AU107" s="53">
        <v>379</v>
      </c>
      <c r="AV107" s="54">
        <v>2.6385200000000001E-3</v>
      </c>
      <c r="AW107" s="62">
        <v>1512.297</v>
      </c>
      <c r="AX107" s="95">
        <v>388</v>
      </c>
      <c r="AY107" s="54">
        <f t="shared" si="1"/>
        <v>2.5773195876288659E-3</v>
      </c>
      <c r="AZ107" s="100">
        <v>1454.7743</v>
      </c>
      <c r="BA107" s="95">
        <v>397</v>
      </c>
      <c r="BB107" s="97">
        <v>2.5188916876574307E-3</v>
      </c>
      <c r="BC107" s="109">
        <v>1375.9007999999999</v>
      </c>
      <c r="BD107" s="53">
        <v>379</v>
      </c>
      <c r="BE107" s="54">
        <v>2.6389999999999999E-3</v>
      </c>
      <c r="BF107" s="15">
        <v>2366.1999999999998</v>
      </c>
      <c r="BG107" s="53">
        <v>397</v>
      </c>
      <c r="BH107" s="54">
        <v>2.519E-3</v>
      </c>
      <c r="BI107" s="61">
        <v>1375.9</v>
      </c>
      <c r="BJ107" s="53">
        <v>397</v>
      </c>
      <c r="BK107" s="54">
        <v>2.519E-3</v>
      </c>
      <c r="BL107" s="61">
        <v>1375.9</v>
      </c>
      <c r="CH107" s="95">
        <v>359</v>
      </c>
      <c r="CI107" s="99">
        <v>898.84220000000005</v>
      </c>
      <c r="CJ107" s="14">
        <v>359</v>
      </c>
      <c r="CK107" s="15">
        <v>869.71783000000005</v>
      </c>
      <c r="CL107" s="53">
        <v>359</v>
      </c>
      <c r="CM107" s="61">
        <v>869.71783000000005</v>
      </c>
      <c r="CN107" s="14">
        <v>359</v>
      </c>
      <c r="CO107" s="15">
        <v>853.31920000000002</v>
      </c>
    </row>
    <row r="108" spans="41:93" ht="15" thickBot="1">
      <c r="AO108" s="53">
        <v>365</v>
      </c>
      <c r="AP108" s="54">
        <v>2.7397300000000001E-3</v>
      </c>
      <c r="AQ108" s="62">
        <v>1667.0967000000001</v>
      </c>
      <c r="AR108" s="53">
        <v>372</v>
      </c>
      <c r="AS108" s="54">
        <v>2.688172E-3</v>
      </c>
      <c r="AT108" s="62">
        <v>1667.672</v>
      </c>
      <c r="AU108" s="53">
        <v>380</v>
      </c>
      <c r="AV108" s="54">
        <v>2.6315800000000001E-3</v>
      </c>
      <c r="AW108" s="62">
        <v>1591.768</v>
      </c>
      <c r="AX108" s="95">
        <v>389</v>
      </c>
      <c r="AY108" s="54">
        <f t="shared" si="1"/>
        <v>2.5706940874035988E-3</v>
      </c>
      <c r="AZ108" s="100">
        <v>1530.9656</v>
      </c>
      <c r="BA108" s="95">
        <v>398</v>
      </c>
      <c r="BB108" s="97">
        <v>2.5125628140703518E-3</v>
      </c>
      <c r="BC108" s="109">
        <v>1447.7817</v>
      </c>
      <c r="BD108" s="53">
        <v>380</v>
      </c>
      <c r="BE108" s="54">
        <v>2.6319999999999998E-3</v>
      </c>
      <c r="BF108" s="15">
        <v>2484.4</v>
      </c>
      <c r="BG108" s="53">
        <v>398</v>
      </c>
      <c r="BH108" s="54">
        <v>2.513E-3</v>
      </c>
      <c r="BI108" s="61">
        <v>1447.8</v>
      </c>
      <c r="BJ108" s="53">
        <v>398</v>
      </c>
      <c r="BK108" s="54">
        <v>2.513E-3</v>
      </c>
      <c r="BL108" s="61">
        <v>1447.8</v>
      </c>
      <c r="CH108" s="102">
        <v>360</v>
      </c>
      <c r="CI108" s="120">
        <v>897.7527</v>
      </c>
      <c r="CJ108" s="29">
        <v>360</v>
      </c>
      <c r="CK108" s="30">
        <v>868.65026999999998</v>
      </c>
      <c r="CL108" s="57">
        <v>360</v>
      </c>
      <c r="CM108" s="112">
        <v>868.65026999999998</v>
      </c>
      <c r="CN108" s="29">
        <v>360</v>
      </c>
      <c r="CO108" s="30">
        <v>852.28357000000005</v>
      </c>
    </row>
    <row r="109" spans="41:93">
      <c r="AO109" s="53">
        <v>366</v>
      </c>
      <c r="AP109" s="54">
        <v>2.7322399999999999E-3</v>
      </c>
      <c r="AQ109" s="62">
        <v>1754.3032000000001</v>
      </c>
      <c r="AR109" s="53">
        <v>373</v>
      </c>
      <c r="AS109" s="54">
        <v>2.680965E-3</v>
      </c>
      <c r="AT109" s="62">
        <v>1754.769</v>
      </c>
      <c r="AU109" s="53">
        <v>381</v>
      </c>
      <c r="AV109" s="54">
        <v>2.62467E-3</v>
      </c>
      <c r="AW109" s="62">
        <v>1674.8869999999999</v>
      </c>
      <c r="AX109" s="95">
        <v>390</v>
      </c>
      <c r="AY109" s="54">
        <f t="shared" si="1"/>
        <v>2.5641025641025641E-3</v>
      </c>
      <c r="AZ109" s="100">
        <v>1610.644</v>
      </c>
      <c r="BA109" s="95">
        <v>399</v>
      </c>
      <c r="BB109" s="97">
        <v>2.5062656641604009E-3</v>
      </c>
      <c r="BC109" s="109">
        <v>1522.9464</v>
      </c>
      <c r="BD109" s="53">
        <v>381</v>
      </c>
      <c r="BE109" s="54">
        <v>2.6250000000000002E-3</v>
      </c>
      <c r="BF109" s="15">
        <v>2607.8000000000002</v>
      </c>
      <c r="BG109" s="53">
        <v>399</v>
      </c>
      <c r="BH109" s="54">
        <v>2.506E-3</v>
      </c>
      <c r="BI109" s="61">
        <v>1522.9</v>
      </c>
      <c r="BJ109" s="53">
        <v>399</v>
      </c>
      <c r="BK109" s="54">
        <v>2.506E-3</v>
      </c>
      <c r="BL109" s="61">
        <v>1522.9</v>
      </c>
    </row>
    <row r="110" spans="41:93">
      <c r="AO110" s="53">
        <v>367</v>
      </c>
      <c r="AP110" s="54">
        <v>2.7247999999999999E-3</v>
      </c>
      <c r="AQ110" s="62">
        <v>1845.489</v>
      </c>
      <c r="AR110" s="53">
        <v>374</v>
      </c>
      <c r="AS110" s="54">
        <v>2.6737969999999999E-3</v>
      </c>
      <c r="AT110" s="62">
        <v>1845.836</v>
      </c>
      <c r="AU110" s="53">
        <v>382</v>
      </c>
      <c r="AV110" s="54">
        <v>2.6178E-3</v>
      </c>
      <c r="AW110" s="62">
        <v>1761.7950000000001</v>
      </c>
      <c r="AX110" s="95">
        <v>391</v>
      </c>
      <c r="AY110" s="54">
        <f t="shared" si="1"/>
        <v>2.5575447570332483E-3</v>
      </c>
      <c r="AZ110" s="100">
        <v>1693.9447</v>
      </c>
      <c r="BA110" s="95">
        <v>400</v>
      </c>
      <c r="BB110" s="97">
        <v>2.5000000000000001E-3</v>
      </c>
      <c r="BC110" s="109">
        <v>1601.5219</v>
      </c>
      <c r="BD110" s="53">
        <v>382</v>
      </c>
      <c r="BE110" s="54">
        <v>2.6180000000000001E-3</v>
      </c>
      <c r="BF110" s="15">
        <v>2736.5</v>
      </c>
      <c r="BG110" s="53">
        <v>400</v>
      </c>
      <c r="BH110" s="54">
        <v>2.5000000000000001E-3</v>
      </c>
      <c r="BI110" s="61">
        <v>1601.5</v>
      </c>
      <c r="BJ110" s="53">
        <v>400</v>
      </c>
      <c r="BK110" s="54">
        <v>2.5000000000000001E-3</v>
      </c>
      <c r="BL110" s="61">
        <v>1601.5</v>
      </c>
    </row>
    <row r="111" spans="41:93">
      <c r="AO111" s="53">
        <v>368</v>
      </c>
      <c r="AP111" s="54">
        <v>2.7173900000000001E-3</v>
      </c>
      <c r="AQ111" s="62">
        <v>1940.8072999999999</v>
      </c>
      <c r="AR111" s="53">
        <v>375</v>
      </c>
      <c r="AS111" s="54">
        <v>2.6666670000000002E-3</v>
      </c>
      <c r="AT111" s="62">
        <v>1941.0229999999999</v>
      </c>
      <c r="AU111" s="53">
        <v>383</v>
      </c>
      <c r="AV111" s="54">
        <v>2.6109699999999998E-3</v>
      </c>
      <c r="AW111" s="62">
        <v>1852.6379999999999</v>
      </c>
      <c r="AX111" s="95">
        <v>392</v>
      </c>
      <c r="AY111" s="54">
        <f t="shared" si="1"/>
        <v>2.5510204081632651E-3</v>
      </c>
      <c r="AZ111" s="100">
        <v>1781.0063</v>
      </c>
      <c r="BA111" s="95">
        <v>401</v>
      </c>
      <c r="BB111" s="97">
        <v>2.4937655860349127E-3</v>
      </c>
      <c r="BC111" s="109">
        <v>1683.6383000000001</v>
      </c>
      <c r="BD111" s="53">
        <v>383</v>
      </c>
      <c r="BE111" s="54">
        <v>2.611E-3</v>
      </c>
      <c r="BF111" s="15">
        <v>2870.8</v>
      </c>
      <c r="BG111" s="53">
        <v>401</v>
      </c>
      <c r="BH111" s="54">
        <v>2.4940000000000001E-3</v>
      </c>
      <c r="BI111" s="61">
        <v>1683.6</v>
      </c>
      <c r="BJ111" s="53">
        <v>401</v>
      </c>
      <c r="BK111" s="54">
        <v>2.4940000000000001E-3</v>
      </c>
      <c r="BL111" s="61">
        <v>1683.6</v>
      </c>
    </row>
    <row r="112" spans="41:93">
      <c r="AO112" s="53">
        <v>369</v>
      </c>
      <c r="AP112" s="54">
        <v>2.71003E-3</v>
      </c>
      <c r="AQ112" s="62">
        <v>2040.4159</v>
      </c>
      <c r="AR112" s="53">
        <v>376</v>
      </c>
      <c r="AS112" s="54">
        <v>2.6595740000000001E-3</v>
      </c>
      <c r="AT112" s="62">
        <v>2040.4880000000001</v>
      </c>
      <c r="AU112" s="53">
        <v>384</v>
      </c>
      <c r="AV112" s="54">
        <v>2.6041699999999998E-3</v>
      </c>
      <c r="AW112" s="62">
        <v>1947.5650000000001</v>
      </c>
      <c r="AX112" s="95">
        <v>393</v>
      </c>
      <c r="AY112" s="54">
        <f t="shared" si="1"/>
        <v>2.5445292620865142E-3</v>
      </c>
      <c r="AZ112" s="100">
        <v>1871.9721999999999</v>
      </c>
      <c r="BA112" s="95">
        <v>402</v>
      </c>
      <c r="BB112" s="97">
        <v>2.4875621890547263E-3</v>
      </c>
      <c r="BC112" s="109">
        <v>1769.4304999999999</v>
      </c>
      <c r="BD112" s="53">
        <v>384</v>
      </c>
      <c r="BE112" s="54">
        <v>2.604E-3</v>
      </c>
      <c r="BF112" s="15">
        <v>3010.7</v>
      </c>
      <c r="BG112" s="53">
        <v>402</v>
      </c>
      <c r="BH112" s="54">
        <v>2.4880000000000002E-3</v>
      </c>
      <c r="BI112" s="61">
        <v>1769.4</v>
      </c>
      <c r="BJ112" s="53">
        <v>402</v>
      </c>
      <c r="BK112" s="54">
        <v>2.4880000000000002E-3</v>
      </c>
      <c r="BL112" s="61">
        <v>1769.4</v>
      </c>
    </row>
    <row r="113" spans="41:64">
      <c r="AO113" s="53">
        <v>370</v>
      </c>
      <c r="AP113" s="54">
        <v>2.7027000000000002E-3</v>
      </c>
      <c r="AQ113" s="62">
        <v>2144.4778000000001</v>
      </c>
      <c r="AR113" s="53">
        <v>377</v>
      </c>
      <c r="AS113" s="54">
        <v>2.6525199999999998E-3</v>
      </c>
      <c r="AT113" s="62">
        <v>2144.3939999999998</v>
      </c>
      <c r="AU113" s="53">
        <v>385</v>
      </c>
      <c r="AV113" s="54">
        <v>2.5974000000000001E-3</v>
      </c>
      <c r="AW113" s="62">
        <v>2046.7329999999999</v>
      </c>
      <c r="AX113" s="95">
        <v>394</v>
      </c>
      <c r="AY113" s="54">
        <f t="shared" si="1"/>
        <v>2.5380710659898475E-3</v>
      </c>
      <c r="AZ113" s="100">
        <v>1966.9894999999999</v>
      </c>
      <c r="BA113" s="95">
        <v>403</v>
      </c>
      <c r="BB113" s="97">
        <v>2.4813895781637717E-3</v>
      </c>
      <c r="BC113" s="109">
        <v>1859.0371</v>
      </c>
      <c r="BD113" s="53">
        <v>385</v>
      </c>
      <c r="BE113" s="54">
        <v>2.5969999999999999E-3</v>
      </c>
      <c r="BF113" s="15">
        <v>3156.6</v>
      </c>
      <c r="BG113" s="53">
        <v>403</v>
      </c>
      <c r="BH113" s="54">
        <v>2.4810000000000001E-3</v>
      </c>
      <c r="BI113" s="61">
        <v>1859</v>
      </c>
      <c r="BJ113" s="53">
        <v>403</v>
      </c>
      <c r="BK113" s="54">
        <v>2.4810000000000001E-3</v>
      </c>
      <c r="BL113" s="61">
        <v>1859</v>
      </c>
    </row>
    <row r="114" spans="41:64">
      <c r="AO114" s="53">
        <v>371</v>
      </c>
      <c r="AP114" s="54">
        <v>2.69542E-3</v>
      </c>
      <c r="AQ114" s="62">
        <v>2253.16</v>
      </c>
      <c r="AR114" s="53">
        <v>378</v>
      </c>
      <c r="AS114" s="54">
        <v>2.645503E-3</v>
      </c>
      <c r="AT114" s="62">
        <v>2252.9070000000002</v>
      </c>
      <c r="AU114" s="53">
        <v>386</v>
      </c>
      <c r="AV114" s="54">
        <v>2.5906700000000002E-3</v>
      </c>
      <c r="AW114" s="62">
        <v>2150.299</v>
      </c>
      <c r="AX114" s="95">
        <v>395</v>
      </c>
      <c r="AY114" s="54">
        <f t="shared" si="1"/>
        <v>2.5316455696202532E-3</v>
      </c>
      <c r="AZ114" s="100">
        <v>2066.2103999999999</v>
      </c>
      <c r="BA114" s="95">
        <v>404</v>
      </c>
      <c r="BB114" s="97">
        <v>2.4752475247524753E-3</v>
      </c>
      <c r="BC114" s="109">
        <v>1952.6007</v>
      </c>
      <c r="BD114" s="53">
        <v>386</v>
      </c>
      <c r="BE114" s="54">
        <v>2.591E-3</v>
      </c>
      <c r="BF114" s="15">
        <v>3308.6</v>
      </c>
      <c r="BG114" s="53">
        <v>404</v>
      </c>
      <c r="BH114" s="54">
        <v>2.4750000000000002E-3</v>
      </c>
      <c r="BI114" s="61">
        <v>1952.6</v>
      </c>
      <c r="BJ114" s="53">
        <v>404</v>
      </c>
      <c r="BK114" s="54">
        <v>2.4750000000000002E-3</v>
      </c>
      <c r="BL114" s="61">
        <v>1952.6</v>
      </c>
    </row>
    <row r="115" spans="41:64">
      <c r="AO115" s="53">
        <v>372</v>
      </c>
      <c r="AP115" s="54">
        <v>2.6881700000000001E-3</v>
      </c>
      <c r="AQ115" s="62">
        <v>2366.6354999999999</v>
      </c>
      <c r="AR115" s="53">
        <v>379</v>
      </c>
      <c r="AS115" s="54">
        <v>2.6385219999999999E-3</v>
      </c>
      <c r="AT115" s="62">
        <v>2366.1979999999999</v>
      </c>
      <c r="AU115" s="53">
        <v>387</v>
      </c>
      <c r="AV115" s="54">
        <v>2.58398E-3</v>
      </c>
      <c r="AW115" s="62">
        <v>2258.4290000000001</v>
      </c>
      <c r="AX115" s="95">
        <v>396</v>
      </c>
      <c r="AY115" s="54">
        <f t="shared" si="1"/>
        <v>2.5252525252525255E-3</v>
      </c>
      <c r="AZ115" s="100">
        <v>2169.7912999999999</v>
      </c>
      <c r="BA115" s="95">
        <v>405</v>
      </c>
      <c r="BB115" s="97">
        <v>2.4691358024691358E-3</v>
      </c>
      <c r="BC115" s="109">
        <v>2050.2683000000002</v>
      </c>
      <c r="BD115" s="53">
        <v>387</v>
      </c>
      <c r="BE115" s="54">
        <v>2.5839999999999999E-3</v>
      </c>
      <c r="BF115" s="15">
        <v>3466.9</v>
      </c>
      <c r="BG115" s="53">
        <v>405</v>
      </c>
      <c r="BH115" s="54">
        <v>2.4689999999999998E-3</v>
      </c>
      <c r="BI115" s="61">
        <v>2050.3000000000002</v>
      </c>
      <c r="BJ115" s="53">
        <v>405</v>
      </c>
      <c r="BK115" s="54">
        <v>2.4689999999999998E-3</v>
      </c>
      <c r="BL115" s="61">
        <v>2050.3000000000002</v>
      </c>
    </row>
    <row r="116" spans="41:64">
      <c r="AO116" s="53">
        <v>373</v>
      </c>
      <c r="AP116" s="54">
        <v>2.68097E-3</v>
      </c>
      <c r="AQ116" s="62">
        <v>2485.0819999999999</v>
      </c>
      <c r="AR116" s="53">
        <v>380</v>
      </c>
      <c r="AS116" s="54">
        <v>2.6315790000000002E-3</v>
      </c>
      <c r="AT116" s="62">
        <v>2484.4450000000002</v>
      </c>
      <c r="AU116" s="53">
        <v>388</v>
      </c>
      <c r="AV116" s="54">
        <v>2.5773200000000001E-3</v>
      </c>
      <c r="AW116" s="62">
        <v>2371.29</v>
      </c>
      <c r="AX116" s="95">
        <v>397</v>
      </c>
      <c r="AY116" s="54">
        <f t="shared" si="1"/>
        <v>2.5188916876574307E-3</v>
      </c>
      <c r="AZ116" s="100">
        <v>2277.8928000000001</v>
      </c>
      <c r="BA116" s="95">
        <v>406</v>
      </c>
      <c r="BB116" s="97">
        <v>2.4630541871921183E-3</v>
      </c>
      <c r="BC116" s="109">
        <v>2152.1912000000002</v>
      </c>
      <c r="BD116" s="53">
        <v>388</v>
      </c>
      <c r="BE116" s="54">
        <v>2.5769999999999999E-3</v>
      </c>
      <c r="BF116" s="15">
        <v>3631.8</v>
      </c>
      <c r="BG116" s="53">
        <v>406</v>
      </c>
      <c r="BH116" s="54">
        <v>2.4629999999999999E-3</v>
      </c>
      <c r="BI116" s="61">
        <v>2152.1999999999998</v>
      </c>
      <c r="BJ116" s="53">
        <v>406</v>
      </c>
      <c r="BK116" s="54">
        <v>2.4629999999999999E-3</v>
      </c>
      <c r="BL116" s="61">
        <v>2152.1999999999998</v>
      </c>
    </row>
    <row r="117" spans="41:64">
      <c r="AO117" s="53">
        <v>374</v>
      </c>
      <c r="AP117" s="54">
        <v>2.6738E-3</v>
      </c>
      <c r="AQ117" s="62">
        <v>2608.6824000000001</v>
      </c>
      <c r="AR117" s="53">
        <v>381</v>
      </c>
      <c r="AS117" s="54">
        <v>2.6246720000000002E-3</v>
      </c>
      <c r="AT117" s="62">
        <v>2607.8290000000002</v>
      </c>
      <c r="AU117" s="53">
        <v>389</v>
      </c>
      <c r="AV117" s="54">
        <v>2.57069E-3</v>
      </c>
      <c r="AW117" s="62">
        <v>2489.058</v>
      </c>
      <c r="AX117" s="95">
        <v>398</v>
      </c>
      <c r="AY117" s="54">
        <f t="shared" si="1"/>
        <v>2.5125628140703518E-3</v>
      </c>
      <c r="AZ117" s="100">
        <v>2390.6806999999999</v>
      </c>
      <c r="BA117" s="95">
        <v>407</v>
      </c>
      <c r="BB117" s="97">
        <v>2.4570024570024569E-3</v>
      </c>
      <c r="BC117" s="109">
        <v>2258.5246999999999</v>
      </c>
      <c r="BD117" s="53">
        <v>389</v>
      </c>
      <c r="BE117" s="54">
        <v>2.5709999999999999E-3</v>
      </c>
      <c r="BF117" s="15">
        <v>3803.5</v>
      </c>
      <c r="BG117" s="53">
        <v>407</v>
      </c>
      <c r="BH117" s="54">
        <v>2.457E-3</v>
      </c>
      <c r="BI117" s="61">
        <v>2258.5</v>
      </c>
      <c r="BJ117" s="53">
        <v>407</v>
      </c>
      <c r="BK117" s="54">
        <v>2.457E-3</v>
      </c>
      <c r="BL117" s="61">
        <v>2258.5</v>
      </c>
    </row>
    <row r="118" spans="41:64">
      <c r="AO118" s="53">
        <v>375</v>
      </c>
      <c r="AP118" s="54">
        <v>2.6666699999999999E-3</v>
      </c>
      <c r="AQ118" s="62">
        <v>2737.6244999999999</v>
      </c>
      <c r="AR118" s="53">
        <v>382</v>
      </c>
      <c r="AS118" s="54">
        <v>2.6178009999999999E-3</v>
      </c>
      <c r="AT118" s="62">
        <v>2736.538</v>
      </c>
      <c r="AU118" s="53">
        <v>390</v>
      </c>
      <c r="AV118" s="54">
        <v>2.5641000000000001E-3</v>
      </c>
      <c r="AW118" s="62">
        <v>2611.9070000000002</v>
      </c>
      <c r="AX118" s="95">
        <v>399</v>
      </c>
      <c r="AY118" s="54">
        <f t="shared" ref="AY118:AY181" si="2">1/AX118</f>
        <v>2.5062656641604009E-3</v>
      </c>
      <c r="AZ118" s="100">
        <v>2508.3254000000002</v>
      </c>
      <c r="BA118" s="95">
        <v>408</v>
      </c>
      <c r="BB118" s="97">
        <v>2.4509803921568627E-3</v>
      </c>
      <c r="BC118" s="109">
        <v>2369.4292</v>
      </c>
      <c r="BD118" s="53">
        <v>390</v>
      </c>
      <c r="BE118" s="54">
        <v>2.5639999999999999E-3</v>
      </c>
      <c r="BF118" s="15">
        <v>3982.2</v>
      </c>
      <c r="BG118" s="53">
        <v>408</v>
      </c>
      <c r="BH118" s="54">
        <v>2.4510000000000001E-3</v>
      </c>
      <c r="BI118" s="61">
        <v>2369.4</v>
      </c>
      <c r="BJ118" s="53">
        <v>408</v>
      </c>
      <c r="BK118" s="54">
        <v>2.4510000000000001E-3</v>
      </c>
      <c r="BL118" s="61">
        <v>2369.4</v>
      </c>
    </row>
    <row r="119" spans="41:64">
      <c r="AO119" s="53">
        <v>376</v>
      </c>
      <c r="AP119" s="54">
        <v>2.65957E-3</v>
      </c>
      <c r="AQ119" s="62">
        <v>2872.1023</v>
      </c>
      <c r="AR119" s="53">
        <v>383</v>
      </c>
      <c r="AS119" s="54">
        <v>2.6109660000000002E-3</v>
      </c>
      <c r="AT119" s="62">
        <v>2870.7629999999999</v>
      </c>
      <c r="AU119" s="53">
        <v>391</v>
      </c>
      <c r="AV119" s="54">
        <v>2.5575400000000001E-3</v>
      </c>
      <c r="AW119" s="62">
        <v>2740.0279999999998</v>
      </c>
      <c r="AX119" s="95">
        <v>400</v>
      </c>
      <c r="AY119" s="54">
        <f t="shared" si="2"/>
        <v>2.5000000000000001E-3</v>
      </c>
      <c r="AZ119" s="100">
        <v>2631.002</v>
      </c>
      <c r="BA119" s="95">
        <v>409</v>
      </c>
      <c r="BB119" s="97">
        <v>2.4449877750611247E-3</v>
      </c>
      <c r="BC119" s="109">
        <v>2485.0693000000001</v>
      </c>
      <c r="BD119" s="53">
        <v>391</v>
      </c>
      <c r="BE119" s="54">
        <v>2.5579999999999999E-3</v>
      </c>
      <c r="BF119" s="15">
        <v>4168.1000000000004</v>
      </c>
      <c r="BG119" s="53">
        <v>409</v>
      </c>
      <c r="BH119" s="54">
        <v>2.4450000000000001E-3</v>
      </c>
      <c r="BI119" s="61">
        <v>2485.1</v>
      </c>
      <c r="BJ119" s="53">
        <v>409</v>
      </c>
      <c r="BK119" s="54">
        <v>2.4450000000000001E-3</v>
      </c>
      <c r="BL119" s="61">
        <v>2485.1</v>
      </c>
    </row>
    <row r="120" spans="41:64">
      <c r="AO120" s="53">
        <v>377</v>
      </c>
      <c r="AP120" s="54">
        <v>2.6525199999999998E-3</v>
      </c>
      <c r="AQ120" s="62">
        <v>3012.3150000000001</v>
      </c>
      <c r="AR120" s="53">
        <v>384</v>
      </c>
      <c r="AS120" s="54">
        <v>2.6041670000000001E-3</v>
      </c>
      <c r="AT120" s="62">
        <v>3010.7040000000002</v>
      </c>
      <c r="AU120" s="53">
        <v>392</v>
      </c>
      <c r="AV120" s="54">
        <v>2.5510200000000002E-3</v>
      </c>
      <c r="AW120" s="62">
        <v>2873.607</v>
      </c>
      <c r="AX120" s="95">
        <v>401</v>
      </c>
      <c r="AY120" s="54">
        <f t="shared" si="2"/>
        <v>2.4937655860349127E-3</v>
      </c>
      <c r="AZ120" s="100">
        <v>2758.8906000000002</v>
      </c>
      <c r="BA120" s="95">
        <v>410</v>
      </c>
      <c r="BB120" s="97">
        <v>2.4390243902439024E-3</v>
      </c>
      <c r="BC120" s="109">
        <v>2605.6138000000001</v>
      </c>
      <c r="BD120" s="53">
        <v>392</v>
      </c>
      <c r="BE120" s="54">
        <v>2.5509999999999999E-3</v>
      </c>
      <c r="BF120" s="15">
        <v>4361.6000000000004</v>
      </c>
      <c r="BG120" s="53">
        <v>410</v>
      </c>
      <c r="BH120" s="54">
        <v>2.4390000000000002E-3</v>
      </c>
      <c r="BI120" s="61">
        <v>2605.6</v>
      </c>
      <c r="BJ120" s="53">
        <v>410</v>
      </c>
      <c r="BK120" s="54">
        <v>2.4390000000000002E-3</v>
      </c>
      <c r="BL120" s="61">
        <v>2605.6</v>
      </c>
    </row>
    <row r="121" spans="41:64">
      <c r="AO121" s="53">
        <v>378</v>
      </c>
      <c r="AP121" s="54">
        <v>2.6454999999999998E-3</v>
      </c>
      <c r="AQ121" s="62">
        <v>3158.4670000000001</v>
      </c>
      <c r="AR121" s="53">
        <v>385</v>
      </c>
      <c r="AS121" s="54">
        <v>2.5974029999999999E-3</v>
      </c>
      <c r="AT121" s="62">
        <v>3156.5639999999999</v>
      </c>
      <c r="AU121" s="53">
        <v>393</v>
      </c>
      <c r="AV121" s="54">
        <v>2.5445300000000001E-3</v>
      </c>
      <c r="AW121" s="62">
        <v>3012.8380000000002</v>
      </c>
      <c r="AX121" s="95">
        <v>402</v>
      </c>
      <c r="AY121" s="54">
        <f t="shared" si="2"/>
        <v>2.4875621890547263E-3</v>
      </c>
      <c r="AZ121" s="100">
        <v>2892.1765</v>
      </c>
      <c r="BA121" s="95">
        <v>411</v>
      </c>
      <c r="BB121" s="97">
        <v>2.4330900243309003E-3</v>
      </c>
      <c r="BC121" s="109">
        <v>2731.2370000000001</v>
      </c>
      <c r="BD121" s="53">
        <v>393</v>
      </c>
      <c r="BE121" s="54">
        <v>2.545E-3</v>
      </c>
      <c r="BF121" s="15">
        <v>4562.8999999999996</v>
      </c>
      <c r="BG121" s="53">
        <v>411</v>
      </c>
      <c r="BH121" s="54">
        <v>2.4329999999999998E-3</v>
      </c>
      <c r="BI121" s="61">
        <v>2731.2</v>
      </c>
      <c r="BJ121" s="53">
        <v>411</v>
      </c>
      <c r="BK121" s="54">
        <v>2.4329999999999998E-3</v>
      </c>
      <c r="BL121" s="61">
        <v>2731.2</v>
      </c>
    </row>
    <row r="122" spans="41:64">
      <c r="AO122" s="53">
        <v>379</v>
      </c>
      <c r="AP122" s="54">
        <v>2.6385200000000001E-3</v>
      </c>
      <c r="AQ122" s="62">
        <v>3310.7689999999998</v>
      </c>
      <c r="AR122" s="53">
        <v>386</v>
      </c>
      <c r="AS122" s="54">
        <v>2.5906739999999998E-3</v>
      </c>
      <c r="AT122" s="62">
        <v>3308.5520000000001</v>
      </c>
      <c r="AU122" s="53">
        <v>394</v>
      </c>
      <c r="AV122" s="54">
        <v>2.5380699999999999E-3</v>
      </c>
      <c r="AW122" s="62">
        <v>3157.922</v>
      </c>
      <c r="AX122" s="95">
        <v>403</v>
      </c>
      <c r="AY122" s="54">
        <f t="shared" si="2"/>
        <v>2.4813895781637717E-3</v>
      </c>
      <c r="AZ122" s="100">
        <v>3031.0502999999999</v>
      </c>
      <c r="BA122" s="95">
        <v>412</v>
      </c>
      <c r="BB122" s="97">
        <v>2.4271844660194173E-3</v>
      </c>
      <c r="BC122" s="109">
        <v>2862.1176999999998</v>
      </c>
      <c r="BD122" s="53">
        <v>394</v>
      </c>
      <c r="BE122" s="54">
        <v>2.5379999999999999E-3</v>
      </c>
      <c r="BF122" s="15">
        <v>4772.1000000000004</v>
      </c>
      <c r="BG122" s="53">
        <v>412</v>
      </c>
      <c r="BH122" s="54">
        <v>2.4269999999999999E-3</v>
      </c>
      <c r="BI122" s="61">
        <v>2862.1</v>
      </c>
      <c r="BJ122" s="53">
        <v>412</v>
      </c>
      <c r="BK122" s="54">
        <v>2.4269999999999999E-3</v>
      </c>
      <c r="BL122" s="61">
        <v>2862.1</v>
      </c>
    </row>
    <row r="123" spans="41:64">
      <c r="AO123" s="53">
        <v>380</v>
      </c>
      <c r="AP123" s="54">
        <v>2.6315800000000001E-3</v>
      </c>
      <c r="AQ123" s="62">
        <v>3469.4375</v>
      </c>
      <c r="AR123" s="53">
        <v>387</v>
      </c>
      <c r="AS123" s="54">
        <v>2.5839790000000001E-3</v>
      </c>
      <c r="AT123" s="62">
        <v>3466.8829999999998</v>
      </c>
      <c r="AU123" s="53">
        <v>395</v>
      </c>
      <c r="AV123" s="54">
        <v>2.5316499999999999E-3</v>
      </c>
      <c r="AW123" s="62">
        <v>3309.0630000000001</v>
      </c>
      <c r="AX123" s="95">
        <v>404</v>
      </c>
      <c r="AY123" s="54">
        <f t="shared" si="2"/>
        <v>2.4752475247524753E-3</v>
      </c>
      <c r="AZ123" s="100">
        <v>3175.7067999999999</v>
      </c>
      <c r="BA123" s="95">
        <v>413</v>
      </c>
      <c r="BB123" s="97">
        <v>2.4213075060532689E-3</v>
      </c>
      <c r="BC123" s="109">
        <v>2998.4391999999998</v>
      </c>
      <c r="BD123" s="53">
        <v>395</v>
      </c>
      <c r="BE123" s="54">
        <v>2.532E-3</v>
      </c>
      <c r="BF123" s="15">
        <v>4989.7</v>
      </c>
      <c r="BG123" s="53">
        <v>413</v>
      </c>
      <c r="BH123" s="54">
        <v>2.421E-3</v>
      </c>
      <c r="BI123" s="61">
        <v>2998.4</v>
      </c>
      <c r="BJ123" s="53">
        <v>413</v>
      </c>
      <c r="BK123" s="54">
        <v>2.421E-3</v>
      </c>
      <c r="BL123" s="61">
        <v>2998.4</v>
      </c>
    </row>
    <row r="124" spans="41:64">
      <c r="AO124" s="53">
        <v>381</v>
      </c>
      <c r="AP124" s="54">
        <v>2.62467E-3</v>
      </c>
      <c r="AQ124" s="62">
        <v>3634.6945999999998</v>
      </c>
      <c r="AR124" s="53">
        <v>388</v>
      </c>
      <c r="AS124" s="54">
        <v>2.5773200000000001E-3</v>
      </c>
      <c r="AT124" s="62">
        <v>3631.777</v>
      </c>
      <c r="AU124" s="53">
        <v>396</v>
      </c>
      <c r="AV124" s="54">
        <v>2.5252500000000002E-3</v>
      </c>
      <c r="AW124" s="62">
        <v>3466.473</v>
      </c>
      <c r="AX124" s="95">
        <v>405</v>
      </c>
      <c r="AY124" s="54">
        <f t="shared" si="2"/>
        <v>2.4691358024691358E-3</v>
      </c>
      <c r="AZ124" s="100">
        <v>3326.3474000000001</v>
      </c>
      <c r="BA124" s="95">
        <v>414</v>
      </c>
      <c r="BB124" s="97">
        <v>2.4154589371980675E-3</v>
      </c>
      <c r="BC124" s="109">
        <v>3140.3901000000001</v>
      </c>
      <c r="BD124" s="53">
        <v>396</v>
      </c>
      <c r="BE124" s="54">
        <v>2.5249999999999999E-3</v>
      </c>
      <c r="BF124" s="15">
        <v>5215.8</v>
      </c>
      <c r="BG124" s="53">
        <v>414</v>
      </c>
      <c r="BH124" s="54">
        <v>2.415E-3</v>
      </c>
      <c r="BI124" s="61">
        <v>3140.4</v>
      </c>
      <c r="BJ124" s="53">
        <v>414</v>
      </c>
      <c r="BK124" s="54">
        <v>2.415E-3</v>
      </c>
      <c r="BL124" s="61">
        <v>3140.4</v>
      </c>
    </row>
    <row r="125" spans="41:64">
      <c r="AO125" s="53">
        <v>382</v>
      </c>
      <c r="AP125" s="54">
        <v>2.6178E-3</v>
      </c>
      <c r="AQ125" s="62">
        <v>3806.7687999999998</v>
      </c>
      <c r="AR125" s="53">
        <v>389</v>
      </c>
      <c r="AS125" s="54">
        <v>2.5706940000000001E-3</v>
      </c>
      <c r="AT125" s="62">
        <v>3803.4630000000002</v>
      </c>
      <c r="AU125" s="53">
        <v>397</v>
      </c>
      <c r="AV125" s="54">
        <v>2.5188900000000002E-3</v>
      </c>
      <c r="AW125" s="62">
        <v>3630.3679999999999</v>
      </c>
      <c r="AX125" s="95">
        <v>406</v>
      </c>
      <c r="AY125" s="54">
        <f t="shared" si="2"/>
        <v>2.4630541871921183E-3</v>
      </c>
      <c r="AZ125" s="100">
        <v>3483.1781999999998</v>
      </c>
      <c r="BA125" s="95">
        <v>415</v>
      </c>
      <c r="BB125" s="97">
        <v>2.4096385542168677E-3</v>
      </c>
      <c r="BC125" s="109">
        <v>3288.1640000000002</v>
      </c>
      <c r="BD125" s="53">
        <v>397</v>
      </c>
      <c r="BE125" s="54">
        <v>2.519E-3</v>
      </c>
      <c r="BF125" s="15">
        <v>5450.7</v>
      </c>
      <c r="BG125" s="53">
        <v>415</v>
      </c>
      <c r="BH125" s="54">
        <v>2.4099999999999998E-3</v>
      </c>
      <c r="BI125" s="61">
        <v>3288.2</v>
      </c>
      <c r="BJ125" s="53">
        <v>415</v>
      </c>
      <c r="BK125" s="54">
        <v>2.4099999999999998E-3</v>
      </c>
      <c r="BL125" s="61">
        <v>3288.2</v>
      </c>
    </row>
    <row r="126" spans="41:64">
      <c r="AO126" s="53">
        <v>383</v>
      </c>
      <c r="AP126" s="54">
        <v>2.6109699999999998E-3</v>
      </c>
      <c r="AQ126" s="62">
        <v>3985.8942999999999</v>
      </c>
      <c r="AR126" s="53">
        <v>390</v>
      </c>
      <c r="AS126" s="54">
        <v>2.5641029999999999E-3</v>
      </c>
      <c r="AT126" s="62">
        <v>3982.172</v>
      </c>
      <c r="AU126" s="53">
        <v>398</v>
      </c>
      <c r="AV126" s="54">
        <v>2.5125600000000001E-3</v>
      </c>
      <c r="AW126" s="62">
        <v>3800.9720000000002</v>
      </c>
      <c r="AX126" s="95">
        <v>407</v>
      </c>
      <c r="AY126" s="54">
        <f t="shared" si="2"/>
        <v>2.4570024570024569E-3</v>
      </c>
      <c r="AZ126" s="100">
        <v>3646.4110000000001</v>
      </c>
      <c r="BA126" s="95">
        <v>416</v>
      </c>
      <c r="BB126" s="97">
        <v>2.403846153846154E-3</v>
      </c>
      <c r="BC126" s="109">
        <v>3441.96</v>
      </c>
      <c r="BD126" s="53">
        <v>398</v>
      </c>
      <c r="BE126" s="54">
        <v>2.513E-3</v>
      </c>
      <c r="BF126" s="15">
        <v>5694.8</v>
      </c>
      <c r="BG126" s="53">
        <v>416</v>
      </c>
      <c r="BH126" s="54">
        <v>2.4039999999999999E-3</v>
      </c>
      <c r="BI126" s="61">
        <v>3442</v>
      </c>
      <c r="BJ126" s="53">
        <v>416</v>
      </c>
      <c r="BK126" s="54">
        <v>2.4039999999999999E-3</v>
      </c>
      <c r="BL126" s="61">
        <v>3442</v>
      </c>
    </row>
    <row r="127" spans="41:64">
      <c r="AO127" s="53">
        <v>384</v>
      </c>
      <c r="AP127" s="54">
        <v>2.6041699999999998E-3</v>
      </c>
      <c r="AQ127" s="62">
        <v>4172.3125</v>
      </c>
      <c r="AR127" s="53">
        <v>391</v>
      </c>
      <c r="AS127" s="54">
        <v>2.557545E-3</v>
      </c>
      <c r="AT127" s="62">
        <v>4168.1450000000004</v>
      </c>
      <c r="AU127" s="53">
        <v>399</v>
      </c>
      <c r="AV127" s="54">
        <v>2.5062700000000001E-3</v>
      </c>
      <c r="AW127" s="62">
        <v>3978.5120000000002</v>
      </c>
      <c r="AX127" s="95">
        <v>408</v>
      </c>
      <c r="AY127" s="54">
        <f t="shared" si="2"/>
        <v>2.4509803921568627E-3</v>
      </c>
      <c r="AZ127" s="100">
        <v>3816.2627000000002</v>
      </c>
      <c r="BA127" s="95">
        <v>417</v>
      </c>
      <c r="BB127" s="97">
        <v>2.3980815347721821E-3</v>
      </c>
      <c r="BC127" s="109">
        <v>3601.9814000000001</v>
      </c>
      <c r="BD127" s="53">
        <v>399</v>
      </c>
      <c r="BE127" s="54">
        <v>2.506E-3</v>
      </c>
      <c r="BF127" s="15">
        <v>5948.2</v>
      </c>
      <c r="BG127" s="53">
        <v>417</v>
      </c>
      <c r="BH127" s="54">
        <v>2.398E-3</v>
      </c>
      <c r="BI127" s="61">
        <v>3602</v>
      </c>
      <c r="BJ127" s="53">
        <v>417</v>
      </c>
      <c r="BK127" s="54">
        <v>2.398E-3</v>
      </c>
      <c r="BL127" s="61">
        <v>3602</v>
      </c>
    </row>
    <row r="128" spans="41:64">
      <c r="AO128" s="53">
        <v>385</v>
      </c>
      <c r="AP128" s="54">
        <v>2.5974000000000001E-3</v>
      </c>
      <c r="AQ128" s="62">
        <v>4366.2700000000004</v>
      </c>
      <c r="AR128" s="53">
        <v>392</v>
      </c>
      <c r="AS128" s="54">
        <v>2.5510200000000002E-3</v>
      </c>
      <c r="AT128" s="62">
        <v>4361.625</v>
      </c>
      <c r="AU128" s="53">
        <v>400</v>
      </c>
      <c r="AV128" s="54">
        <v>2.5000000000000001E-3</v>
      </c>
      <c r="AW128" s="62">
        <v>4163.223</v>
      </c>
      <c r="AX128" s="95">
        <v>409</v>
      </c>
      <c r="AY128" s="54">
        <f t="shared" si="2"/>
        <v>2.4449877750611247E-3</v>
      </c>
      <c r="AZ128" s="100">
        <v>3992.9564999999998</v>
      </c>
      <c r="BA128" s="95">
        <v>418</v>
      </c>
      <c r="BB128" s="97">
        <v>2.3923444976076554E-3</v>
      </c>
      <c r="BC128" s="109">
        <v>3768.4380000000001</v>
      </c>
      <c r="BD128" s="53">
        <v>400</v>
      </c>
      <c r="BE128" s="54">
        <v>2.5000000000000001E-3</v>
      </c>
      <c r="BF128" s="15">
        <v>6211.4</v>
      </c>
      <c r="BG128" s="53">
        <v>418</v>
      </c>
      <c r="BH128" s="54">
        <v>2.392E-3</v>
      </c>
      <c r="BI128" s="61">
        <v>3768.4</v>
      </c>
      <c r="BJ128" s="53">
        <v>418</v>
      </c>
      <c r="BK128" s="54">
        <v>2.392E-3</v>
      </c>
      <c r="BL128" s="61">
        <v>3768.4</v>
      </c>
    </row>
    <row r="129" spans="41:64">
      <c r="AO129" s="53">
        <v>386</v>
      </c>
      <c r="AP129" s="54">
        <v>2.5906700000000002E-3</v>
      </c>
      <c r="AQ129" s="62">
        <v>4568.0204999999996</v>
      </c>
      <c r="AR129" s="53">
        <v>393</v>
      </c>
      <c r="AS129" s="54">
        <v>2.5445289999999998E-3</v>
      </c>
      <c r="AT129" s="62">
        <v>4562.8670000000002</v>
      </c>
      <c r="AU129" s="53">
        <v>401</v>
      </c>
      <c r="AV129" s="54">
        <v>2.4937700000000002E-3</v>
      </c>
      <c r="AW129" s="62">
        <v>4355.3450000000003</v>
      </c>
      <c r="AX129" s="95">
        <v>410</v>
      </c>
      <c r="AY129" s="54">
        <f t="shared" si="2"/>
        <v>2.4390243902439024E-3</v>
      </c>
      <c r="AZ129" s="100">
        <v>4176.7217000000001</v>
      </c>
      <c r="BA129" s="95">
        <v>419</v>
      </c>
      <c r="BB129" s="97">
        <v>2.3866348448687352E-3</v>
      </c>
      <c r="BC129" s="109">
        <v>3941.5441999999998</v>
      </c>
      <c r="BD129" s="53">
        <v>401</v>
      </c>
      <c r="BE129" s="54">
        <v>2.4940000000000001E-3</v>
      </c>
      <c r="BF129" s="15">
        <v>6484.6</v>
      </c>
      <c r="BG129" s="53">
        <v>419</v>
      </c>
      <c r="BH129" s="54">
        <v>2.3869999999999998E-3</v>
      </c>
      <c r="BI129" s="61">
        <v>3941.5</v>
      </c>
      <c r="BJ129" s="53">
        <v>419</v>
      </c>
      <c r="BK129" s="54">
        <v>2.3869999999999998E-3</v>
      </c>
      <c r="BL129" s="61">
        <v>3941.5</v>
      </c>
    </row>
    <row r="130" spans="41:64">
      <c r="AO130" s="53">
        <v>387</v>
      </c>
      <c r="AP130" s="54">
        <v>2.58398E-3</v>
      </c>
      <c r="AQ130" s="62">
        <v>4777.8249999999998</v>
      </c>
      <c r="AR130" s="53">
        <v>394</v>
      </c>
      <c r="AS130" s="54">
        <v>2.5380709999999998E-3</v>
      </c>
      <c r="AT130" s="62">
        <v>4772.1270000000004</v>
      </c>
      <c r="AU130" s="53">
        <v>402</v>
      </c>
      <c r="AV130" s="54">
        <v>2.4875600000000002E-3</v>
      </c>
      <c r="AW130" s="62">
        <v>4555.1260000000002</v>
      </c>
      <c r="AX130" s="95">
        <v>411</v>
      </c>
      <c r="AY130" s="54">
        <f t="shared" si="2"/>
        <v>2.4330900243309003E-3</v>
      </c>
      <c r="AZ130" s="100">
        <v>4367.7920000000004</v>
      </c>
      <c r="BA130" s="95">
        <v>420</v>
      </c>
      <c r="BB130" s="97">
        <v>2.3809523809523812E-3</v>
      </c>
      <c r="BC130" s="109">
        <v>4121.5200000000004</v>
      </c>
      <c r="BD130" s="53">
        <v>402</v>
      </c>
      <c r="BE130" s="54">
        <v>2.4880000000000002E-3</v>
      </c>
      <c r="BF130" s="15">
        <v>6768.1</v>
      </c>
      <c r="BG130" s="53">
        <v>420</v>
      </c>
      <c r="BH130" s="54">
        <v>2.3809999999999999E-3</v>
      </c>
      <c r="BI130" s="61">
        <v>4121.5</v>
      </c>
      <c r="BJ130" s="53">
        <v>420</v>
      </c>
      <c r="BK130" s="54">
        <v>2.3809999999999999E-3</v>
      </c>
      <c r="BL130" s="61">
        <v>4121.5</v>
      </c>
    </row>
    <row r="131" spans="41:64">
      <c r="AO131" s="53">
        <v>388</v>
      </c>
      <c r="AP131" s="54">
        <v>2.5773200000000001E-3</v>
      </c>
      <c r="AQ131" s="62">
        <v>4995.95</v>
      </c>
      <c r="AR131" s="53">
        <v>395</v>
      </c>
      <c r="AS131" s="54">
        <v>2.5316459999999998E-3</v>
      </c>
      <c r="AT131" s="62">
        <v>4989.6710000000003</v>
      </c>
      <c r="AU131" s="53">
        <v>403</v>
      </c>
      <c r="AV131" s="54">
        <v>2.48139E-3</v>
      </c>
      <c r="AW131" s="62">
        <v>4762.8180000000002</v>
      </c>
      <c r="AX131" s="95">
        <v>412</v>
      </c>
      <c r="AY131" s="54">
        <f t="shared" si="2"/>
        <v>2.4271844660194173E-3</v>
      </c>
      <c r="AZ131" s="100">
        <v>4566.4087</v>
      </c>
      <c r="BA131" s="95">
        <v>421</v>
      </c>
      <c r="BB131" s="97">
        <v>2.3752969121140144E-3</v>
      </c>
      <c r="BC131" s="109">
        <v>4308.5913</v>
      </c>
      <c r="BD131" s="53">
        <v>403</v>
      </c>
      <c r="BE131" s="54">
        <v>2.4810000000000001E-3</v>
      </c>
      <c r="BF131" s="15">
        <v>7062.3</v>
      </c>
      <c r="BG131" s="53">
        <v>421</v>
      </c>
      <c r="BH131" s="54">
        <v>2.3749999999999999E-3</v>
      </c>
      <c r="BI131" s="61">
        <v>4308.6000000000004</v>
      </c>
      <c r="BJ131" s="53">
        <v>421</v>
      </c>
      <c r="BK131" s="54">
        <v>2.3749999999999999E-3</v>
      </c>
      <c r="BL131" s="61">
        <v>4308.6000000000004</v>
      </c>
    </row>
    <row r="132" spans="41:64">
      <c r="AO132" s="53">
        <v>389</v>
      </c>
      <c r="AP132" s="54">
        <v>2.57069E-3</v>
      </c>
      <c r="AQ132" s="62">
        <v>5222.67</v>
      </c>
      <c r="AR132" s="53">
        <v>396</v>
      </c>
      <c r="AS132" s="54">
        <v>2.5252529999999999E-3</v>
      </c>
      <c r="AT132" s="62">
        <v>5215.7709999999997</v>
      </c>
      <c r="AU132" s="53">
        <v>404</v>
      </c>
      <c r="AV132" s="54">
        <v>2.47525E-3</v>
      </c>
      <c r="AW132" s="62">
        <v>4978.6809999999996</v>
      </c>
      <c r="AX132" s="95">
        <v>413</v>
      </c>
      <c r="AY132" s="54">
        <f t="shared" si="2"/>
        <v>2.4213075060532689E-3</v>
      </c>
      <c r="AZ132" s="100">
        <v>4772.8180000000002</v>
      </c>
      <c r="BA132" s="95">
        <v>422</v>
      </c>
      <c r="BB132" s="97">
        <v>2.3696682464454978E-3</v>
      </c>
      <c r="BC132" s="109">
        <v>4502.9893000000002</v>
      </c>
      <c r="BD132" s="53">
        <v>404</v>
      </c>
      <c r="BE132" s="54">
        <v>2.4750000000000002E-3</v>
      </c>
      <c r="BF132" s="15">
        <v>7367.5</v>
      </c>
      <c r="BG132" s="53">
        <v>422</v>
      </c>
      <c r="BH132" s="54">
        <v>2.3700000000000001E-3</v>
      </c>
      <c r="BI132" s="61">
        <v>4503</v>
      </c>
      <c r="BJ132" s="53">
        <v>422</v>
      </c>
      <c r="BK132" s="54">
        <v>2.3700000000000001E-3</v>
      </c>
      <c r="BL132" s="61">
        <v>4503</v>
      </c>
    </row>
    <row r="133" spans="41:64">
      <c r="AO133" s="53">
        <v>390</v>
      </c>
      <c r="AP133" s="54">
        <v>2.5641000000000001E-3</v>
      </c>
      <c r="AQ133" s="62">
        <v>5458.2646000000004</v>
      </c>
      <c r="AR133" s="53">
        <v>397</v>
      </c>
      <c r="AS133" s="54">
        <v>2.518892E-3</v>
      </c>
      <c r="AT133" s="62">
        <v>5450.7060000000001</v>
      </c>
      <c r="AU133" s="53">
        <v>405</v>
      </c>
      <c r="AV133" s="54">
        <v>2.4691399999999999E-3</v>
      </c>
      <c r="AW133" s="62">
        <v>5202.9809999999998</v>
      </c>
      <c r="AX133" s="95">
        <v>414</v>
      </c>
      <c r="AY133" s="54">
        <f t="shared" si="2"/>
        <v>2.4154589371980675E-3</v>
      </c>
      <c r="AZ133" s="100">
        <v>4987.2725</v>
      </c>
      <c r="BA133" s="95">
        <v>423</v>
      </c>
      <c r="BB133" s="97">
        <v>2.3640661938534278E-3</v>
      </c>
      <c r="BC133" s="109">
        <v>4704.951</v>
      </c>
      <c r="BD133" s="53">
        <v>405</v>
      </c>
      <c r="BE133" s="54">
        <v>2.4689999999999998E-3</v>
      </c>
      <c r="BF133" s="15">
        <v>7684</v>
      </c>
      <c r="BG133" s="53">
        <v>423</v>
      </c>
      <c r="BH133" s="54">
        <v>2.3640000000000002E-3</v>
      </c>
      <c r="BI133" s="61">
        <v>4705</v>
      </c>
      <c r="BJ133" s="53">
        <v>423</v>
      </c>
      <c r="BK133" s="54">
        <v>2.3640000000000002E-3</v>
      </c>
      <c r="BL133" s="61">
        <v>4705</v>
      </c>
    </row>
    <row r="134" spans="41:64">
      <c r="AO134" s="53">
        <v>391</v>
      </c>
      <c r="AP134" s="54">
        <v>2.5575400000000001E-3</v>
      </c>
      <c r="AQ134" s="62">
        <v>5703.0230000000001</v>
      </c>
      <c r="AR134" s="53">
        <v>398</v>
      </c>
      <c r="AS134" s="54">
        <v>2.5125630000000002E-3</v>
      </c>
      <c r="AT134" s="62">
        <v>5694.76</v>
      </c>
      <c r="AU134" s="53">
        <v>406</v>
      </c>
      <c r="AV134" s="54">
        <v>2.46305E-3</v>
      </c>
      <c r="AW134" s="62">
        <v>5435.99</v>
      </c>
      <c r="AX134" s="95">
        <v>415</v>
      </c>
      <c r="AY134" s="54">
        <f t="shared" si="2"/>
        <v>2.4096385542168677E-3</v>
      </c>
      <c r="AZ134" s="100">
        <v>5210.0316999999995</v>
      </c>
      <c r="BA134" s="95">
        <v>424</v>
      </c>
      <c r="BB134" s="97">
        <v>2.3584905660377358E-3</v>
      </c>
      <c r="BC134" s="109">
        <v>4914.7196999999996</v>
      </c>
      <c r="BD134" s="53">
        <v>406</v>
      </c>
      <c r="BE134" s="54">
        <v>2.4629999999999999E-3</v>
      </c>
      <c r="BF134" s="15">
        <v>8012.2</v>
      </c>
      <c r="BG134" s="53">
        <v>424</v>
      </c>
      <c r="BH134" s="54">
        <v>2.3579999999999999E-3</v>
      </c>
      <c r="BI134" s="61">
        <v>4914.7</v>
      </c>
      <c r="BJ134" s="53">
        <v>424</v>
      </c>
      <c r="BK134" s="54">
        <v>2.3579999999999999E-3</v>
      </c>
      <c r="BL134" s="61">
        <v>4914.7</v>
      </c>
    </row>
    <row r="135" spans="41:64">
      <c r="AO135" s="53">
        <v>392</v>
      </c>
      <c r="AP135" s="54">
        <v>2.5510200000000002E-3</v>
      </c>
      <c r="AQ135" s="62">
        <v>5957.2397000000001</v>
      </c>
      <c r="AR135" s="53">
        <v>399</v>
      </c>
      <c r="AS135" s="54">
        <v>2.506266E-3</v>
      </c>
      <c r="AT135" s="62">
        <v>5948.2280000000001</v>
      </c>
      <c r="AU135" s="53">
        <v>407</v>
      </c>
      <c r="AV135" s="54">
        <v>2.457E-3</v>
      </c>
      <c r="AW135" s="62">
        <v>5677.9880000000003</v>
      </c>
      <c r="AX135" s="95">
        <v>416</v>
      </c>
      <c r="AY135" s="54">
        <f t="shared" si="2"/>
        <v>2.403846153846154E-3</v>
      </c>
      <c r="AZ135" s="100">
        <v>5441.3609999999999</v>
      </c>
      <c r="BA135" s="95">
        <v>425</v>
      </c>
      <c r="BB135" s="97">
        <v>2.352941176470588E-3</v>
      </c>
      <c r="BC135" s="109">
        <v>5132.5434999999998</v>
      </c>
      <c r="BD135" s="53">
        <v>407</v>
      </c>
      <c r="BE135" s="54">
        <v>2.457E-3</v>
      </c>
      <c r="BF135" s="15">
        <v>8352.4</v>
      </c>
      <c r="BG135" s="53">
        <v>425</v>
      </c>
      <c r="BH135" s="54">
        <v>2.3530000000000001E-3</v>
      </c>
      <c r="BI135" s="61">
        <v>5132.5</v>
      </c>
      <c r="BJ135" s="53">
        <v>425</v>
      </c>
      <c r="BK135" s="54">
        <v>2.3530000000000001E-3</v>
      </c>
      <c r="BL135" s="61">
        <v>5132.5</v>
      </c>
    </row>
    <row r="136" spans="41:64">
      <c r="AO136" s="53">
        <v>393</v>
      </c>
      <c r="AP136" s="54">
        <v>2.5445300000000001E-3</v>
      </c>
      <c r="AQ136" s="62">
        <v>6221.2173000000003</v>
      </c>
      <c r="AR136" s="53">
        <v>400</v>
      </c>
      <c r="AS136" s="54">
        <v>2.5000000000000001E-3</v>
      </c>
      <c r="AT136" s="62">
        <v>6211.4070000000002</v>
      </c>
      <c r="AU136" s="53">
        <v>408</v>
      </c>
      <c r="AV136" s="54">
        <v>2.4509800000000002E-3</v>
      </c>
      <c r="AW136" s="62">
        <v>5929.2610000000004</v>
      </c>
      <c r="AX136" s="95">
        <v>417</v>
      </c>
      <c r="AY136" s="54">
        <f t="shared" si="2"/>
        <v>2.3980815347721821E-3</v>
      </c>
      <c r="AZ136" s="100">
        <v>5681.5316999999995</v>
      </c>
      <c r="BA136" s="95">
        <v>426</v>
      </c>
      <c r="BB136" s="97">
        <v>2.3474178403755869E-3</v>
      </c>
      <c r="BC136" s="109">
        <v>5358.6772000000001</v>
      </c>
      <c r="BD136" s="53">
        <v>408</v>
      </c>
      <c r="BE136" s="54">
        <v>2.4510000000000001E-3</v>
      </c>
      <c r="BF136" s="15">
        <v>8704.9</v>
      </c>
      <c r="BG136" s="53">
        <v>426</v>
      </c>
      <c r="BH136" s="54">
        <v>2.3470000000000001E-3</v>
      </c>
      <c r="BI136" s="61">
        <v>5358.7</v>
      </c>
      <c r="BJ136" s="53">
        <v>426</v>
      </c>
      <c r="BK136" s="54">
        <v>2.3470000000000001E-3</v>
      </c>
      <c r="BL136" s="61">
        <v>5358.7</v>
      </c>
    </row>
    <row r="137" spans="41:64">
      <c r="AO137" s="53">
        <v>394</v>
      </c>
      <c r="AP137" s="54">
        <v>2.5380699999999999E-3</v>
      </c>
      <c r="AQ137" s="62">
        <v>6495.2655999999997</v>
      </c>
      <c r="AR137" s="53">
        <v>401</v>
      </c>
      <c r="AS137" s="54">
        <v>2.4937660000000001E-3</v>
      </c>
      <c r="AT137" s="62">
        <v>6484.6009999999997</v>
      </c>
      <c r="AU137" s="53">
        <v>409</v>
      </c>
      <c r="AV137" s="54">
        <v>2.4449900000000002E-3</v>
      </c>
      <c r="AW137" s="62">
        <v>6190.1019999999999</v>
      </c>
      <c r="AX137" s="95">
        <v>418</v>
      </c>
      <c r="AY137" s="54">
        <f t="shared" si="2"/>
        <v>2.3923444976076554E-3</v>
      </c>
      <c r="AZ137" s="100">
        <v>5930.8222999999998</v>
      </c>
      <c r="BA137" s="95">
        <v>427</v>
      </c>
      <c r="BB137" s="97">
        <v>2.34192037470726E-3</v>
      </c>
      <c r="BC137" s="109">
        <v>5593.3823000000002</v>
      </c>
      <c r="BD137" s="53">
        <v>409</v>
      </c>
      <c r="BE137" s="54">
        <v>2.4450000000000001E-3</v>
      </c>
      <c r="BF137" s="15">
        <v>9070.2999999999993</v>
      </c>
      <c r="BG137" s="53">
        <v>427</v>
      </c>
      <c r="BH137" s="54">
        <v>2.3419999999999999E-3</v>
      </c>
      <c r="BI137" s="61">
        <v>5593.4</v>
      </c>
      <c r="BJ137" s="53">
        <v>427</v>
      </c>
      <c r="BK137" s="54">
        <v>2.3419999999999999E-3</v>
      </c>
      <c r="BL137" s="61">
        <v>5593.4</v>
      </c>
    </row>
    <row r="138" spans="41:64">
      <c r="AO138" s="53">
        <v>395</v>
      </c>
      <c r="AP138" s="54">
        <v>2.5316499999999999E-3</v>
      </c>
      <c r="AQ138" s="62">
        <v>6779.7016999999996</v>
      </c>
      <c r="AR138" s="53">
        <v>402</v>
      </c>
      <c r="AS138" s="54">
        <v>2.487562E-3</v>
      </c>
      <c r="AT138" s="62">
        <v>6768.134</v>
      </c>
      <c r="AU138" s="53">
        <v>410</v>
      </c>
      <c r="AV138" s="54">
        <v>2.4390200000000001E-3</v>
      </c>
      <c r="AW138" s="62">
        <v>6460.8109999999997</v>
      </c>
      <c r="AX138" s="95">
        <v>419</v>
      </c>
      <c r="AY138" s="54">
        <f t="shared" si="2"/>
        <v>2.3866348448687352E-3</v>
      </c>
      <c r="AZ138" s="100">
        <v>6189.5176000000001</v>
      </c>
      <c r="BA138" s="95">
        <v>428</v>
      </c>
      <c r="BB138" s="97">
        <v>2.3364485981308409E-3</v>
      </c>
      <c r="BC138" s="109">
        <v>5836.9242999999997</v>
      </c>
      <c r="BD138" s="53">
        <v>410</v>
      </c>
      <c r="BE138" s="54">
        <v>2.4390000000000002E-3</v>
      </c>
      <c r="BF138" s="15">
        <v>9448.7000000000007</v>
      </c>
      <c r="BG138" s="53">
        <v>428</v>
      </c>
      <c r="BH138" s="54">
        <v>2.336E-3</v>
      </c>
      <c r="BI138" s="61">
        <v>5836.9</v>
      </c>
      <c r="BJ138" s="53">
        <v>428</v>
      </c>
      <c r="BK138" s="54">
        <v>2.336E-3</v>
      </c>
      <c r="BL138" s="61">
        <v>5836.9</v>
      </c>
    </row>
    <row r="139" spans="41:64">
      <c r="AO139" s="53">
        <v>396</v>
      </c>
      <c r="AP139" s="54">
        <v>2.5252500000000002E-3</v>
      </c>
      <c r="AQ139" s="62">
        <v>7074.8505999999998</v>
      </c>
      <c r="AR139" s="53">
        <v>403</v>
      </c>
      <c r="AS139" s="54">
        <v>2.48139E-3</v>
      </c>
      <c r="AT139" s="62">
        <v>7062.3249999999998</v>
      </c>
      <c r="AU139" s="53">
        <v>411</v>
      </c>
      <c r="AV139" s="54">
        <v>2.4330900000000002E-3</v>
      </c>
      <c r="AW139" s="62">
        <v>6741.6959999999999</v>
      </c>
      <c r="AX139" s="95">
        <v>420</v>
      </c>
      <c r="AY139" s="54">
        <f t="shared" si="2"/>
        <v>2.3809523809523812E-3</v>
      </c>
      <c r="AZ139" s="100">
        <v>6457.9089999999997</v>
      </c>
      <c r="BA139" s="95">
        <v>429</v>
      </c>
      <c r="BB139" s="97">
        <v>2.331002331002331E-3</v>
      </c>
      <c r="BC139" s="109">
        <v>6089.5780000000004</v>
      </c>
      <c r="BD139" s="53">
        <v>411</v>
      </c>
      <c r="BE139" s="54">
        <v>2.4329999999999998E-3</v>
      </c>
      <c r="BF139" s="15">
        <v>9840.7000000000007</v>
      </c>
      <c r="BG139" s="53">
        <v>429</v>
      </c>
      <c r="BH139" s="54">
        <v>2.3310000000000002E-3</v>
      </c>
      <c r="BI139" s="61">
        <v>6089.6</v>
      </c>
      <c r="BJ139" s="53">
        <v>429</v>
      </c>
      <c r="BK139" s="54">
        <v>2.3310000000000002E-3</v>
      </c>
      <c r="BL139" s="61">
        <v>6089.6</v>
      </c>
    </row>
    <row r="140" spans="41:64">
      <c r="AO140" s="53">
        <v>397</v>
      </c>
      <c r="AP140" s="54">
        <v>2.5188900000000002E-3</v>
      </c>
      <c r="AQ140" s="62">
        <v>7381.0450000000001</v>
      </c>
      <c r="AR140" s="53">
        <v>404</v>
      </c>
      <c r="AS140" s="54">
        <v>2.4752480000000002E-3</v>
      </c>
      <c r="AT140" s="62">
        <v>7367.5010000000002</v>
      </c>
      <c r="AU140" s="53">
        <v>412</v>
      </c>
      <c r="AV140" s="54">
        <v>2.4271800000000001E-3</v>
      </c>
      <c r="AW140" s="62">
        <v>7033.07</v>
      </c>
      <c r="AX140" s="95">
        <v>421</v>
      </c>
      <c r="AY140" s="54">
        <f t="shared" si="2"/>
        <v>2.3752969121140144E-3</v>
      </c>
      <c r="AZ140" s="100">
        <v>6736.2954</v>
      </c>
      <c r="BA140" s="95">
        <v>430</v>
      </c>
      <c r="BB140" s="97">
        <v>2.3255813953488372E-3</v>
      </c>
      <c r="BC140" s="109">
        <v>6351.6216000000004</v>
      </c>
      <c r="BD140" s="53">
        <v>412</v>
      </c>
      <c r="BE140" s="54">
        <v>2.4269999999999999E-3</v>
      </c>
      <c r="BF140" s="15">
        <v>10247</v>
      </c>
      <c r="BG140" s="53">
        <v>430</v>
      </c>
      <c r="BH140" s="54">
        <v>2.3259999999999999E-3</v>
      </c>
      <c r="BI140" s="61">
        <v>6351.6</v>
      </c>
      <c r="BJ140" s="53">
        <v>430</v>
      </c>
      <c r="BK140" s="54">
        <v>2.3259999999999999E-3</v>
      </c>
      <c r="BL140" s="61">
        <v>6351.6</v>
      </c>
    </row>
    <row r="141" spans="41:64">
      <c r="AO141" s="53">
        <v>398</v>
      </c>
      <c r="AP141" s="54">
        <v>2.5125600000000001E-3</v>
      </c>
      <c r="AQ141" s="62">
        <v>7698.6255000000001</v>
      </c>
      <c r="AR141" s="53">
        <v>405</v>
      </c>
      <c r="AS141" s="54">
        <v>2.4691359999999998E-3</v>
      </c>
      <c r="AT141" s="62">
        <v>7684</v>
      </c>
      <c r="AU141" s="53">
        <v>413</v>
      </c>
      <c r="AV141" s="54">
        <v>2.4213099999999999E-3</v>
      </c>
      <c r="AW141" s="62">
        <v>7335.2560000000003</v>
      </c>
      <c r="AX141" s="95">
        <v>422</v>
      </c>
      <c r="AY141" s="54">
        <f t="shared" si="2"/>
        <v>2.3696682464454978E-3</v>
      </c>
      <c r="AZ141" s="100">
        <v>7024.9813999999997</v>
      </c>
      <c r="BA141" s="95">
        <v>431</v>
      </c>
      <c r="BB141" s="97">
        <v>2.3201856148491878E-3</v>
      </c>
      <c r="BC141" s="109">
        <v>6623.3413</v>
      </c>
      <c r="BD141" s="53">
        <v>413</v>
      </c>
      <c r="BE141" s="54">
        <v>2.421E-3</v>
      </c>
      <c r="BF141" s="15">
        <v>10667</v>
      </c>
      <c r="BG141" s="53">
        <v>431</v>
      </c>
      <c r="BH141" s="54">
        <v>2.32E-3</v>
      </c>
      <c r="BI141" s="61">
        <v>6623.3</v>
      </c>
      <c r="BJ141" s="53">
        <v>431</v>
      </c>
      <c r="BK141" s="54">
        <v>2.32E-3</v>
      </c>
      <c r="BL141" s="61">
        <v>6623.3</v>
      </c>
    </row>
    <row r="142" spans="41:64">
      <c r="AO142" s="53">
        <v>399</v>
      </c>
      <c r="AP142" s="54">
        <v>2.5062700000000001E-3</v>
      </c>
      <c r="AQ142" s="62">
        <v>8027.9409999999998</v>
      </c>
      <c r="AR142" s="53">
        <v>406</v>
      </c>
      <c r="AS142" s="54">
        <v>2.4630540000000001E-3</v>
      </c>
      <c r="AT142" s="62">
        <v>8012.1679999999997</v>
      </c>
      <c r="AU142" s="53">
        <v>414</v>
      </c>
      <c r="AV142" s="54">
        <v>2.4154599999999999E-3</v>
      </c>
      <c r="AW142" s="62">
        <v>7648.5829999999996</v>
      </c>
      <c r="AX142" s="95">
        <v>423</v>
      </c>
      <c r="AY142" s="54">
        <f t="shared" si="2"/>
        <v>2.3640661938534278E-3</v>
      </c>
      <c r="AZ142" s="100">
        <v>7324.2793000000001</v>
      </c>
      <c r="BA142" s="95">
        <v>432</v>
      </c>
      <c r="BB142" s="97">
        <v>2.3148148148148147E-3</v>
      </c>
      <c r="BC142" s="109">
        <v>6905.03</v>
      </c>
      <c r="BD142" s="53">
        <v>414</v>
      </c>
      <c r="BE142" s="54">
        <v>2.415E-3</v>
      </c>
      <c r="BF142" s="15">
        <v>11102</v>
      </c>
      <c r="BG142" s="53">
        <v>432</v>
      </c>
      <c r="BH142" s="54">
        <v>2.3149999999999998E-3</v>
      </c>
      <c r="BI142" s="61">
        <v>6905</v>
      </c>
      <c r="BJ142" s="53">
        <v>432</v>
      </c>
      <c r="BK142" s="54">
        <v>2.3149999999999998E-3</v>
      </c>
      <c r="BL142" s="61">
        <v>6905</v>
      </c>
    </row>
    <row r="143" spans="41:64">
      <c r="AO143" s="53">
        <v>400</v>
      </c>
      <c r="AP143" s="54">
        <v>2.5000000000000001E-3</v>
      </c>
      <c r="AQ143" s="62">
        <v>8369.348</v>
      </c>
      <c r="AR143" s="53">
        <v>407</v>
      </c>
      <c r="AS143" s="54">
        <v>2.4570019999999998E-3</v>
      </c>
      <c r="AT143" s="62">
        <v>8352.357</v>
      </c>
      <c r="AU143" s="53">
        <v>415</v>
      </c>
      <c r="AV143" s="54">
        <v>2.4096399999999998E-3</v>
      </c>
      <c r="AW143" s="62">
        <v>7973.3869999999997</v>
      </c>
      <c r="AX143" s="95">
        <v>424</v>
      </c>
      <c r="AY143" s="54">
        <f t="shared" si="2"/>
        <v>2.3584905660377358E-3</v>
      </c>
      <c r="AZ143" s="100">
        <v>7634.5083000000004</v>
      </c>
      <c r="BA143" s="95">
        <v>433</v>
      </c>
      <c r="BB143" s="97">
        <v>2.3094688221709007E-3</v>
      </c>
      <c r="BC143" s="109">
        <v>7196.9853999999996</v>
      </c>
      <c r="BD143" s="53">
        <v>415</v>
      </c>
      <c r="BE143" s="54">
        <v>2.4099999999999998E-3</v>
      </c>
      <c r="BF143" s="15">
        <v>11552</v>
      </c>
      <c r="BG143" s="53">
        <v>433</v>
      </c>
      <c r="BH143" s="54">
        <v>2.3089999999999999E-3</v>
      </c>
      <c r="BI143" s="61">
        <v>7197</v>
      </c>
      <c r="BJ143" s="53">
        <v>433</v>
      </c>
      <c r="BK143" s="54">
        <v>2.3089999999999999E-3</v>
      </c>
      <c r="BL143" s="61">
        <v>7197</v>
      </c>
    </row>
    <row r="144" spans="41:64">
      <c r="AO144" s="53">
        <v>401</v>
      </c>
      <c r="AP144" s="54">
        <v>2.4937700000000002E-3</v>
      </c>
      <c r="AQ144" s="62">
        <v>8723.2099999999991</v>
      </c>
      <c r="AR144" s="53">
        <v>408</v>
      </c>
      <c r="AS144" s="54">
        <v>2.4509800000000002E-3</v>
      </c>
      <c r="AT144" s="62">
        <v>8704.9290000000001</v>
      </c>
      <c r="AU144" s="53">
        <v>416</v>
      </c>
      <c r="AV144" s="54">
        <v>2.4038499999999999E-3</v>
      </c>
      <c r="AW144" s="62">
        <v>8310.0130000000008</v>
      </c>
      <c r="AX144" s="95">
        <v>425</v>
      </c>
      <c r="AY144" s="54">
        <f t="shared" si="2"/>
        <v>2.352941176470588E-3</v>
      </c>
      <c r="AZ144" s="100">
        <v>7955.9949999999999</v>
      </c>
      <c r="BA144" s="95">
        <v>434</v>
      </c>
      <c r="BB144" s="97">
        <v>2.304147465437788E-3</v>
      </c>
      <c r="BC144" s="109">
        <v>7499.5140000000001</v>
      </c>
      <c r="BD144" s="53">
        <v>416</v>
      </c>
      <c r="BE144" s="54">
        <v>2.4039999999999999E-3</v>
      </c>
      <c r="BF144" s="15">
        <v>12017</v>
      </c>
      <c r="BG144" s="53">
        <v>434</v>
      </c>
      <c r="BH144" s="54">
        <v>2.3040000000000001E-3</v>
      </c>
      <c r="BI144" s="61">
        <v>7499.5</v>
      </c>
      <c r="BJ144" s="53">
        <v>434</v>
      </c>
      <c r="BK144" s="54">
        <v>2.3040000000000001E-3</v>
      </c>
      <c r="BL144" s="61">
        <v>7499.5</v>
      </c>
    </row>
    <row r="145" spans="41:64">
      <c r="AO145" s="53">
        <v>402</v>
      </c>
      <c r="AP145" s="54">
        <v>2.4875600000000002E-3</v>
      </c>
      <c r="AQ145" s="62">
        <v>9089.902</v>
      </c>
      <c r="AR145" s="53">
        <v>409</v>
      </c>
      <c r="AS145" s="54">
        <v>2.4449879999999999E-3</v>
      </c>
      <c r="AT145" s="62">
        <v>9070.2520000000004</v>
      </c>
      <c r="AU145" s="53">
        <v>417</v>
      </c>
      <c r="AV145" s="54">
        <v>2.3980799999999999E-3</v>
      </c>
      <c r="AW145" s="62">
        <v>8658.8119999999999</v>
      </c>
      <c r="AX145" s="95">
        <v>426</v>
      </c>
      <c r="AY145" s="54">
        <f t="shared" si="2"/>
        <v>2.3474178403755869E-3</v>
      </c>
      <c r="AZ145" s="100">
        <v>8289.0730000000003</v>
      </c>
      <c r="BA145" s="95">
        <v>435</v>
      </c>
      <c r="BB145" s="97">
        <v>2.2988505747126436E-3</v>
      </c>
      <c r="BC145" s="109">
        <v>7812.9277000000002</v>
      </c>
      <c r="BD145" s="53">
        <v>417</v>
      </c>
      <c r="BE145" s="54">
        <v>2.398E-3</v>
      </c>
      <c r="BF145" s="15">
        <v>12499</v>
      </c>
      <c r="BG145" s="53">
        <v>435</v>
      </c>
      <c r="BH145" s="54">
        <v>2.2989999999999998E-3</v>
      </c>
      <c r="BI145" s="61">
        <v>7812.9</v>
      </c>
      <c r="BJ145" s="53">
        <v>435</v>
      </c>
      <c r="BK145" s="54">
        <v>2.2989999999999998E-3</v>
      </c>
      <c r="BL145" s="61">
        <v>7812.9</v>
      </c>
    </row>
    <row r="146" spans="41:64">
      <c r="AO146" s="53">
        <v>403</v>
      </c>
      <c r="AP146" s="54">
        <v>2.48139E-3</v>
      </c>
      <c r="AQ146" s="62">
        <v>9469.8050000000003</v>
      </c>
      <c r="AR146" s="53">
        <v>410</v>
      </c>
      <c r="AS146" s="54">
        <v>2.4390240000000001E-3</v>
      </c>
      <c r="AT146" s="62">
        <v>9448.7049999999999</v>
      </c>
      <c r="AU146" s="53">
        <v>418</v>
      </c>
      <c r="AV146" s="54">
        <v>2.3923400000000002E-3</v>
      </c>
      <c r="AW146" s="62">
        <v>9020.1450000000004</v>
      </c>
      <c r="AX146" s="95">
        <v>427</v>
      </c>
      <c r="AY146" s="54">
        <f t="shared" si="2"/>
        <v>2.34192037470726E-3</v>
      </c>
      <c r="AZ146" s="100">
        <v>8634.0830000000005</v>
      </c>
      <c r="BA146" s="95">
        <v>436</v>
      </c>
      <c r="BB146" s="97">
        <v>2.2935779816513763E-3</v>
      </c>
      <c r="BC146" s="109">
        <v>8137.5450000000001</v>
      </c>
      <c r="BD146" s="53">
        <v>418</v>
      </c>
      <c r="BE146" s="54">
        <v>2.392E-3</v>
      </c>
      <c r="BF146" s="15">
        <v>12997</v>
      </c>
      <c r="BG146" s="53">
        <v>436</v>
      </c>
      <c r="BH146" s="54">
        <v>2.294E-3</v>
      </c>
      <c r="BI146" s="61">
        <v>8137.5</v>
      </c>
      <c r="BJ146" s="53">
        <v>436</v>
      </c>
      <c r="BK146" s="54">
        <v>2.294E-3</v>
      </c>
      <c r="BL146" s="61">
        <v>8137.5</v>
      </c>
    </row>
    <row r="147" spans="41:64">
      <c r="AO147" s="53">
        <v>404</v>
      </c>
      <c r="AP147" s="54">
        <v>2.47525E-3</v>
      </c>
      <c r="AQ147" s="62">
        <v>9863.3089999999993</v>
      </c>
      <c r="AR147" s="53">
        <v>411</v>
      </c>
      <c r="AS147" s="54">
        <v>2.4330900000000002E-3</v>
      </c>
      <c r="AT147" s="62">
        <v>9840.6740000000009</v>
      </c>
      <c r="AU147" s="53">
        <v>419</v>
      </c>
      <c r="AV147" s="54">
        <v>2.3866299999999998E-3</v>
      </c>
      <c r="AW147" s="62">
        <v>9394.3780000000006</v>
      </c>
      <c r="AX147" s="95">
        <v>428</v>
      </c>
      <c r="AY147" s="54">
        <f t="shared" si="2"/>
        <v>2.3364485981308409E-3</v>
      </c>
      <c r="AZ147" s="100">
        <v>8991.3739999999998</v>
      </c>
      <c r="BA147" s="95">
        <v>437</v>
      </c>
      <c r="BB147" s="97">
        <v>2.2883295194508009E-3</v>
      </c>
      <c r="BC147" s="109">
        <v>8473.6919999999991</v>
      </c>
      <c r="BD147" s="53">
        <v>419</v>
      </c>
      <c r="BE147" s="54">
        <v>2.3869999999999998E-3</v>
      </c>
      <c r="BF147" s="15">
        <v>13512</v>
      </c>
      <c r="BG147" s="53">
        <v>437</v>
      </c>
      <c r="BH147" s="54">
        <v>2.2880000000000001E-3</v>
      </c>
      <c r="BI147" s="61">
        <v>8473.7000000000007</v>
      </c>
      <c r="BJ147" s="53">
        <v>437</v>
      </c>
      <c r="BK147" s="54">
        <v>2.2880000000000001E-3</v>
      </c>
      <c r="BL147" s="61">
        <v>8473.7000000000007</v>
      </c>
    </row>
    <row r="148" spans="41:64">
      <c r="AO148" s="53">
        <v>405</v>
      </c>
      <c r="AP148" s="54">
        <v>2.4691399999999999E-3</v>
      </c>
      <c r="AQ148" s="63">
        <v>10270.8125</v>
      </c>
      <c r="AR148" s="53">
        <v>412</v>
      </c>
      <c r="AS148" s="54">
        <v>2.4271840000000002E-3</v>
      </c>
      <c r="AT148" s="63">
        <v>10246.549999999999</v>
      </c>
      <c r="AU148" s="53">
        <v>420</v>
      </c>
      <c r="AV148" s="54">
        <v>2.3809500000000002E-3</v>
      </c>
      <c r="AW148" s="62">
        <v>9781.8880000000008</v>
      </c>
      <c r="AX148" s="95">
        <v>429</v>
      </c>
      <c r="AY148" s="54">
        <f t="shared" si="2"/>
        <v>2.331002331002331E-3</v>
      </c>
      <c r="AZ148" s="100">
        <v>9361.3009999999995</v>
      </c>
      <c r="BA148" s="95">
        <v>438</v>
      </c>
      <c r="BB148" s="97">
        <v>2.2831050228310501E-3</v>
      </c>
      <c r="BC148" s="109">
        <v>8821.7019999999993</v>
      </c>
      <c r="BD148" s="53">
        <v>420</v>
      </c>
      <c r="BE148" s="54">
        <v>2.3809999999999999E-3</v>
      </c>
      <c r="BF148" s="15">
        <v>14045</v>
      </c>
      <c r="BG148" s="53">
        <v>438</v>
      </c>
      <c r="BH148" s="54">
        <v>2.2829999999999999E-3</v>
      </c>
      <c r="BI148" s="61">
        <v>8821.7000000000007</v>
      </c>
      <c r="BJ148" s="53">
        <v>438</v>
      </c>
      <c r="BK148" s="54">
        <v>2.2829999999999999E-3</v>
      </c>
      <c r="BL148" s="61">
        <v>8821.7000000000007</v>
      </c>
    </row>
    <row r="149" spans="41:64">
      <c r="AO149" s="53">
        <v>406</v>
      </c>
      <c r="AP149" s="54">
        <v>2.46305E-3</v>
      </c>
      <c r="AQ149" s="63">
        <v>10692.723</v>
      </c>
      <c r="AR149" s="53">
        <v>413</v>
      </c>
      <c r="AS149" s="54">
        <v>2.4213080000000001E-3</v>
      </c>
      <c r="AT149" s="63">
        <v>10666.74</v>
      </c>
      <c r="AU149" s="53">
        <v>421</v>
      </c>
      <c r="AV149" s="54">
        <v>2.3752999999999999E-3</v>
      </c>
      <c r="AW149" s="63">
        <v>10183.06</v>
      </c>
      <c r="AX149" s="95">
        <v>430</v>
      </c>
      <c r="AY149" s="54">
        <f t="shared" si="2"/>
        <v>2.3255813953488372E-3</v>
      </c>
      <c r="AZ149" s="100">
        <v>9744.2270000000008</v>
      </c>
      <c r="BA149" s="95">
        <v>439</v>
      </c>
      <c r="BB149" s="97">
        <v>2.2779043280182231E-3</v>
      </c>
      <c r="BC149" s="109">
        <v>9181.9140000000007</v>
      </c>
      <c r="BD149" s="53">
        <v>421</v>
      </c>
      <c r="BE149" s="54">
        <v>2.3749999999999999E-3</v>
      </c>
      <c r="BF149" s="15">
        <v>14595</v>
      </c>
      <c r="BG149" s="53">
        <v>439</v>
      </c>
      <c r="BH149" s="54">
        <v>2.2780000000000001E-3</v>
      </c>
      <c r="BI149" s="61">
        <v>9181.9</v>
      </c>
      <c r="BJ149" s="53">
        <v>439</v>
      </c>
      <c r="BK149" s="54">
        <v>2.2780000000000001E-3</v>
      </c>
      <c r="BL149" s="61">
        <v>9181.9</v>
      </c>
    </row>
    <row r="150" spans="41:64">
      <c r="AO150" s="53">
        <v>407</v>
      </c>
      <c r="AP150" s="54">
        <v>2.457E-3</v>
      </c>
      <c r="AQ150" s="63">
        <v>11129.458000000001</v>
      </c>
      <c r="AR150" s="53">
        <v>414</v>
      </c>
      <c r="AS150" s="54">
        <v>2.415459E-3</v>
      </c>
      <c r="AT150" s="63">
        <v>11101.66</v>
      </c>
      <c r="AU150" s="53">
        <v>422</v>
      </c>
      <c r="AV150" s="54">
        <v>2.3696699999999999E-3</v>
      </c>
      <c r="AW150" s="63">
        <v>10598.28</v>
      </c>
      <c r="AX150" s="95">
        <v>431</v>
      </c>
      <c r="AY150" s="54">
        <f t="shared" si="2"/>
        <v>2.3201856148491878E-3</v>
      </c>
      <c r="AZ150" s="101">
        <v>10140.522999999999</v>
      </c>
      <c r="BA150" s="95">
        <v>440</v>
      </c>
      <c r="BB150" s="97">
        <v>2.2727272727272726E-3</v>
      </c>
      <c r="BC150" s="109">
        <v>9554.6759999999995</v>
      </c>
      <c r="BD150" s="53">
        <v>422</v>
      </c>
      <c r="BE150" s="54">
        <v>2.3700000000000001E-3</v>
      </c>
      <c r="BF150" s="15">
        <v>15163</v>
      </c>
      <c r="BG150" s="53">
        <v>440</v>
      </c>
      <c r="BH150" s="54">
        <v>2.2729999999999998E-3</v>
      </c>
      <c r="BI150" s="61">
        <v>9554.7000000000007</v>
      </c>
      <c r="BJ150" s="53">
        <v>440</v>
      </c>
      <c r="BK150" s="54">
        <v>2.2729999999999998E-3</v>
      </c>
      <c r="BL150" s="61">
        <v>9554.7000000000007</v>
      </c>
    </row>
    <row r="151" spans="41:64">
      <c r="AO151" s="53">
        <v>408</v>
      </c>
      <c r="AP151" s="54">
        <v>2.4509800000000002E-3</v>
      </c>
      <c r="AQ151" s="63">
        <v>11581.441000000001</v>
      </c>
      <c r="AR151" s="53">
        <v>415</v>
      </c>
      <c r="AS151" s="54">
        <v>2.4096389999999999E-3</v>
      </c>
      <c r="AT151" s="63">
        <v>11551.71</v>
      </c>
      <c r="AU151" s="53">
        <v>423</v>
      </c>
      <c r="AV151" s="54">
        <v>2.3640699999999998E-3</v>
      </c>
      <c r="AW151" s="63">
        <v>11027.96</v>
      </c>
      <c r="AX151" s="95">
        <v>432</v>
      </c>
      <c r="AY151" s="54">
        <f t="shared" si="2"/>
        <v>2.3148148148148147E-3</v>
      </c>
      <c r="AZ151" s="101">
        <v>10550.57</v>
      </c>
      <c r="BA151" s="95">
        <v>441</v>
      </c>
      <c r="BB151" s="97">
        <v>2.2675736961451248E-3</v>
      </c>
      <c r="BC151" s="109">
        <v>9940.34</v>
      </c>
      <c r="BD151" s="53">
        <v>423</v>
      </c>
      <c r="BE151" s="54">
        <v>2.3640000000000002E-3</v>
      </c>
      <c r="BF151" s="15">
        <v>15751</v>
      </c>
      <c r="BG151" s="53">
        <v>441</v>
      </c>
      <c r="BH151" s="54">
        <v>2.2680000000000001E-3</v>
      </c>
      <c r="BI151" s="61">
        <v>9940.2999999999993</v>
      </c>
      <c r="BJ151" s="53">
        <v>441</v>
      </c>
      <c r="BK151" s="54">
        <v>2.2680000000000001E-3</v>
      </c>
      <c r="BL151" s="61">
        <v>9940.2999999999993</v>
      </c>
    </row>
    <row r="152" spans="41:64">
      <c r="AO152" s="53">
        <v>409</v>
      </c>
      <c r="AP152" s="54">
        <v>2.4449900000000002E-3</v>
      </c>
      <c r="AQ152" s="63">
        <v>12049.109</v>
      </c>
      <c r="AR152" s="53">
        <v>416</v>
      </c>
      <c r="AS152" s="54">
        <v>2.4038459999999998E-3</v>
      </c>
      <c r="AT152" s="63">
        <v>12017.35</v>
      </c>
      <c r="AU152" s="53">
        <v>424</v>
      </c>
      <c r="AV152" s="54">
        <v>2.35849E-3</v>
      </c>
      <c r="AW152" s="63">
        <v>11472.5</v>
      </c>
      <c r="AX152" s="95">
        <v>433</v>
      </c>
      <c r="AY152" s="54">
        <f t="shared" si="2"/>
        <v>2.3094688221709007E-3</v>
      </c>
      <c r="AZ152" s="101">
        <v>10974.753000000001</v>
      </c>
      <c r="BA152" s="95">
        <v>442</v>
      </c>
      <c r="BB152" s="97">
        <v>2.2624434389140274E-3</v>
      </c>
      <c r="BC152" s="110">
        <v>10339.27</v>
      </c>
      <c r="BD152" s="53">
        <v>424</v>
      </c>
      <c r="BE152" s="54">
        <v>2.3579999999999999E-3</v>
      </c>
      <c r="BF152" s="15">
        <v>16358</v>
      </c>
      <c r="BG152" s="53">
        <v>442</v>
      </c>
      <c r="BH152" s="54">
        <v>2.2620000000000001E-3</v>
      </c>
      <c r="BI152" s="61">
        <v>10339</v>
      </c>
      <c r="BJ152" s="53">
        <v>442</v>
      </c>
      <c r="BK152" s="54">
        <v>2.2620000000000001E-3</v>
      </c>
      <c r="BL152" s="61">
        <v>10339</v>
      </c>
    </row>
    <row r="153" spans="41:64">
      <c r="AO153" s="53">
        <v>410</v>
      </c>
      <c r="AP153" s="54">
        <v>2.4390200000000001E-3</v>
      </c>
      <c r="AQ153" s="63">
        <v>12532.904</v>
      </c>
      <c r="AR153" s="53">
        <v>417</v>
      </c>
      <c r="AS153" s="54">
        <v>2.3980820000000002E-3</v>
      </c>
      <c r="AT153" s="63">
        <v>12498.99</v>
      </c>
      <c r="AU153" s="53">
        <v>425</v>
      </c>
      <c r="AV153" s="54">
        <v>2.35294E-3</v>
      </c>
      <c r="AW153" s="63">
        <v>11932.31</v>
      </c>
      <c r="AX153" s="95">
        <v>434</v>
      </c>
      <c r="AY153" s="54">
        <f t="shared" si="2"/>
        <v>2.304147465437788E-3</v>
      </c>
      <c r="AZ153" s="101">
        <v>11413.467000000001</v>
      </c>
      <c r="BA153" s="95">
        <v>443</v>
      </c>
      <c r="BB153" s="97">
        <v>2.257336343115124E-3</v>
      </c>
      <c r="BC153" s="110">
        <v>10751.831</v>
      </c>
      <c r="BD153" s="53">
        <v>425</v>
      </c>
      <c r="BE153" s="54">
        <v>2.3530000000000001E-3</v>
      </c>
      <c r="BF153" s="15">
        <v>16984</v>
      </c>
      <c r="BG153" s="53">
        <v>443</v>
      </c>
      <c r="BH153" s="54">
        <v>2.2569999999999999E-3</v>
      </c>
      <c r="BI153" s="61">
        <v>10752</v>
      </c>
      <c r="BJ153" s="53">
        <v>443</v>
      </c>
      <c r="BK153" s="54">
        <v>2.2569999999999999E-3</v>
      </c>
      <c r="BL153" s="61">
        <v>10752</v>
      </c>
    </row>
    <row r="154" spans="41:64">
      <c r="AO154" s="53">
        <v>411</v>
      </c>
      <c r="AP154" s="54">
        <v>2.4330900000000002E-3</v>
      </c>
      <c r="AQ154" s="63">
        <v>13033.279</v>
      </c>
      <c r="AR154" s="53">
        <v>418</v>
      </c>
      <c r="AS154" s="54">
        <v>2.3923439999999998E-3</v>
      </c>
      <c r="AT154" s="63">
        <v>12997.09</v>
      </c>
      <c r="AU154" s="53">
        <v>426</v>
      </c>
      <c r="AV154" s="54">
        <v>2.3474199999999998E-3</v>
      </c>
      <c r="AW154" s="63">
        <v>12407.83</v>
      </c>
      <c r="AX154" s="95">
        <v>435</v>
      </c>
      <c r="AY154" s="54">
        <f t="shared" si="2"/>
        <v>2.2988505747126436E-3</v>
      </c>
      <c r="AZ154" s="101">
        <v>11867.111999999999</v>
      </c>
      <c r="BA154" s="95">
        <v>444</v>
      </c>
      <c r="BB154" s="97">
        <v>2.2522522522522522E-3</v>
      </c>
      <c r="BC154" s="110">
        <v>11178.402</v>
      </c>
      <c r="BD154" s="53">
        <v>426</v>
      </c>
      <c r="BE154" s="54">
        <v>2.3470000000000001E-3</v>
      </c>
      <c r="BF154" s="15">
        <v>17631</v>
      </c>
      <c r="BG154" s="53">
        <v>444</v>
      </c>
      <c r="BH154" s="54">
        <v>2.2520000000000001E-3</v>
      </c>
      <c r="BI154" s="61">
        <v>11178</v>
      </c>
      <c r="BJ154" s="53">
        <v>444</v>
      </c>
      <c r="BK154" s="54">
        <v>2.2520000000000001E-3</v>
      </c>
      <c r="BL154" s="61">
        <v>11178</v>
      </c>
    </row>
    <row r="155" spans="41:64">
      <c r="AO155" s="53">
        <v>412</v>
      </c>
      <c r="AP155" s="54">
        <v>2.4271800000000001E-3</v>
      </c>
      <c r="AQ155" s="63">
        <v>13550.684999999999</v>
      </c>
      <c r="AR155" s="53">
        <v>419</v>
      </c>
      <c r="AS155" s="54">
        <v>2.3866349999999998E-3</v>
      </c>
      <c r="AT155" s="63">
        <v>13512.11</v>
      </c>
      <c r="AU155" s="53">
        <v>427</v>
      </c>
      <c r="AV155" s="54">
        <v>2.3419199999999999E-3</v>
      </c>
      <c r="AW155" s="63">
        <v>12899.49</v>
      </c>
      <c r="AX155" s="95">
        <v>436</v>
      </c>
      <c r="AY155" s="54">
        <f t="shared" si="2"/>
        <v>2.2935779816513763E-3</v>
      </c>
      <c r="AZ155" s="101">
        <v>12336.102999999999</v>
      </c>
      <c r="BA155" s="95">
        <v>445</v>
      </c>
      <c r="BB155" s="97">
        <v>2.2471910112359553E-3</v>
      </c>
      <c r="BC155" s="110">
        <v>11619.366</v>
      </c>
      <c r="BD155" s="53">
        <v>427</v>
      </c>
      <c r="BE155" s="54">
        <v>2.3419999999999999E-3</v>
      </c>
      <c r="BF155" s="15">
        <v>18299</v>
      </c>
      <c r="BG155" s="53">
        <v>445</v>
      </c>
      <c r="BH155" s="54">
        <v>2.2469999999999999E-3</v>
      </c>
      <c r="BI155" s="61">
        <v>11619</v>
      </c>
      <c r="BJ155" s="53">
        <v>445</v>
      </c>
      <c r="BK155" s="54">
        <v>2.2469999999999999E-3</v>
      </c>
      <c r="BL155" s="61">
        <v>11619</v>
      </c>
    </row>
    <row r="156" spans="41:64">
      <c r="AO156" s="53">
        <v>413</v>
      </c>
      <c r="AP156" s="54">
        <v>2.4213099999999999E-3</v>
      </c>
      <c r="AQ156" s="63">
        <v>14085.618</v>
      </c>
      <c r="AR156" s="53">
        <v>420</v>
      </c>
      <c r="AS156" s="54">
        <v>2.380952E-3</v>
      </c>
      <c r="AT156" s="63">
        <v>14044.51</v>
      </c>
      <c r="AU156" s="53">
        <v>428</v>
      </c>
      <c r="AV156" s="54">
        <v>2.3364499999999999E-3</v>
      </c>
      <c r="AW156" s="63">
        <v>13407.73</v>
      </c>
      <c r="AX156" s="95">
        <v>437</v>
      </c>
      <c r="AY156" s="54">
        <f t="shared" si="2"/>
        <v>2.2883295194508009E-3</v>
      </c>
      <c r="AZ156" s="101">
        <v>12820.855</v>
      </c>
      <c r="BA156" s="95">
        <v>446</v>
      </c>
      <c r="BB156" s="97">
        <v>2.242152466367713E-3</v>
      </c>
      <c r="BC156" s="110">
        <v>12075.111999999999</v>
      </c>
      <c r="BD156" s="53">
        <v>428</v>
      </c>
      <c r="BE156" s="54">
        <v>2.336E-3</v>
      </c>
      <c r="BF156" s="15">
        <v>18988</v>
      </c>
      <c r="BG156" s="53">
        <v>446</v>
      </c>
      <c r="BH156" s="54">
        <v>2.2420000000000001E-3</v>
      </c>
      <c r="BI156" s="61">
        <v>12075</v>
      </c>
      <c r="BJ156" s="53">
        <v>446</v>
      </c>
      <c r="BK156" s="54">
        <v>2.2420000000000001E-3</v>
      </c>
      <c r="BL156" s="61">
        <v>12075</v>
      </c>
    </row>
    <row r="157" spans="41:64">
      <c r="AO157" s="53">
        <v>414</v>
      </c>
      <c r="AP157" s="54">
        <v>2.4154599999999999E-3</v>
      </c>
      <c r="AQ157" s="63">
        <v>14638.549000000001</v>
      </c>
      <c r="AR157" s="53">
        <v>421</v>
      </c>
      <c r="AS157" s="54">
        <v>2.3752970000000002E-3</v>
      </c>
      <c r="AT157" s="63">
        <v>14594.76</v>
      </c>
      <c r="AU157" s="53">
        <v>429</v>
      </c>
      <c r="AV157" s="54">
        <v>2.3310000000000002E-3</v>
      </c>
      <c r="AW157" s="63">
        <v>13933</v>
      </c>
      <c r="AX157" s="95">
        <v>438</v>
      </c>
      <c r="AY157" s="54">
        <f t="shared" si="2"/>
        <v>2.2831050228310501E-3</v>
      </c>
      <c r="AZ157" s="101">
        <v>13321.797</v>
      </c>
      <c r="BA157" s="95">
        <v>447</v>
      </c>
      <c r="BB157" s="97">
        <v>2.2371364653243847E-3</v>
      </c>
      <c r="BC157" s="110">
        <v>12546.040999999999</v>
      </c>
      <c r="BD157" s="53">
        <v>429</v>
      </c>
      <c r="BE157" s="54">
        <v>2.3310000000000002E-3</v>
      </c>
      <c r="BF157" s="15">
        <v>19700</v>
      </c>
      <c r="BG157" s="53">
        <v>447</v>
      </c>
      <c r="BH157" s="54">
        <v>2.2369999999999998E-3</v>
      </c>
      <c r="BI157" s="61">
        <v>12546</v>
      </c>
      <c r="BJ157" s="53">
        <v>447</v>
      </c>
      <c r="BK157" s="54">
        <v>2.2369999999999998E-3</v>
      </c>
      <c r="BL157" s="61">
        <v>12546</v>
      </c>
    </row>
    <row r="158" spans="41:64">
      <c r="AO158" s="53">
        <v>415</v>
      </c>
      <c r="AP158" s="54">
        <v>2.4096399999999998E-3</v>
      </c>
      <c r="AQ158" s="63">
        <v>15209.968000000001</v>
      </c>
      <c r="AR158" s="53">
        <v>422</v>
      </c>
      <c r="AS158" s="54">
        <v>2.3696680000000001E-3</v>
      </c>
      <c r="AT158" s="63">
        <v>15163.36</v>
      </c>
      <c r="AU158" s="53">
        <v>430</v>
      </c>
      <c r="AV158" s="54">
        <v>2.3255799999999998E-3</v>
      </c>
      <c r="AW158" s="63">
        <v>14475.77</v>
      </c>
      <c r="AX158" s="95">
        <v>439</v>
      </c>
      <c r="AY158" s="54">
        <f t="shared" si="2"/>
        <v>2.2779043280182231E-3</v>
      </c>
      <c r="AZ158" s="101">
        <v>13839.364</v>
      </c>
      <c r="BA158" s="95">
        <v>448</v>
      </c>
      <c r="BB158" s="97">
        <v>2.232142857142857E-3</v>
      </c>
      <c r="BC158" s="110">
        <v>13032.558000000001</v>
      </c>
      <c r="BD158" s="53">
        <v>430</v>
      </c>
      <c r="BE158" s="54">
        <v>2.3259999999999999E-3</v>
      </c>
      <c r="BF158" s="15">
        <v>20434</v>
      </c>
      <c r="BG158" s="53">
        <v>448</v>
      </c>
      <c r="BH158" s="54">
        <v>2.232E-3</v>
      </c>
      <c r="BI158" s="61">
        <v>13033</v>
      </c>
      <c r="BJ158" s="53">
        <v>448</v>
      </c>
      <c r="BK158" s="54">
        <v>2.232E-3</v>
      </c>
      <c r="BL158" s="61">
        <v>13033</v>
      </c>
    </row>
    <row r="159" spans="41:64">
      <c r="AO159" s="53">
        <v>416</v>
      </c>
      <c r="AP159" s="54">
        <v>2.4038499999999999E-3</v>
      </c>
      <c r="AQ159" s="63">
        <v>15800.377</v>
      </c>
      <c r="AR159" s="53">
        <v>423</v>
      </c>
      <c r="AS159" s="54">
        <v>2.3640660000000002E-3</v>
      </c>
      <c r="AT159" s="63">
        <v>15750.79</v>
      </c>
      <c r="AU159" s="53">
        <v>431</v>
      </c>
      <c r="AV159" s="54">
        <v>2.3201900000000002E-3</v>
      </c>
      <c r="AW159" s="63">
        <v>15036.5</v>
      </c>
      <c r="AX159" s="95">
        <v>440</v>
      </c>
      <c r="AY159" s="54">
        <f t="shared" si="2"/>
        <v>2.2727272727272726E-3</v>
      </c>
      <c r="AZ159" s="101">
        <v>14373.999</v>
      </c>
      <c r="BA159" s="95">
        <v>449</v>
      </c>
      <c r="BB159" s="97">
        <v>2.2271714922048997E-3</v>
      </c>
      <c r="BC159" s="110">
        <v>13535.075000000001</v>
      </c>
      <c r="BD159" s="53">
        <v>431</v>
      </c>
      <c r="BE159" s="54">
        <v>2.32E-3</v>
      </c>
      <c r="BF159" s="15">
        <v>21191</v>
      </c>
      <c r="BG159" s="53">
        <v>449</v>
      </c>
      <c r="BH159" s="54">
        <v>2.2269999999999998E-3</v>
      </c>
      <c r="BI159" s="61">
        <v>13535</v>
      </c>
      <c r="BJ159" s="53">
        <v>449</v>
      </c>
      <c r="BK159" s="54">
        <v>2.2269999999999998E-3</v>
      </c>
      <c r="BL159" s="61">
        <v>13535</v>
      </c>
    </row>
    <row r="160" spans="41:64">
      <c r="AO160" s="53">
        <v>417</v>
      </c>
      <c r="AP160" s="54">
        <v>2.3980799999999999E-3</v>
      </c>
      <c r="AQ160" s="63">
        <v>16410.287</v>
      </c>
      <c r="AR160" s="53">
        <v>424</v>
      </c>
      <c r="AS160" s="54">
        <v>2.3584909999999999E-3</v>
      </c>
      <c r="AT160" s="63">
        <v>16357.56</v>
      </c>
      <c r="AU160" s="53">
        <v>432</v>
      </c>
      <c r="AV160" s="54">
        <v>2.31481E-3</v>
      </c>
      <c r="AW160" s="63">
        <v>15615.67</v>
      </c>
      <c r="AX160" s="95">
        <v>441</v>
      </c>
      <c r="AY160" s="54">
        <f t="shared" si="2"/>
        <v>2.2675736961451248E-3</v>
      </c>
      <c r="AZ160" s="101">
        <v>14926.153</v>
      </c>
      <c r="BA160" s="95">
        <v>450</v>
      </c>
      <c r="BB160" s="97">
        <v>2.2222222222222222E-3</v>
      </c>
      <c r="BC160" s="110">
        <v>14054.017</v>
      </c>
      <c r="BD160" s="53">
        <v>432</v>
      </c>
      <c r="BE160" s="54">
        <v>2.3149999999999998E-3</v>
      </c>
      <c r="BF160" s="15">
        <v>21972</v>
      </c>
      <c r="BG160" s="53">
        <v>450</v>
      </c>
      <c r="BH160" s="54">
        <v>2.222E-3</v>
      </c>
      <c r="BI160" s="61">
        <v>14054</v>
      </c>
      <c r="BJ160" s="53">
        <v>450</v>
      </c>
      <c r="BK160" s="54">
        <v>2.222E-3</v>
      </c>
      <c r="BL160" s="61">
        <v>14054</v>
      </c>
    </row>
    <row r="161" spans="41:64">
      <c r="AO161" s="53">
        <v>418</v>
      </c>
      <c r="AP161" s="54">
        <v>2.3923400000000002E-3</v>
      </c>
      <c r="AQ161" s="63">
        <v>17040.22</v>
      </c>
      <c r="AR161" s="53">
        <v>425</v>
      </c>
      <c r="AS161" s="54">
        <v>2.3529409999999999E-3</v>
      </c>
      <c r="AT161" s="63">
        <v>16984.18</v>
      </c>
      <c r="AU161" s="53">
        <v>433</v>
      </c>
      <c r="AV161" s="54">
        <v>2.3094700000000001E-3</v>
      </c>
      <c r="AW161" s="63">
        <v>16213.78</v>
      </c>
      <c r="AX161" s="95">
        <v>442</v>
      </c>
      <c r="AY161" s="54">
        <f t="shared" si="2"/>
        <v>2.2624434389140274E-3</v>
      </c>
      <c r="AZ161" s="101">
        <v>15496.29</v>
      </c>
      <c r="BA161" s="95">
        <v>451</v>
      </c>
      <c r="BB161" s="97">
        <v>2.2172949002217295E-3</v>
      </c>
      <c r="BC161" s="110">
        <v>14589.811</v>
      </c>
      <c r="BD161" s="53">
        <v>433</v>
      </c>
      <c r="BE161" s="54">
        <v>2.3089999999999999E-3</v>
      </c>
      <c r="BF161" s="15">
        <v>22777</v>
      </c>
      <c r="BG161" s="53">
        <v>451</v>
      </c>
      <c r="BH161" s="54">
        <v>2.2169999999999998E-3</v>
      </c>
      <c r="BI161" s="61">
        <v>14590</v>
      </c>
      <c r="BJ161" s="53">
        <v>451</v>
      </c>
      <c r="BK161" s="54">
        <v>2.2169999999999998E-3</v>
      </c>
      <c r="BL161" s="61">
        <v>14590</v>
      </c>
    </row>
    <row r="162" spans="41:64">
      <c r="AO162" s="53">
        <v>419</v>
      </c>
      <c r="AP162" s="54">
        <v>2.3866299999999998E-3</v>
      </c>
      <c r="AQ162" s="63">
        <v>17690.706999999999</v>
      </c>
      <c r="AR162" s="53">
        <v>426</v>
      </c>
      <c r="AS162" s="54">
        <v>2.347418E-3</v>
      </c>
      <c r="AT162" s="63">
        <v>17631.18</v>
      </c>
      <c r="AU162" s="53">
        <v>434</v>
      </c>
      <c r="AV162" s="54">
        <v>2.30415E-3</v>
      </c>
      <c r="AW162" s="63">
        <v>16831.310000000001</v>
      </c>
      <c r="AX162" s="95">
        <v>443</v>
      </c>
      <c r="AY162" s="54">
        <f t="shared" si="2"/>
        <v>2.257336343115124E-3</v>
      </c>
      <c r="AZ162" s="101">
        <v>16084.876</v>
      </c>
      <c r="BA162" s="95">
        <v>452</v>
      </c>
      <c r="BB162" s="97">
        <v>2.2123893805309734E-3</v>
      </c>
      <c r="BC162" s="110">
        <v>15142.895</v>
      </c>
      <c r="BD162" s="53">
        <v>434</v>
      </c>
      <c r="BE162" s="54">
        <v>2.3040000000000001E-3</v>
      </c>
      <c r="BF162" s="15">
        <v>23607</v>
      </c>
      <c r="BG162" s="53">
        <v>452</v>
      </c>
      <c r="BH162" s="54">
        <v>2.212E-3</v>
      </c>
      <c r="BI162" s="61">
        <v>15143</v>
      </c>
      <c r="BJ162" s="53">
        <v>452</v>
      </c>
      <c r="BK162" s="54">
        <v>2.212E-3</v>
      </c>
      <c r="BL162" s="61">
        <v>15143</v>
      </c>
    </row>
    <row r="163" spans="41:64">
      <c r="AO163" s="53">
        <v>420</v>
      </c>
      <c r="AP163" s="54">
        <v>2.3809500000000002E-3</v>
      </c>
      <c r="AQ163" s="63">
        <v>18362.291000000001</v>
      </c>
      <c r="AR163" s="53">
        <v>427</v>
      </c>
      <c r="AS163" s="54">
        <v>2.3419199999999999E-3</v>
      </c>
      <c r="AT163" s="63">
        <v>18299.09</v>
      </c>
      <c r="AU163" s="53">
        <v>435</v>
      </c>
      <c r="AV163" s="54">
        <v>2.2988499999999999E-3</v>
      </c>
      <c r="AW163" s="63">
        <v>17468.78</v>
      </c>
      <c r="AX163" s="95">
        <v>444</v>
      </c>
      <c r="AY163" s="54">
        <f t="shared" si="2"/>
        <v>2.2522522522522522E-3</v>
      </c>
      <c r="AZ163" s="101">
        <v>16692.39</v>
      </c>
      <c r="BA163" s="95">
        <v>453</v>
      </c>
      <c r="BB163" s="97">
        <v>2.2075055187637969E-3</v>
      </c>
      <c r="BC163" s="110">
        <v>15713.714</v>
      </c>
      <c r="BD163" s="53">
        <v>435</v>
      </c>
      <c r="BE163" s="54">
        <v>2.2989999999999998E-3</v>
      </c>
      <c r="BF163" s="15">
        <v>24462</v>
      </c>
      <c r="BG163" s="53">
        <v>453</v>
      </c>
      <c r="BH163" s="54">
        <v>2.2079999999999999E-3</v>
      </c>
      <c r="BI163" s="61">
        <v>15714</v>
      </c>
      <c r="BJ163" s="53">
        <v>453</v>
      </c>
      <c r="BK163" s="54">
        <v>2.2079999999999999E-3</v>
      </c>
      <c r="BL163" s="61">
        <v>15714</v>
      </c>
    </row>
    <row r="164" spans="41:64">
      <c r="AO164" s="53">
        <v>421</v>
      </c>
      <c r="AP164" s="54">
        <v>2.3752999999999999E-3</v>
      </c>
      <c r="AQ164" s="63">
        <v>19055.521000000001</v>
      </c>
      <c r="AR164" s="53">
        <v>428</v>
      </c>
      <c r="AS164" s="54">
        <v>2.336449E-3</v>
      </c>
      <c r="AT164" s="63">
        <v>18988.45</v>
      </c>
      <c r="AU164" s="53">
        <v>436</v>
      </c>
      <c r="AV164" s="54">
        <v>2.2935799999999999E-3</v>
      </c>
      <c r="AW164" s="63">
        <v>18126.7</v>
      </c>
      <c r="AX164" s="95">
        <v>445</v>
      </c>
      <c r="AY164" s="54">
        <f t="shared" si="2"/>
        <v>2.2471910112359553E-3</v>
      </c>
      <c r="AZ164" s="101">
        <v>17319.317999999999</v>
      </c>
      <c r="BA164" s="95">
        <v>454</v>
      </c>
      <c r="BB164" s="97">
        <v>2.2026431718061676E-3</v>
      </c>
      <c r="BC164" s="110">
        <v>16302.722</v>
      </c>
      <c r="BD164" s="53">
        <v>436</v>
      </c>
      <c r="BE164" s="54">
        <v>2.294E-3</v>
      </c>
      <c r="BF164" s="15">
        <v>25344</v>
      </c>
      <c r="BG164" s="53">
        <v>454</v>
      </c>
      <c r="BH164" s="54">
        <v>2.2030000000000001E-3</v>
      </c>
      <c r="BI164" s="61">
        <v>16303</v>
      </c>
      <c r="BJ164" s="53">
        <v>454</v>
      </c>
      <c r="BK164" s="54">
        <v>2.2030000000000001E-3</v>
      </c>
      <c r="BL164" s="61">
        <v>16303</v>
      </c>
    </row>
    <row r="165" spans="41:64">
      <c r="AO165" s="53">
        <v>422</v>
      </c>
      <c r="AP165" s="54">
        <v>2.3696699999999999E-3</v>
      </c>
      <c r="AQ165" s="63">
        <v>19770.965</v>
      </c>
      <c r="AR165" s="53">
        <v>429</v>
      </c>
      <c r="AS165" s="54">
        <v>2.331002E-3</v>
      </c>
      <c r="AT165" s="63">
        <v>19699.82</v>
      </c>
      <c r="AU165" s="53">
        <v>437</v>
      </c>
      <c r="AV165" s="54">
        <v>2.2883299999999999E-3</v>
      </c>
      <c r="AW165" s="63">
        <v>18805.599999999999</v>
      </c>
      <c r="AX165" s="95">
        <v>446</v>
      </c>
      <c r="AY165" s="54">
        <f t="shared" si="2"/>
        <v>2.242152466367713E-3</v>
      </c>
      <c r="AZ165" s="101">
        <v>17966.157999999999</v>
      </c>
      <c r="BA165" s="95">
        <v>455</v>
      </c>
      <c r="BB165" s="97">
        <v>2.1978021978021978E-3</v>
      </c>
      <c r="BC165" s="110">
        <v>16910.38</v>
      </c>
      <c r="BD165" s="53">
        <v>437</v>
      </c>
      <c r="BE165" s="54">
        <v>2.2880000000000001E-3</v>
      </c>
      <c r="BF165" s="15">
        <v>26253</v>
      </c>
      <c r="BG165" s="53">
        <v>455</v>
      </c>
      <c r="BH165" s="54">
        <v>2.1979999999999999E-3</v>
      </c>
      <c r="BI165" s="61">
        <v>16910</v>
      </c>
      <c r="BJ165" s="53">
        <v>455</v>
      </c>
      <c r="BK165" s="54">
        <v>2.1979999999999999E-3</v>
      </c>
      <c r="BL165" s="61">
        <v>16910</v>
      </c>
    </row>
    <row r="166" spans="41:64">
      <c r="AO166" s="53">
        <v>423</v>
      </c>
      <c r="AP166" s="54">
        <v>2.3640699999999998E-3</v>
      </c>
      <c r="AQ166" s="63">
        <v>20509.192999999999</v>
      </c>
      <c r="AR166" s="53">
        <v>430</v>
      </c>
      <c r="AS166" s="54">
        <v>2.3255810000000002E-3</v>
      </c>
      <c r="AT166" s="63">
        <v>20433.759999999998</v>
      </c>
      <c r="AU166" s="53">
        <v>438</v>
      </c>
      <c r="AV166" s="54">
        <v>2.2831100000000001E-3</v>
      </c>
      <c r="AW166" s="63">
        <v>19506</v>
      </c>
      <c r="AX166" s="95">
        <v>447</v>
      </c>
      <c r="AY166" s="54">
        <f t="shared" si="2"/>
        <v>2.2371364653243847E-3</v>
      </c>
      <c r="AZ166" s="101">
        <v>18633.41</v>
      </c>
      <c r="BA166" s="95">
        <v>456</v>
      </c>
      <c r="BB166" s="97">
        <v>2.1929824561403508E-3</v>
      </c>
      <c r="BC166" s="110">
        <v>17537.157999999999</v>
      </c>
      <c r="BD166" s="53">
        <v>438</v>
      </c>
      <c r="BE166" s="54">
        <v>2.2829999999999999E-3</v>
      </c>
      <c r="BF166" s="15">
        <v>27189</v>
      </c>
      <c r="BG166" s="53">
        <v>456</v>
      </c>
      <c r="BH166" s="54">
        <v>2.1930000000000001E-3</v>
      </c>
      <c r="BI166" s="61">
        <v>17537</v>
      </c>
      <c r="BJ166" s="53">
        <v>456</v>
      </c>
      <c r="BK166" s="54">
        <v>2.1930000000000001E-3</v>
      </c>
      <c r="BL166" s="61">
        <v>17537</v>
      </c>
    </row>
    <row r="167" spans="41:64">
      <c r="AO167" s="53">
        <v>424</v>
      </c>
      <c r="AP167" s="54">
        <v>2.35849E-3</v>
      </c>
      <c r="AQ167" s="63">
        <v>21270.791000000001</v>
      </c>
      <c r="AR167" s="53">
        <v>431</v>
      </c>
      <c r="AS167" s="54">
        <v>2.3201860000000001E-3</v>
      </c>
      <c r="AT167" s="63">
        <v>21190.84</v>
      </c>
      <c r="AU167" s="53">
        <v>439</v>
      </c>
      <c r="AV167" s="54">
        <v>2.2778999999999998E-3</v>
      </c>
      <c r="AW167" s="63">
        <v>20228.47</v>
      </c>
      <c r="AX167" s="95">
        <v>448</v>
      </c>
      <c r="AY167" s="54">
        <f t="shared" si="2"/>
        <v>2.232142857142857E-3</v>
      </c>
      <c r="AZ167" s="101">
        <v>19321.592000000001</v>
      </c>
      <c r="BA167" s="95">
        <v>457</v>
      </c>
      <c r="BB167" s="97">
        <v>2.1881838074398249E-3</v>
      </c>
      <c r="BC167" s="110">
        <v>18183.532999999999</v>
      </c>
      <c r="BD167" s="53">
        <v>439</v>
      </c>
      <c r="BE167" s="54">
        <v>2.2780000000000001E-3</v>
      </c>
      <c r="BF167" s="15">
        <v>28153</v>
      </c>
      <c r="BG167" s="53">
        <v>457</v>
      </c>
      <c r="BH167" s="54">
        <v>2.1879999999999998E-3</v>
      </c>
      <c r="BI167" s="61">
        <v>18184</v>
      </c>
      <c r="BJ167" s="53">
        <v>457</v>
      </c>
      <c r="BK167" s="54">
        <v>2.1879999999999998E-3</v>
      </c>
      <c r="BL167" s="61">
        <v>18184</v>
      </c>
    </row>
    <row r="168" spans="41:64">
      <c r="AO168" s="53">
        <v>425</v>
      </c>
      <c r="AP168" s="54">
        <v>2.35294E-3</v>
      </c>
      <c r="AQ168" s="63">
        <v>22056.351999999999</v>
      </c>
      <c r="AR168" s="53">
        <v>432</v>
      </c>
      <c r="AS168" s="54">
        <v>2.314815E-3</v>
      </c>
      <c r="AT168" s="63">
        <v>21971.65</v>
      </c>
      <c r="AU168" s="53">
        <v>440</v>
      </c>
      <c r="AV168" s="54">
        <v>2.2727300000000001E-3</v>
      </c>
      <c r="AW168" s="63">
        <v>20973.55</v>
      </c>
      <c r="AX168" s="95">
        <v>449</v>
      </c>
      <c r="AY168" s="54">
        <f t="shared" si="2"/>
        <v>2.2271714922048997E-3</v>
      </c>
      <c r="AZ168" s="101">
        <v>20031.223000000002</v>
      </c>
      <c r="BA168" s="95">
        <v>458</v>
      </c>
      <c r="BB168" s="97">
        <v>2.1834061135371178E-3</v>
      </c>
      <c r="BC168" s="110">
        <v>18849.990000000002</v>
      </c>
      <c r="BD168" s="53">
        <v>440</v>
      </c>
      <c r="BE168" s="54">
        <v>2.2729999999999998E-3</v>
      </c>
      <c r="BF168" s="15">
        <v>29146</v>
      </c>
      <c r="BG168" s="53">
        <v>458</v>
      </c>
      <c r="BH168" s="54">
        <v>2.183E-3</v>
      </c>
      <c r="BI168" s="61">
        <v>18850</v>
      </c>
      <c r="BJ168" s="53">
        <v>458</v>
      </c>
      <c r="BK168" s="54">
        <v>2.183E-3</v>
      </c>
      <c r="BL168" s="61">
        <v>18850</v>
      </c>
    </row>
    <row r="169" spans="41:64">
      <c r="AO169" s="53">
        <v>426</v>
      </c>
      <c r="AP169" s="54">
        <v>2.3474199999999998E-3</v>
      </c>
      <c r="AQ169" s="63">
        <v>22866.482</v>
      </c>
      <c r="AR169" s="53">
        <v>433</v>
      </c>
      <c r="AS169" s="54">
        <v>2.3094690000000002E-3</v>
      </c>
      <c r="AT169" s="63">
        <v>22776.79</v>
      </c>
      <c r="AU169" s="53">
        <v>441</v>
      </c>
      <c r="AV169" s="54">
        <v>2.26757E-3</v>
      </c>
      <c r="AW169" s="63">
        <v>21741.8</v>
      </c>
      <c r="AX169" s="95">
        <v>450</v>
      </c>
      <c r="AY169" s="54">
        <f t="shared" si="2"/>
        <v>2.2222222222222222E-3</v>
      </c>
      <c r="AZ169" s="101">
        <v>20762.831999999999</v>
      </c>
      <c r="BA169" s="95">
        <v>459</v>
      </c>
      <c r="BB169" s="97">
        <v>2.1786492374727671E-3</v>
      </c>
      <c r="BC169" s="110">
        <v>19537.025000000001</v>
      </c>
      <c r="BD169" s="53">
        <v>441</v>
      </c>
      <c r="BE169" s="54">
        <v>2.2680000000000001E-3</v>
      </c>
      <c r="BF169" s="15">
        <v>30169</v>
      </c>
      <c r="BG169" s="53">
        <v>459</v>
      </c>
      <c r="BH169" s="54">
        <v>2.1789999999999999E-3</v>
      </c>
      <c r="BI169" s="61">
        <v>19537</v>
      </c>
      <c r="BJ169" s="53">
        <v>459</v>
      </c>
      <c r="BK169" s="54">
        <v>2.1789999999999999E-3</v>
      </c>
      <c r="BL169" s="61">
        <v>19537</v>
      </c>
    </row>
    <row r="170" spans="41:64">
      <c r="AO170" s="53">
        <v>427</v>
      </c>
      <c r="AP170" s="54">
        <v>2.3419199999999999E-3</v>
      </c>
      <c r="AQ170" s="63">
        <v>23701.8</v>
      </c>
      <c r="AR170" s="53">
        <v>434</v>
      </c>
      <c r="AS170" s="54">
        <v>2.3041469999999999E-3</v>
      </c>
      <c r="AT170" s="63">
        <v>23606.86</v>
      </c>
      <c r="AU170" s="53">
        <v>442</v>
      </c>
      <c r="AV170" s="54">
        <v>2.2624400000000001E-3</v>
      </c>
      <c r="AW170" s="63">
        <v>22533.8</v>
      </c>
      <c r="AX170" s="95">
        <v>451</v>
      </c>
      <c r="AY170" s="54">
        <f t="shared" si="2"/>
        <v>2.2172949002217295E-3</v>
      </c>
      <c r="AZ170" s="101">
        <v>21516.965</v>
      </c>
      <c r="BA170" s="95">
        <v>460</v>
      </c>
      <c r="BB170" s="97">
        <v>2.1739130434782609E-3</v>
      </c>
      <c r="BC170" s="110">
        <v>20245.14</v>
      </c>
      <c r="BD170" s="53">
        <v>442</v>
      </c>
      <c r="BE170" s="54">
        <v>2.2620000000000001E-3</v>
      </c>
      <c r="BF170" s="15">
        <v>31221</v>
      </c>
      <c r="BG170" s="53">
        <v>460</v>
      </c>
      <c r="BH170" s="54">
        <v>2.1740000000000002E-3</v>
      </c>
      <c r="BI170" s="61">
        <v>20245</v>
      </c>
      <c r="BJ170" s="53">
        <v>460</v>
      </c>
      <c r="BK170" s="54">
        <v>2.1740000000000002E-3</v>
      </c>
      <c r="BL170" s="61">
        <v>20245</v>
      </c>
    </row>
    <row r="171" spans="41:64">
      <c r="AO171" s="53">
        <v>428</v>
      </c>
      <c r="AP171" s="54">
        <v>2.3364499999999999E-3</v>
      </c>
      <c r="AQ171" s="63">
        <v>24562.934000000001</v>
      </c>
      <c r="AR171" s="53">
        <v>435</v>
      </c>
      <c r="AS171" s="54">
        <v>2.2988510000000002E-3</v>
      </c>
      <c r="AT171" s="63">
        <v>24462.48</v>
      </c>
      <c r="AU171" s="53">
        <v>443</v>
      </c>
      <c r="AV171" s="54">
        <v>2.25734E-3</v>
      </c>
      <c r="AW171" s="63">
        <v>23350.14</v>
      </c>
      <c r="AX171" s="95">
        <v>452</v>
      </c>
      <c r="AY171" s="54">
        <f t="shared" si="2"/>
        <v>2.2123893805309734E-3</v>
      </c>
      <c r="AZ171" s="101">
        <v>22294.168000000001</v>
      </c>
      <c r="BA171" s="95">
        <v>461</v>
      </c>
      <c r="BB171" s="97">
        <v>2.1691973969631237E-3</v>
      </c>
      <c r="BC171" s="110">
        <v>20974.846000000001</v>
      </c>
      <c r="BD171" s="53">
        <v>443</v>
      </c>
      <c r="BE171" s="54">
        <v>2.2569999999999999E-3</v>
      </c>
      <c r="BF171" s="15">
        <v>32305</v>
      </c>
      <c r="BG171" s="53">
        <v>461</v>
      </c>
      <c r="BH171" s="54">
        <v>2.1689999999999999E-3</v>
      </c>
      <c r="BI171" s="61">
        <v>20975</v>
      </c>
      <c r="BJ171" s="53">
        <v>461</v>
      </c>
      <c r="BK171" s="54">
        <v>2.1689999999999999E-3</v>
      </c>
      <c r="BL171" s="61">
        <v>20975</v>
      </c>
    </row>
    <row r="172" spans="41:64">
      <c r="AO172" s="53">
        <v>429</v>
      </c>
      <c r="AP172" s="54">
        <v>2.3310000000000002E-3</v>
      </c>
      <c r="AQ172" s="63">
        <v>25450.521000000001</v>
      </c>
      <c r="AR172" s="53">
        <v>436</v>
      </c>
      <c r="AS172" s="54">
        <v>2.2935780000000001E-3</v>
      </c>
      <c r="AT172" s="63">
        <v>25344.27</v>
      </c>
      <c r="AU172" s="53">
        <v>444</v>
      </c>
      <c r="AV172" s="54">
        <v>2.2522499999999999E-3</v>
      </c>
      <c r="AW172" s="63">
        <v>24191.4</v>
      </c>
      <c r="AX172" s="95">
        <v>453</v>
      </c>
      <c r="AY172" s="54">
        <f t="shared" si="2"/>
        <v>2.2075055187637969E-3</v>
      </c>
      <c r="AZ172" s="101">
        <v>23095</v>
      </c>
      <c r="BA172" s="95">
        <v>462</v>
      </c>
      <c r="BB172" s="97">
        <v>2.1645021645021645E-3</v>
      </c>
      <c r="BC172" s="110">
        <v>21726.662</v>
      </c>
      <c r="BD172" s="53">
        <v>444</v>
      </c>
      <c r="BE172" s="54">
        <v>2.2520000000000001E-3</v>
      </c>
      <c r="BF172" s="15">
        <v>33420</v>
      </c>
      <c r="BG172" s="53">
        <v>462</v>
      </c>
      <c r="BH172" s="54">
        <v>2.1649999999999998E-3</v>
      </c>
      <c r="BI172" s="61">
        <v>21727</v>
      </c>
      <c r="BJ172" s="53">
        <v>462</v>
      </c>
      <c r="BK172" s="54">
        <v>2.1649999999999998E-3</v>
      </c>
      <c r="BL172" s="61">
        <v>21727</v>
      </c>
    </row>
    <row r="173" spans="41:64">
      <c r="AO173" s="53">
        <v>430</v>
      </c>
      <c r="AP173" s="54">
        <v>2.3255799999999998E-3</v>
      </c>
      <c r="AQ173" s="63">
        <v>26365.213</v>
      </c>
      <c r="AR173" s="53">
        <v>437</v>
      </c>
      <c r="AS173" s="54">
        <v>2.2883299999999999E-3</v>
      </c>
      <c r="AT173" s="63">
        <v>26252.87</v>
      </c>
      <c r="AU173" s="53">
        <v>445</v>
      </c>
      <c r="AV173" s="54">
        <v>2.24719E-3</v>
      </c>
      <c r="AW173" s="63">
        <v>25058.2</v>
      </c>
      <c r="AX173" s="95">
        <v>454</v>
      </c>
      <c r="AY173" s="54">
        <f t="shared" si="2"/>
        <v>2.2026431718061676E-3</v>
      </c>
      <c r="AZ173" s="101">
        <v>23920.030999999999</v>
      </c>
      <c r="BA173" s="95">
        <v>463</v>
      </c>
      <c r="BB173" s="97">
        <v>2.1598272138228943E-3</v>
      </c>
      <c r="BC173" s="110">
        <v>22501.115000000002</v>
      </c>
      <c r="BD173" s="53">
        <v>445</v>
      </c>
      <c r="BE173" s="54">
        <v>2.2469999999999999E-3</v>
      </c>
      <c r="BF173" s="15">
        <v>34567</v>
      </c>
      <c r="BG173" s="53">
        <v>463</v>
      </c>
      <c r="BH173" s="54">
        <v>2.16E-3</v>
      </c>
      <c r="BI173" s="61">
        <v>22501</v>
      </c>
      <c r="BJ173" s="53">
        <v>463</v>
      </c>
      <c r="BK173" s="54">
        <v>2.16E-3</v>
      </c>
      <c r="BL173" s="61">
        <v>22501</v>
      </c>
    </row>
    <row r="174" spans="41:64">
      <c r="AO174" s="53">
        <v>431</v>
      </c>
      <c r="AP174" s="54">
        <v>2.3201900000000002E-3</v>
      </c>
      <c r="AQ174" s="63">
        <v>27307.671999999999</v>
      </c>
      <c r="AR174" s="53">
        <v>438</v>
      </c>
      <c r="AS174" s="54">
        <v>2.2831050000000001E-3</v>
      </c>
      <c r="AT174" s="63">
        <v>27188.93</v>
      </c>
      <c r="AU174" s="53">
        <v>446</v>
      </c>
      <c r="AV174" s="54">
        <v>2.24215E-3</v>
      </c>
      <c r="AW174" s="63">
        <v>25951.14</v>
      </c>
      <c r="AX174" s="95">
        <v>455</v>
      </c>
      <c r="AY174" s="54">
        <f t="shared" si="2"/>
        <v>2.1978021978021978E-3</v>
      </c>
      <c r="AZ174" s="101">
        <v>24769.835999999999</v>
      </c>
      <c r="BA174" s="95">
        <v>464</v>
      </c>
      <c r="BB174" s="97">
        <v>2.1551724137931034E-3</v>
      </c>
      <c r="BC174" s="110">
        <v>23298.743999999999</v>
      </c>
      <c r="BD174" s="53">
        <v>446</v>
      </c>
      <c r="BE174" s="54">
        <v>2.2420000000000001E-3</v>
      </c>
      <c r="BF174" s="15">
        <v>35748</v>
      </c>
      <c r="BG174" s="53">
        <v>464</v>
      </c>
      <c r="BH174" s="54">
        <v>2.1549999999999998E-3</v>
      </c>
      <c r="BI174" s="61">
        <v>23299</v>
      </c>
      <c r="BJ174" s="53">
        <v>464</v>
      </c>
      <c r="BK174" s="54">
        <v>2.1549999999999998E-3</v>
      </c>
      <c r="BL174" s="61">
        <v>23299</v>
      </c>
    </row>
    <row r="175" spans="41:64">
      <c r="AO175" s="53">
        <v>432</v>
      </c>
      <c r="AP175" s="54">
        <v>2.31481E-3</v>
      </c>
      <c r="AQ175" s="63">
        <v>28278.57</v>
      </c>
      <c r="AR175" s="53">
        <v>439</v>
      </c>
      <c r="AS175" s="54">
        <v>2.2779039999999999E-3</v>
      </c>
      <c r="AT175" s="63">
        <v>28153.11</v>
      </c>
      <c r="AU175" s="53">
        <v>447</v>
      </c>
      <c r="AV175" s="54">
        <v>2.2371399999999999E-3</v>
      </c>
      <c r="AW175" s="63">
        <v>26870.86</v>
      </c>
      <c r="AX175" s="95">
        <v>456</v>
      </c>
      <c r="AY175" s="54">
        <f t="shared" si="2"/>
        <v>2.1929824561403508E-3</v>
      </c>
      <c r="AZ175" s="101">
        <v>25645.002</v>
      </c>
      <c r="BA175" s="95">
        <v>465</v>
      </c>
      <c r="BB175" s="97">
        <v>2.1505376344086021E-3</v>
      </c>
      <c r="BC175" s="110">
        <v>24120.09</v>
      </c>
      <c r="BD175" s="53">
        <v>447</v>
      </c>
      <c r="BE175" s="54">
        <v>2.2369999999999998E-3</v>
      </c>
      <c r="BF175" s="15">
        <v>36962</v>
      </c>
      <c r="BG175" s="53">
        <v>465</v>
      </c>
      <c r="BH175" s="54">
        <v>2.1510000000000001E-3</v>
      </c>
      <c r="BI175" s="61">
        <v>24120</v>
      </c>
      <c r="BJ175" s="53">
        <v>465</v>
      </c>
      <c r="BK175" s="54">
        <v>2.1510000000000001E-3</v>
      </c>
      <c r="BL175" s="61">
        <v>24120</v>
      </c>
    </row>
    <row r="176" spans="41:64">
      <c r="AO176" s="53">
        <v>433</v>
      </c>
      <c r="AP176" s="54">
        <v>2.3094700000000001E-3</v>
      </c>
      <c r="AQ176" s="63">
        <v>29278.592000000001</v>
      </c>
      <c r="AR176" s="53">
        <v>440</v>
      </c>
      <c r="AS176" s="54">
        <v>2.272727E-3</v>
      </c>
      <c r="AT176" s="63">
        <v>29146.09</v>
      </c>
      <c r="AU176" s="53">
        <v>448</v>
      </c>
      <c r="AV176" s="54">
        <v>2.2321400000000001E-3</v>
      </c>
      <c r="AW176" s="63">
        <v>27817.98</v>
      </c>
      <c r="AX176" s="95">
        <v>457</v>
      </c>
      <c r="AY176" s="54">
        <f t="shared" si="2"/>
        <v>2.1881838074398249E-3</v>
      </c>
      <c r="AZ176" s="101">
        <v>26546.127</v>
      </c>
      <c r="BA176" s="95">
        <v>466</v>
      </c>
      <c r="BB176" s="97">
        <v>2.1459227467811159E-3</v>
      </c>
      <c r="BC176" s="110">
        <v>24965.71</v>
      </c>
      <c r="BD176" s="53">
        <v>448</v>
      </c>
      <c r="BE176" s="54">
        <v>2.232E-3</v>
      </c>
      <c r="BF176" s="15">
        <v>38211</v>
      </c>
      <c r="BG176" s="53">
        <v>466</v>
      </c>
      <c r="BH176" s="54">
        <v>2.1459999999999999E-3</v>
      </c>
      <c r="BI176" s="61">
        <v>24966</v>
      </c>
      <c r="BJ176" s="53">
        <v>466</v>
      </c>
      <c r="BK176" s="54">
        <v>2.1459999999999999E-3</v>
      </c>
      <c r="BL176" s="61">
        <v>24966</v>
      </c>
    </row>
    <row r="177" spans="41:64">
      <c r="AO177" s="53">
        <v>434</v>
      </c>
      <c r="AP177" s="54">
        <v>2.30415E-3</v>
      </c>
      <c r="AQ177" s="63">
        <v>30308.437999999998</v>
      </c>
      <c r="AR177" s="53">
        <v>441</v>
      </c>
      <c r="AS177" s="54">
        <v>2.2675740000000001E-3</v>
      </c>
      <c r="AT177" s="63">
        <v>30168.54</v>
      </c>
      <c r="AU177" s="53">
        <v>449</v>
      </c>
      <c r="AV177" s="54">
        <v>2.2271700000000001E-3</v>
      </c>
      <c r="AW177" s="63">
        <v>28793.16</v>
      </c>
      <c r="AX177" s="95">
        <v>458</v>
      </c>
      <c r="AY177" s="54">
        <f t="shared" si="2"/>
        <v>2.1834061135371178E-3</v>
      </c>
      <c r="AZ177" s="101">
        <v>27473.815999999999</v>
      </c>
      <c r="BA177" s="95">
        <v>467</v>
      </c>
      <c r="BB177" s="97">
        <v>2.1413276231263384E-3</v>
      </c>
      <c r="BC177" s="110">
        <v>25836.164000000001</v>
      </c>
      <c r="BD177" s="53">
        <v>449</v>
      </c>
      <c r="BE177" s="54">
        <v>2.2269999999999998E-3</v>
      </c>
      <c r="BF177" s="15">
        <v>39495</v>
      </c>
      <c r="BG177" s="53">
        <v>467</v>
      </c>
      <c r="BH177" s="54">
        <v>2.1410000000000001E-3</v>
      </c>
      <c r="BI177" s="61">
        <v>25836</v>
      </c>
      <c r="BJ177" s="53">
        <v>467</v>
      </c>
      <c r="BK177" s="54">
        <v>2.1410000000000001E-3</v>
      </c>
      <c r="BL177" s="61">
        <v>25836</v>
      </c>
    </row>
    <row r="178" spans="41:64">
      <c r="AO178" s="53">
        <v>435</v>
      </c>
      <c r="AP178" s="54">
        <v>2.2988499999999999E-3</v>
      </c>
      <c r="AQ178" s="63">
        <v>31368.812000000002</v>
      </c>
      <c r="AR178" s="53">
        <v>442</v>
      </c>
      <c r="AS178" s="54">
        <v>2.2624429999999998E-3</v>
      </c>
      <c r="AT178" s="63">
        <v>31221.16</v>
      </c>
      <c r="AU178" s="53">
        <v>450</v>
      </c>
      <c r="AV178" s="54">
        <v>2.22222E-3</v>
      </c>
      <c r="AW178" s="63">
        <v>29797.040000000001</v>
      </c>
      <c r="AX178" s="95">
        <v>459</v>
      </c>
      <c r="AY178" s="54">
        <f t="shared" si="2"/>
        <v>2.1786492374727671E-3</v>
      </c>
      <c r="AZ178" s="101">
        <v>28428.684000000001</v>
      </c>
      <c r="BA178" s="95">
        <v>468</v>
      </c>
      <c r="BB178" s="97">
        <v>2.136752136752137E-3</v>
      </c>
      <c r="BC178" s="110">
        <v>26732.023000000001</v>
      </c>
      <c r="BD178" s="53">
        <v>450</v>
      </c>
      <c r="BE178" s="54">
        <v>2.222E-3</v>
      </c>
      <c r="BF178" s="15">
        <v>40815</v>
      </c>
      <c r="BG178" s="53">
        <v>468</v>
      </c>
      <c r="BH178" s="54">
        <v>2.137E-3</v>
      </c>
      <c r="BI178" s="61">
        <v>26732</v>
      </c>
      <c r="BJ178" s="53">
        <v>468</v>
      </c>
      <c r="BK178" s="54">
        <v>2.137E-3</v>
      </c>
      <c r="BL178" s="61">
        <v>26732</v>
      </c>
    </row>
    <row r="179" spans="41:64">
      <c r="AO179" s="53">
        <v>436</v>
      </c>
      <c r="AP179" s="54">
        <v>2.2935799999999999E-3</v>
      </c>
      <c r="AQ179" s="63">
        <v>32460.437999999998</v>
      </c>
      <c r="AR179" s="53">
        <v>443</v>
      </c>
      <c r="AS179" s="54">
        <v>2.257336E-3</v>
      </c>
      <c r="AT179" s="63">
        <v>32304.65</v>
      </c>
      <c r="AU179" s="53">
        <v>451</v>
      </c>
      <c r="AV179" s="54">
        <v>2.2172899999999998E-3</v>
      </c>
      <c r="AW179" s="63">
        <v>30830.3</v>
      </c>
      <c r="AX179" s="95">
        <v>460</v>
      </c>
      <c r="AY179" s="54">
        <f t="shared" si="2"/>
        <v>2.1739130434782609E-3</v>
      </c>
      <c r="AZ179" s="101">
        <v>29411.355</v>
      </c>
      <c r="BA179" s="95">
        <v>469</v>
      </c>
      <c r="BB179" s="97">
        <v>2.1321961620469083E-3</v>
      </c>
      <c r="BC179" s="110">
        <v>27653.866999999998</v>
      </c>
      <c r="BD179" s="53">
        <v>451</v>
      </c>
      <c r="BE179" s="54">
        <v>2.2169999999999998E-3</v>
      </c>
      <c r="BF179" s="15">
        <v>42172</v>
      </c>
      <c r="BG179" s="53">
        <v>469</v>
      </c>
      <c r="BH179" s="54">
        <v>2.1320000000000002E-3</v>
      </c>
      <c r="BI179" s="61">
        <v>27654</v>
      </c>
      <c r="BJ179" s="53">
        <v>469</v>
      </c>
      <c r="BK179" s="54">
        <v>2.1320000000000002E-3</v>
      </c>
      <c r="BL179" s="61">
        <v>27654</v>
      </c>
    </row>
    <row r="180" spans="41:64">
      <c r="AO180" s="53">
        <v>437</v>
      </c>
      <c r="AP180" s="54">
        <v>2.2883299999999999E-3</v>
      </c>
      <c r="AQ180" s="63">
        <v>33584.042999999998</v>
      </c>
      <c r="AR180" s="53">
        <v>444</v>
      </c>
      <c r="AS180" s="54">
        <v>2.2522520000000002E-3</v>
      </c>
      <c r="AT180" s="63">
        <v>33419.730000000003</v>
      </c>
      <c r="AU180" s="53">
        <v>452</v>
      </c>
      <c r="AV180" s="54">
        <v>2.2123899999999998E-3</v>
      </c>
      <c r="AW180" s="63">
        <v>31893.61</v>
      </c>
      <c r="AX180" s="95">
        <v>461</v>
      </c>
      <c r="AY180" s="54">
        <f t="shared" si="2"/>
        <v>2.1691973969631237E-3</v>
      </c>
      <c r="AZ180" s="101">
        <v>30422.465</v>
      </c>
      <c r="BA180" s="95">
        <v>470</v>
      </c>
      <c r="BB180" s="97">
        <v>2.1276595744680851E-3</v>
      </c>
      <c r="BC180" s="110">
        <v>28602.285</v>
      </c>
      <c r="BD180" s="53">
        <v>452</v>
      </c>
      <c r="BE180" s="54">
        <v>2.212E-3</v>
      </c>
      <c r="BF180" s="15">
        <v>43567</v>
      </c>
      <c r="BG180" s="53">
        <v>470</v>
      </c>
      <c r="BH180" s="54">
        <v>2.1280000000000001E-3</v>
      </c>
      <c r="BI180" s="61">
        <v>28602</v>
      </c>
      <c r="BJ180" s="53">
        <v>470</v>
      </c>
      <c r="BK180" s="54">
        <v>2.1280000000000001E-3</v>
      </c>
      <c r="BL180" s="61">
        <v>28602</v>
      </c>
    </row>
    <row r="181" spans="41:64">
      <c r="AO181" s="53">
        <v>438</v>
      </c>
      <c r="AP181" s="54">
        <v>2.2831100000000001E-3</v>
      </c>
      <c r="AQ181" s="63">
        <v>34740.379999999997</v>
      </c>
      <c r="AR181" s="53">
        <v>445</v>
      </c>
      <c r="AS181" s="54">
        <v>2.2471909999999999E-3</v>
      </c>
      <c r="AT181" s="63">
        <v>34567.120000000003</v>
      </c>
      <c r="AU181" s="53">
        <v>453</v>
      </c>
      <c r="AV181" s="54">
        <v>2.2075100000000002E-3</v>
      </c>
      <c r="AW181" s="63">
        <v>32987.660000000003</v>
      </c>
      <c r="AX181" s="95">
        <v>462</v>
      </c>
      <c r="AY181" s="54">
        <f t="shared" si="2"/>
        <v>2.1645021645021645E-3</v>
      </c>
      <c r="AZ181" s="101">
        <v>31462.657999999999</v>
      </c>
      <c r="BA181" s="95">
        <v>471</v>
      </c>
      <c r="BB181" s="97">
        <v>2.1231422505307855E-3</v>
      </c>
      <c r="BC181" s="110">
        <v>29577.870999999999</v>
      </c>
      <c r="BD181" s="53">
        <v>453</v>
      </c>
      <c r="BE181" s="54">
        <v>2.2079999999999999E-3</v>
      </c>
      <c r="BF181" s="15">
        <v>45001</v>
      </c>
      <c r="BG181" s="53">
        <v>471</v>
      </c>
      <c r="BH181" s="54">
        <v>2.1229999999999999E-3</v>
      </c>
      <c r="BI181" s="61">
        <v>29578</v>
      </c>
      <c r="BJ181" s="53">
        <v>471</v>
      </c>
      <c r="BK181" s="54">
        <v>2.1229999999999999E-3</v>
      </c>
      <c r="BL181" s="61">
        <v>29578</v>
      </c>
    </row>
    <row r="182" spans="41:64">
      <c r="AO182" s="53">
        <v>439</v>
      </c>
      <c r="AP182" s="54">
        <v>2.2778999999999998E-3</v>
      </c>
      <c r="AQ182" s="63">
        <v>35930.195</v>
      </c>
      <c r="AR182" s="53">
        <v>446</v>
      </c>
      <c r="AS182" s="54">
        <v>2.2421519999999999E-3</v>
      </c>
      <c r="AT182" s="63">
        <v>35747.57</v>
      </c>
      <c r="AU182" s="53">
        <v>454</v>
      </c>
      <c r="AV182" s="54">
        <v>2.2026400000000001E-3</v>
      </c>
      <c r="AW182" s="63">
        <v>34113.14</v>
      </c>
      <c r="AX182" s="95">
        <v>463</v>
      </c>
      <c r="AY182" s="54">
        <f t="shared" ref="AY182:AY219" si="3">1/AX182</f>
        <v>2.1598272138228943E-3</v>
      </c>
      <c r="AZ182" s="101">
        <v>32532.585999999999</v>
      </c>
      <c r="BA182" s="95">
        <v>472</v>
      </c>
      <c r="BB182" s="97">
        <v>2.1186440677966102E-3</v>
      </c>
      <c r="BC182" s="110">
        <v>30581.234</v>
      </c>
      <c r="BD182" s="53">
        <v>454</v>
      </c>
      <c r="BE182" s="54">
        <v>2.2030000000000001E-3</v>
      </c>
      <c r="BF182" s="15">
        <v>46474</v>
      </c>
      <c r="BG182" s="53">
        <v>472</v>
      </c>
      <c r="BH182" s="54">
        <v>2.1189999999999998E-3</v>
      </c>
      <c r="BI182" s="61">
        <v>30581</v>
      </c>
      <c r="BJ182" s="53">
        <v>472</v>
      </c>
      <c r="BK182" s="54">
        <v>2.1189999999999998E-3</v>
      </c>
      <c r="BL182" s="61">
        <v>30581</v>
      </c>
    </row>
    <row r="183" spans="41:64">
      <c r="AO183" s="53">
        <v>440</v>
      </c>
      <c r="AP183" s="54">
        <v>2.2727300000000001E-3</v>
      </c>
      <c r="AQ183" s="63">
        <v>37154.26</v>
      </c>
      <c r="AR183" s="53">
        <v>447</v>
      </c>
      <c r="AS183" s="54">
        <v>2.2371359999999998E-3</v>
      </c>
      <c r="AT183" s="63">
        <v>36961.83</v>
      </c>
      <c r="AU183" s="53">
        <v>455</v>
      </c>
      <c r="AV183" s="54">
        <v>2.1978000000000002E-3</v>
      </c>
      <c r="AW183" s="63">
        <v>35270.769999999997</v>
      </c>
      <c r="AX183" s="95">
        <v>464</v>
      </c>
      <c r="AY183" s="54">
        <f t="shared" si="3"/>
        <v>2.1551724137931034E-3</v>
      </c>
      <c r="AZ183" s="101">
        <v>33632.913999999997</v>
      </c>
      <c r="BA183" s="95">
        <v>473</v>
      </c>
      <c r="BB183" s="97">
        <v>2.1141649048625794E-3</v>
      </c>
      <c r="BC183" s="110">
        <v>31612.988000000001</v>
      </c>
      <c r="BD183" s="53">
        <v>455</v>
      </c>
      <c r="BE183" s="54">
        <v>2.1979999999999999E-3</v>
      </c>
      <c r="BF183" s="15">
        <v>47987</v>
      </c>
      <c r="BG183" s="53">
        <v>473</v>
      </c>
      <c r="BH183" s="54">
        <v>2.114E-3</v>
      </c>
      <c r="BI183" s="61">
        <v>31613</v>
      </c>
      <c r="BJ183" s="53">
        <v>473</v>
      </c>
      <c r="BK183" s="54">
        <v>2.114E-3</v>
      </c>
      <c r="BL183" s="61">
        <v>31613</v>
      </c>
    </row>
    <row r="184" spans="41:64">
      <c r="AO184" s="53">
        <v>441</v>
      </c>
      <c r="AP184" s="54">
        <v>2.26757E-3</v>
      </c>
      <c r="AQ184" s="63">
        <v>38413.362999999998</v>
      </c>
      <c r="AR184" s="53">
        <v>448</v>
      </c>
      <c r="AS184" s="54">
        <v>2.2321429999999998E-3</v>
      </c>
      <c r="AT184" s="63">
        <v>38210.65</v>
      </c>
      <c r="AU184" s="53">
        <v>456</v>
      </c>
      <c r="AV184" s="54">
        <v>2.1929800000000002E-3</v>
      </c>
      <c r="AW184" s="63">
        <v>36461.269999999997</v>
      </c>
      <c r="AX184" s="95">
        <v>465</v>
      </c>
      <c r="AY184" s="54">
        <f t="shared" si="3"/>
        <v>2.1505376344086021E-3</v>
      </c>
      <c r="AZ184" s="101">
        <v>34764.315999999999</v>
      </c>
      <c r="BA184" s="95">
        <v>474</v>
      </c>
      <c r="BB184" s="97">
        <v>2.1097046413502108E-3</v>
      </c>
      <c r="BC184" s="110">
        <v>32673.754000000001</v>
      </c>
      <c r="BD184" s="53">
        <v>456</v>
      </c>
      <c r="BE184" s="54">
        <v>2.1930000000000001E-3</v>
      </c>
      <c r="BF184" s="15">
        <v>49541</v>
      </c>
      <c r="BG184" s="53">
        <v>474</v>
      </c>
      <c r="BH184" s="54">
        <v>2.1099999999999999E-3</v>
      </c>
      <c r="BI184" s="61">
        <v>32674</v>
      </c>
      <c r="BJ184" s="53">
        <v>474</v>
      </c>
      <c r="BK184" s="54">
        <v>2.1099999999999999E-3</v>
      </c>
      <c r="BL184" s="61">
        <v>32674</v>
      </c>
    </row>
    <row r="185" spans="41:64">
      <c r="AO185" s="53">
        <v>442</v>
      </c>
      <c r="AP185" s="54">
        <v>2.2624400000000001E-3</v>
      </c>
      <c r="AQ185" s="63">
        <v>39708.285000000003</v>
      </c>
      <c r="AR185" s="53">
        <v>449</v>
      </c>
      <c r="AS185" s="54">
        <v>2.227171E-3</v>
      </c>
      <c r="AT185" s="63">
        <v>39494.81</v>
      </c>
      <c r="AU185" s="53">
        <v>457</v>
      </c>
      <c r="AV185" s="54">
        <v>2.1881800000000001E-3</v>
      </c>
      <c r="AW185" s="63">
        <v>37685.35</v>
      </c>
      <c r="AX185" s="95">
        <v>466</v>
      </c>
      <c r="AY185" s="54">
        <f t="shared" si="3"/>
        <v>2.1459227467811159E-3</v>
      </c>
      <c r="AZ185" s="101">
        <v>35927.476999999999</v>
      </c>
      <c r="BA185" s="95">
        <v>475</v>
      </c>
      <c r="BB185" s="97">
        <v>2.1052631578947368E-3</v>
      </c>
      <c r="BC185" s="110">
        <v>33764.167999999998</v>
      </c>
      <c r="BD185" s="53">
        <v>457</v>
      </c>
      <c r="BE185" s="54">
        <v>2.1879999999999998E-3</v>
      </c>
      <c r="BF185" s="15">
        <v>51137</v>
      </c>
      <c r="BG185" s="53">
        <v>475</v>
      </c>
      <c r="BH185" s="54">
        <v>2.1050000000000001E-3</v>
      </c>
      <c r="BI185" s="61">
        <v>33764</v>
      </c>
      <c r="BJ185" s="53">
        <v>475</v>
      </c>
      <c r="BK185" s="54">
        <v>2.1050000000000001E-3</v>
      </c>
      <c r="BL185" s="61">
        <v>33764</v>
      </c>
    </row>
    <row r="186" spans="41:64">
      <c r="AO186" s="53">
        <v>443</v>
      </c>
      <c r="AP186" s="54">
        <v>2.25734E-3</v>
      </c>
      <c r="AQ186" s="63">
        <v>41039.839999999997</v>
      </c>
      <c r="AR186" s="53">
        <v>450</v>
      </c>
      <c r="AS186" s="54">
        <v>2.2222219999999998E-3</v>
      </c>
      <c r="AT186" s="63">
        <v>40815.11</v>
      </c>
      <c r="AU186" s="53">
        <v>458</v>
      </c>
      <c r="AV186" s="54">
        <v>2.1834100000000002E-3</v>
      </c>
      <c r="AW186" s="63">
        <v>38943.78</v>
      </c>
      <c r="AX186" s="95">
        <v>467</v>
      </c>
      <c r="AY186" s="54">
        <f t="shared" si="3"/>
        <v>2.1413276231263384E-3</v>
      </c>
      <c r="AZ186" s="101">
        <v>37123.082000000002</v>
      </c>
      <c r="BA186" s="95">
        <v>476</v>
      </c>
      <c r="BB186" s="97">
        <v>2.1008403361344537E-3</v>
      </c>
      <c r="BC186" s="110">
        <v>34884.866999999998</v>
      </c>
      <c r="BD186" s="53">
        <v>458</v>
      </c>
      <c r="BE186" s="54">
        <v>2.183E-3</v>
      </c>
      <c r="BF186" s="15">
        <v>52776</v>
      </c>
      <c r="BG186" s="53">
        <v>476</v>
      </c>
      <c r="BH186" s="54">
        <v>2.101E-3</v>
      </c>
      <c r="BI186" s="61">
        <v>34885</v>
      </c>
      <c r="BJ186" s="53">
        <v>476</v>
      </c>
      <c r="BK186" s="54">
        <v>2.101E-3</v>
      </c>
      <c r="BL186" s="61">
        <v>34885</v>
      </c>
    </row>
    <row r="187" spans="41:64">
      <c r="AO187" s="53">
        <v>444</v>
      </c>
      <c r="AP187" s="54">
        <v>2.2522499999999999E-3</v>
      </c>
      <c r="AQ187" s="63">
        <v>42408.843999999997</v>
      </c>
      <c r="AR187" s="53">
        <v>451</v>
      </c>
      <c r="AS187" s="54">
        <v>2.2172950000000002E-3</v>
      </c>
      <c r="AT187" s="63">
        <v>42172.32</v>
      </c>
      <c r="AU187" s="53">
        <v>459</v>
      </c>
      <c r="AV187" s="54">
        <v>2.1786499999999999E-3</v>
      </c>
      <c r="AW187" s="63">
        <v>40237.29</v>
      </c>
      <c r="AX187" s="95">
        <v>468</v>
      </c>
      <c r="AY187" s="54">
        <f t="shared" si="3"/>
        <v>2.136752136752137E-3</v>
      </c>
      <c r="AZ187" s="101">
        <v>38351.843999999997</v>
      </c>
      <c r="BA187" s="95">
        <v>477</v>
      </c>
      <c r="BB187" s="97">
        <v>2.0964360587002098E-3</v>
      </c>
      <c r="BC187" s="110">
        <v>36036.5</v>
      </c>
      <c r="BD187" s="53">
        <v>459</v>
      </c>
      <c r="BE187" s="54">
        <v>2.1789999999999999E-3</v>
      </c>
      <c r="BF187" s="15">
        <v>54459</v>
      </c>
      <c r="BG187" s="53">
        <v>477</v>
      </c>
      <c r="BH187" s="54">
        <v>2.0960000000000002E-3</v>
      </c>
      <c r="BI187" s="61">
        <v>36037</v>
      </c>
      <c r="BJ187" s="53">
        <v>477</v>
      </c>
      <c r="BK187" s="54">
        <v>2.0960000000000002E-3</v>
      </c>
      <c r="BL187" s="61">
        <v>36037</v>
      </c>
    </row>
    <row r="188" spans="41:64">
      <c r="AO188" s="53">
        <v>445</v>
      </c>
      <c r="AP188" s="54">
        <v>2.24719E-3</v>
      </c>
      <c r="AQ188" s="63">
        <v>43816.125</v>
      </c>
      <c r="AR188" s="53">
        <v>452</v>
      </c>
      <c r="AS188" s="54">
        <v>2.2123889999999999E-3</v>
      </c>
      <c r="AT188" s="63">
        <v>43567.27</v>
      </c>
      <c r="AU188" s="53">
        <v>460</v>
      </c>
      <c r="AV188" s="54">
        <v>2.1739099999999998E-3</v>
      </c>
      <c r="AW188" s="63">
        <v>41566.65</v>
      </c>
      <c r="AX188" s="95">
        <v>469</v>
      </c>
      <c r="AY188" s="54">
        <f t="shared" si="3"/>
        <v>2.1321961620469083E-3</v>
      </c>
      <c r="AZ188" s="101">
        <v>39614.47</v>
      </c>
      <c r="BA188" s="95">
        <v>478</v>
      </c>
      <c r="BB188" s="97">
        <v>2.0920502092050207E-3</v>
      </c>
      <c r="BC188" s="110">
        <v>37219.733999999997</v>
      </c>
      <c r="BD188" s="53">
        <v>460</v>
      </c>
      <c r="BE188" s="54">
        <v>2.1740000000000002E-3</v>
      </c>
      <c r="BF188" s="15">
        <v>56186</v>
      </c>
      <c r="BG188" s="53">
        <v>478</v>
      </c>
      <c r="BH188" s="54">
        <v>2.0920000000000001E-3</v>
      </c>
      <c r="BI188" s="61">
        <v>37220</v>
      </c>
      <c r="BJ188" s="53">
        <v>478</v>
      </c>
      <c r="BK188" s="54">
        <v>2.0920000000000001E-3</v>
      </c>
      <c r="BL188" s="61">
        <v>37220</v>
      </c>
    </row>
    <row r="189" spans="41:64">
      <c r="AO189" s="53">
        <v>446</v>
      </c>
      <c r="AP189" s="54">
        <v>2.24215E-3</v>
      </c>
      <c r="AQ189" s="63">
        <v>45262.53</v>
      </c>
      <c r="AR189" s="53">
        <v>453</v>
      </c>
      <c r="AS189" s="54">
        <v>2.2075060000000001E-3</v>
      </c>
      <c r="AT189" s="63">
        <v>45000.78</v>
      </c>
      <c r="AU189" s="53">
        <v>461</v>
      </c>
      <c r="AV189" s="54">
        <v>2.1692E-3</v>
      </c>
      <c r="AW189" s="63">
        <v>42932.63</v>
      </c>
      <c r="AX189" s="95">
        <v>470</v>
      </c>
      <c r="AY189" s="54">
        <f t="shared" si="3"/>
        <v>2.1276595744680851E-3</v>
      </c>
      <c r="AZ189" s="101">
        <v>40911.684000000001</v>
      </c>
      <c r="BA189" s="95">
        <v>479</v>
      </c>
      <c r="BB189" s="97">
        <v>2.0876826722338203E-3</v>
      </c>
      <c r="BC189" s="110">
        <v>38435.230000000003</v>
      </c>
      <c r="BD189" s="53">
        <v>461</v>
      </c>
      <c r="BE189" s="54">
        <v>2.1689999999999999E-3</v>
      </c>
      <c r="BF189" s="15">
        <v>57959</v>
      </c>
      <c r="BG189" s="53">
        <v>479</v>
      </c>
      <c r="BH189" s="54">
        <v>2.088E-3</v>
      </c>
      <c r="BI189" s="61">
        <v>38435</v>
      </c>
      <c r="BJ189" s="53">
        <v>479</v>
      </c>
      <c r="BK189" s="54">
        <v>2.088E-3</v>
      </c>
      <c r="BL189" s="61">
        <v>38435</v>
      </c>
    </row>
    <row r="190" spans="41:64">
      <c r="AO190" s="53">
        <v>447</v>
      </c>
      <c r="AP190" s="54">
        <v>2.2371399999999999E-3</v>
      </c>
      <c r="AQ190" s="63">
        <v>46748.91</v>
      </c>
      <c r="AR190" s="53">
        <v>454</v>
      </c>
      <c r="AS190" s="54">
        <v>2.2026429999999998E-3</v>
      </c>
      <c r="AT190" s="63">
        <v>46473.67</v>
      </c>
      <c r="AU190" s="53">
        <v>462</v>
      </c>
      <c r="AV190" s="54">
        <v>2.1645000000000002E-3</v>
      </c>
      <c r="AW190" s="63">
        <v>44336.03</v>
      </c>
      <c r="AX190" s="95">
        <v>471</v>
      </c>
      <c r="AY190" s="54">
        <f t="shared" si="3"/>
        <v>2.1231422505307855E-3</v>
      </c>
      <c r="AZ190" s="101">
        <v>42244.22</v>
      </c>
      <c r="BA190" s="95">
        <v>480</v>
      </c>
      <c r="BB190" s="97">
        <v>2.0833333333333333E-3</v>
      </c>
      <c r="BC190" s="110">
        <v>39683.667999999998</v>
      </c>
      <c r="BD190" s="53">
        <v>462</v>
      </c>
      <c r="BE190" s="54">
        <v>2.1649999999999998E-3</v>
      </c>
      <c r="BF190" s="15">
        <v>59779</v>
      </c>
      <c r="BG190" s="53">
        <v>480</v>
      </c>
      <c r="BH190" s="54">
        <v>2.0830000000000002E-3</v>
      </c>
      <c r="BI190" s="61">
        <v>39684</v>
      </c>
      <c r="BJ190" s="53">
        <v>480</v>
      </c>
      <c r="BK190" s="54">
        <v>2.0830000000000002E-3</v>
      </c>
      <c r="BL190" s="61">
        <v>39684</v>
      </c>
    </row>
    <row r="191" spans="41:64">
      <c r="AO191" s="53">
        <v>448</v>
      </c>
      <c r="AP191" s="54">
        <v>2.2321400000000001E-3</v>
      </c>
      <c r="AQ191" s="63">
        <v>48276.14</v>
      </c>
      <c r="AR191" s="53">
        <v>455</v>
      </c>
      <c r="AS191" s="54">
        <v>2.197802E-3</v>
      </c>
      <c r="AT191" s="63">
        <v>47986.8</v>
      </c>
      <c r="AU191" s="53">
        <v>463</v>
      </c>
      <c r="AV191" s="54">
        <v>2.1598300000000002E-3</v>
      </c>
      <c r="AW191" s="63">
        <v>45777.62</v>
      </c>
      <c r="AX191" s="95">
        <v>472</v>
      </c>
      <c r="AY191" s="54">
        <f t="shared" si="3"/>
        <v>2.1186440677966102E-3</v>
      </c>
      <c r="AZ191" s="101">
        <v>43612.815999999999</v>
      </c>
      <c r="BA191" s="95">
        <v>481</v>
      </c>
      <c r="BB191" s="97">
        <v>2.0790020790020791E-3</v>
      </c>
      <c r="BC191" s="110">
        <v>40965.730000000003</v>
      </c>
      <c r="BD191" s="53">
        <v>463</v>
      </c>
      <c r="BE191" s="54">
        <v>2.16E-3</v>
      </c>
      <c r="BF191" s="15">
        <v>61646</v>
      </c>
      <c r="BG191" s="53">
        <v>481</v>
      </c>
      <c r="BH191" s="54">
        <v>2.0790000000000001E-3</v>
      </c>
      <c r="BI191" s="61">
        <v>40966</v>
      </c>
      <c r="BJ191" s="53">
        <v>481</v>
      </c>
      <c r="BK191" s="54">
        <v>2.0790000000000001E-3</v>
      </c>
      <c r="BL191" s="61">
        <v>40966</v>
      </c>
    </row>
    <row r="192" spans="41:64">
      <c r="AO192" s="53">
        <v>449</v>
      </c>
      <c r="AP192" s="54">
        <v>2.2271700000000001E-3</v>
      </c>
      <c r="AQ192" s="63">
        <v>49845.093999999997</v>
      </c>
      <c r="AR192" s="53">
        <v>456</v>
      </c>
      <c r="AS192" s="54">
        <v>2.192982E-3</v>
      </c>
      <c r="AT192" s="63">
        <v>49541.02</v>
      </c>
      <c r="AU192" s="53">
        <v>464</v>
      </c>
      <c r="AV192" s="54">
        <v>2.1551700000000001E-3</v>
      </c>
      <c r="AW192" s="63">
        <v>47258.23</v>
      </c>
      <c r="AX192" s="95">
        <v>473</v>
      </c>
      <c r="AY192" s="54">
        <f t="shared" si="3"/>
        <v>2.1141649048625794E-3</v>
      </c>
      <c r="AZ192" s="101">
        <v>45018.23</v>
      </c>
      <c r="BA192" s="95">
        <v>482</v>
      </c>
      <c r="BB192" s="97">
        <v>2.0746887966804979E-3</v>
      </c>
      <c r="BC192" s="110">
        <v>42282.112999999998</v>
      </c>
      <c r="BD192" s="53">
        <v>464</v>
      </c>
      <c r="BE192" s="54">
        <v>2.1549999999999998E-3</v>
      </c>
      <c r="BF192" s="15">
        <v>63561</v>
      </c>
      <c r="BG192" s="53">
        <v>482</v>
      </c>
      <c r="BH192" s="54">
        <v>2.075E-3</v>
      </c>
      <c r="BI192" s="61">
        <v>42282</v>
      </c>
      <c r="BJ192" s="53">
        <v>482</v>
      </c>
      <c r="BK192" s="54">
        <v>2.075E-3</v>
      </c>
      <c r="BL192" s="61">
        <v>42282</v>
      </c>
    </row>
    <row r="193" spans="41:64">
      <c r="AO193" s="53">
        <v>450</v>
      </c>
      <c r="AP193" s="54">
        <v>2.22222E-3</v>
      </c>
      <c r="AQ193" s="63">
        <v>51456.67</v>
      </c>
      <c r="AR193" s="53">
        <v>457</v>
      </c>
      <c r="AS193" s="54">
        <v>2.1881840000000001E-3</v>
      </c>
      <c r="AT193" s="63">
        <v>51137.2</v>
      </c>
      <c r="AU193" s="53">
        <v>465</v>
      </c>
      <c r="AV193" s="54">
        <v>2.1505399999999998E-3</v>
      </c>
      <c r="AW193" s="63">
        <v>48778.67</v>
      </c>
      <c r="AX193" s="95">
        <v>474</v>
      </c>
      <c r="AY193" s="54">
        <f t="shared" si="3"/>
        <v>2.1097046413502108E-3</v>
      </c>
      <c r="AZ193" s="101">
        <v>46461.222999999998</v>
      </c>
      <c r="BA193" s="95">
        <v>483</v>
      </c>
      <c r="BB193" s="97">
        <v>2.070393374741201E-3</v>
      </c>
      <c r="BC193" s="110">
        <v>43633.523000000001</v>
      </c>
      <c r="BD193" s="53">
        <v>465</v>
      </c>
      <c r="BE193" s="54">
        <v>2.1510000000000001E-3</v>
      </c>
      <c r="BF193" s="15">
        <v>65526</v>
      </c>
      <c r="BG193" s="53">
        <v>483</v>
      </c>
      <c r="BH193" s="54">
        <v>2.0699999999999998E-3</v>
      </c>
      <c r="BI193" s="61">
        <v>43634</v>
      </c>
      <c r="BJ193" s="53">
        <v>483</v>
      </c>
      <c r="BK193" s="54">
        <v>2.0699999999999998E-3</v>
      </c>
      <c r="BL193" s="61">
        <v>43634</v>
      </c>
    </row>
    <row r="194" spans="41:64">
      <c r="AO194" s="53">
        <v>451</v>
      </c>
      <c r="AP194" s="54">
        <v>2.2172899999999998E-3</v>
      </c>
      <c r="AQ194" s="63">
        <v>53111.777000000002</v>
      </c>
      <c r="AR194" s="53">
        <v>458</v>
      </c>
      <c r="AS194" s="54">
        <v>2.1834060000000001E-3</v>
      </c>
      <c r="AT194" s="63">
        <v>52776.23</v>
      </c>
      <c r="AU194" s="53">
        <v>466</v>
      </c>
      <c r="AV194" s="54">
        <v>2.1459199999999999E-3</v>
      </c>
      <c r="AW194" s="63">
        <v>50339.76</v>
      </c>
      <c r="AX194" s="95">
        <v>475</v>
      </c>
      <c r="AY194" s="54">
        <f t="shared" si="3"/>
        <v>2.1052631578947368E-3</v>
      </c>
      <c r="AZ194" s="101">
        <v>47942.565999999999</v>
      </c>
      <c r="BA194" s="95">
        <v>484</v>
      </c>
      <c r="BB194" s="97">
        <v>2.0661157024793389E-3</v>
      </c>
      <c r="BC194" s="110">
        <v>45020.67</v>
      </c>
      <c r="BD194" s="53">
        <v>466</v>
      </c>
      <c r="BE194" s="54">
        <v>2.1459999999999999E-3</v>
      </c>
      <c r="BF194" s="15">
        <v>67541</v>
      </c>
      <c r="BG194" s="53">
        <v>484</v>
      </c>
      <c r="BH194" s="54">
        <v>2.0660000000000001E-3</v>
      </c>
      <c r="BI194" s="61">
        <v>45021</v>
      </c>
      <c r="BJ194" s="53">
        <v>484</v>
      </c>
      <c r="BK194" s="54">
        <v>2.0660000000000001E-3</v>
      </c>
      <c r="BL194" s="61">
        <v>45021</v>
      </c>
    </row>
    <row r="195" spans="41:64">
      <c r="AO195" s="53">
        <v>452</v>
      </c>
      <c r="AP195" s="54">
        <v>2.2123899999999998E-3</v>
      </c>
      <c r="AQ195" s="63">
        <v>54811.332000000002</v>
      </c>
      <c r="AR195" s="53">
        <v>459</v>
      </c>
      <c r="AS195" s="54">
        <v>2.178649E-3</v>
      </c>
      <c r="AT195" s="63">
        <v>54458.98</v>
      </c>
      <c r="AU195" s="53">
        <v>467</v>
      </c>
      <c r="AV195" s="54">
        <v>2.1413299999999999E-3</v>
      </c>
      <c r="AW195" s="63">
        <v>51942.36</v>
      </c>
      <c r="AX195" s="95">
        <v>476</v>
      </c>
      <c r="AY195" s="54">
        <f t="shared" si="3"/>
        <v>2.1008403361344537E-3</v>
      </c>
      <c r="AZ195" s="101">
        <v>49463.046999999999</v>
      </c>
      <c r="BA195" s="95">
        <v>485</v>
      </c>
      <c r="BB195" s="97">
        <v>2.0618556701030928E-3</v>
      </c>
      <c r="BC195" s="110">
        <v>46444.277000000002</v>
      </c>
      <c r="BD195" s="53">
        <v>467</v>
      </c>
      <c r="BE195" s="54">
        <v>2.1410000000000001E-3</v>
      </c>
      <c r="BF195" s="15">
        <v>69607</v>
      </c>
      <c r="BG195" s="53">
        <v>485</v>
      </c>
      <c r="BH195" s="54">
        <v>2.062E-3</v>
      </c>
      <c r="BI195" s="61">
        <v>46444</v>
      </c>
      <c r="BJ195" s="53">
        <v>485</v>
      </c>
      <c r="BK195" s="54">
        <v>2.062E-3</v>
      </c>
      <c r="BL195" s="61">
        <v>46444</v>
      </c>
    </row>
    <row r="196" spans="41:64">
      <c r="AO196" s="53">
        <v>453</v>
      </c>
      <c r="AP196" s="54">
        <v>2.2075100000000002E-3</v>
      </c>
      <c r="AQ196" s="63">
        <v>56556.27</v>
      </c>
      <c r="AR196" s="53">
        <v>460</v>
      </c>
      <c r="AS196" s="54">
        <v>2.173913E-3</v>
      </c>
      <c r="AT196" s="63">
        <v>56186.39</v>
      </c>
      <c r="AU196" s="53">
        <v>468</v>
      </c>
      <c r="AV196" s="54">
        <v>2.1367500000000002E-3</v>
      </c>
      <c r="AW196" s="63">
        <v>53587.3</v>
      </c>
      <c r="AX196" s="95">
        <v>477</v>
      </c>
      <c r="AY196" s="54">
        <f t="shared" si="3"/>
        <v>2.0964360587002098E-3</v>
      </c>
      <c r="AZ196" s="101">
        <v>51023.453000000001</v>
      </c>
      <c r="BA196" s="95">
        <v>486</v>
      </c>
      <c r="BB196" s="97">
        <v>2.05761316872428E-3</v>
      </c>
      <c r="BC196" s="110">
        <v>47905.074000000001</v>
      </c>
      <c r="BD196" s="53">
        <v>468</v>
      </c>
      <c r="BE196" s="54">
        <v>2.137E-3</v>
      </c>
      <c r="BF196" s="15">
        <v>71726</v>
      </c>
      <c r="BG196" s="53">
        <v>486</v>
      </c>
      <c r="BH196" s="54">
        <v>2.0579999999999999E-3</v>
      </c>
      <c r="BI196" s="61">
        <v>47905</v>
      </c>
      <c r="BJ196" s="53">
        <v>486</v>
      </c>
      <c r="BK196" s="54">
        <v>2.0579999999999999E-3</v>
      </c>
      <c r="BL196" s="61">
        <v>47905</v>
      </c>
    </row>
    <row r="197" spans="41:64">
      <c r="AO197" s="53">
        <v>454</v>
      </c>
      <c r="AP197" s="54">
        <v>2.2026400000000001E-3</v>
      </c>
      <c r="AQ197" s="63">
        <v>58347.54</v>
      </c>
      <c r="AR197" s="53">
        <v>461</v>
      </c>
      <c r="AS197" s="54">
        <v>2.1691969999999999E-3</v>
      </c>
      <c r="AT197" s="63">
        <v>57959.35</v>
      </c>
      <c r="AU197" s="53">
        <v>469</v>
      </c>
      <c r="AV197" s="54">
        <v>2.1321999999999999E-3</v>
      </c>
      <c r="AW197" s="63">
        <v>55275.45</v>
      </c>
      <c r="AX197" s="95">
        <v>478</v>
      </c>
      <c r="AY197" s="54">
        <f t="shared" si="3"/>
        <v>2.0920502092050207E-3</v>
      </c>
      <c r="AZ197" s="101">
        <v>52624.59</v>
      </c>
      <c r="BA197" s="95">
        <v>487</v>
      </c>
      <c r="BB197" s="97">
        <v>2.0533880903490761E-3</v>
      </c>
      <c r="BC197" s="110">
        <v>49403.805</v>
      </c>
      <c r="BD197" s="53">
        <v>469</v>
      </c>
      <c r="BE197" s="54">
        <v>2.1320000000000002E-3</v>
      </c>
      <c r="BF197" s="15">
        <v>73898</v>
      </c>
      <c r="BG197" s="53">
        <v>487</v>
      </c>
      <c r="BH197" s="54">
        <v>2.0530000000000001E-3</v>
      </c>
      <c r="BI197" s="61">
        <v>49404</v>
      </c>
      <c r="BJ197" s="53">
        <v>487</v>
      </c>
      <c r="BK197" s="54">
        <v>2.0530000000000001E-3</v>
      </c>
      <c r="BL197" s="61">
        <v>49404</v>
      </c>
    </row>
    <row r="198" spans="41:64">
      <c r="AO198" s="53">
        <v>455</v>
      </c>
      <c r="AP198" s="54">
        <v>2.1978000000000002E-3</v>
      </c>
      <c r="AQ198" s="63">
        <v>60186.093999999997</v>
      </c>
      <c r="AR198" s="53">
        <v>462</v>
      </c>
      <c r="AS198" s="54">
        <v>2.164502E-3</v>
      </c>
      <c r="AT198" s="63">
        <v>59778.8</v>
      </c>
      <c r="AU198" s="53">
        <v>470</v>
      </c>
      <c r="AV198" s="54">
        <v>2.12766E-3</v>
      </c>
      <c r="AW198" s="63">
        <v>57007.69</v>
      </c>
      <c r="AX198" s="95">
        <v>479</v>
      </c>
      <c r="AY198" s="54">
        <f t="shared" si="3"/>
        <v>2.0876826722338203E-3</v>
      </c>
      <c r="AZ198" s="101">
        <v>54267.266000000003</v>
      </c>
      <c r="BA198" s="95">
        <v>488</v>
      </c>
      <c r="BB198" s="97">
        <v>2.0491803278688526E-3</v>
      </c>
      <c r="BC198" s="110">
        <v>50941.207000000002</v>
      </c>
      <c r="BD198" s="53">
        <v>470</v>
      </c>
      <c r="BE198" s="54">
        <v>2.1280000000000001E-3</v>
      </c>
      <c r="BF198" s="15">
        <v>76124</v>
      </c>
      <c r="BG198" s="53">
        <v>488</v>
      </c>
      <c r="BH198" s="54">
        <v>2.049E-3</v>
      </c>
      <c r="BI198" s="61">
        <v>50941</v>
      </c>
      <c r="BJ198" s="53">
        <v>488</v>
      </c>
      <c r="BK198" s="54">
        <v>2.049E-3</v>
      </c>
      <c r="BL198" s="61">
        <v>50941</v>
      </c>
    </row>
    <row r="199" spans="41:64">
      <c r="AO199" s="53">
        <v>456</v>
      </c>
      <c r="AP199" s="54">
        <v>2.1929800000000002E-3</v>
      </c>
      <c r="AQ199" s="63">
        <v>62072.913999999997</v>
      </c>
      <c r="AR199" s="53">
        <v>463</v>
      </c>
      <c r="AS199" s="54">
        <v>2.159827E-3</v>
      </c>
      <c r="AT199" s="63">
        <v>61645.69</v>
      </c>
      <c r="AU199" s="53">
        <v>471</v>
      </c>
      <c r="AV199" s="54">
        <v>2.1231399999999999E-3</v>
      </c>
      <c r="AW199" s="63">
        <v>58784.9</v>
      </c>
      <c r="AX199" s="95">
        <v>480</v>
      </c>
      <c r="AY199" s="54">
        <f t="shared" si="3"/>
        <v>2.0833333333333333E-3</v>
      </c>
      <c r="AZ199" s="101">
        <v>55952.311999999998</v>
      </c>
      <c r="BA199" s="95">
        <v>489</v>
      </c>
      <c r="BB199" s="97">
        <v>2.0449897750511249E-3</v>
      </c>
      <c r="BC199" s="110">
        <v>52518.05</v>
      </c>
      <c r="BD199" s="53">
        <v>471</v>
      </c>
      <c r="BE199" s="54">
        <v>2.1229999999999999E-3</v>
      </c>
      <c r="BF199" s="15">
        <v>78406</v>
      </c>
      <c r="BG199" s="53">
        <v>489</v>
      </c>
      <c r="BH199" s="54">
        <v>2.0449999999999999E-3</v>
      </c>
      <c r="BI199" s="61">
        <v>52518</v>
      </c>
      <c r="BJ199" s="53">
        <v>489</v>
      </c>
      <c r="BK199" s="54">
        <v>2.0449999999999999E-3</v>
      </c>
      <c r="BL199" s="61">
        <v>52518</v>
      </c>
    </row>
    <row r="200" spans="41:64">
      <c r="AO200" s="53">
        <v>457</v>
      </c>
      <c r="AP200" s="54">
        <v>2.1881800000000001E-3</v>
      </c>
      <c r="AQ200" s="63">
        <v>64008.976999999999</v>
      </c>
      <c r="AR200" s="53">
        <v>464</v>
      </c>
      <c r="AS200" s="54">
        <v>2.1551719999999999E-3</v>
      </c>
      <c r="AT200" s="63">
        <v>63560.97</v>
      </c>
      <c r="AU200" s="53">
        <v>472</v>
      </c>
      <c r="AV200" s="54">
        <v>2.1186400000000002E-3</v>
      </c>
      <c r="AW200" s="63">
        <v>60607.97</v>
      </c>
      <c r="AX200" s="95">
        <v>481</v>
      </c>
      <c r="AY200" s="54">
        <f t="shared" si="3"/>
        <v>2.0790020790020791E-3</v>
      </c>
      <c r="AZ200" s="101">
        <v>57680.56</v>
      </c>
      <c r="BA200" s="95">
        <v>490</v>
      </c>
      <c r="BB200" s="97">
        <v>2.0408163265306124E-3</v>
      </c>
      <c r="BC200" s="110">
        <v>54135.097999999998</v>
      </c>
      <c r="BD200" s="53">
        <v>472</v>
      </c>
      <c r="BE200" s="54">
        <v>2.1189999999999998E-3</v>
      </c>
      <c r="BF200" s="15">
        <v>80744</v>
      </c>
      <c r="BG200" s="53">
        <v>490</v>
      </c>
      <c r="BH200" s="54">
        <v>2.0409999999999998E-3</v>
      </c>
      <c r="BI200" s="61">
        <v>54135</v>
      </c>
      <c r="BJ200" s="53">
        <v>490</v>
      </c>
      <c r="BK200" s="54">
        <v>2.0409999999999998E-3</v>
      </c>
      <c r="BL200" s="61">
        <v>54135</v>
      </c>
    </row>
    <row r="201" spans="41:64">
      <c r="AO201" s="53">
        <v>458</v>
      </c>
      <c r="AP201" s="54">
        <v>2.1834100000000002E-3</v>
      </c>
      <c r="AQ201" s="63">
        <v>65995.289999999994</v>
      </c>
      <c r="AR201" s="53">
        <v>465</v>
      </c>
      <c r="AS201" s="54">
        <v>2.150538E-3</v>
      </c>
      <c r="AT201" s="63">
        <v>65525.61</v>
      </c>
      <c r="AU201" s="53">
        <v>473</v>
      </c>
      <c r="AV201" s="54">
        <v>2.1141599999999999E-3</v>
      </c>
      <c r="AW201" s="63">
        <v>62477.82</v>
      </c>
      <c r="AX201" s="95">
        <v>482</v>
      </c>
      <c r="AY201" s="54">
        <f t="shared" si="3"/>
        <v>2.0746887966804979E-3</v>
      </c>
      <c r="AZ201" s="101">
        <v>59452.843999999997</v>
      </c>
      <c r="BA201" s="95">
        <v>491</v>
      </c>
      <c r="BB201" s="97">
        <v>2.0366598778004071E-3</v>
      </c>
      <c r="BC201" s="110">
        <v>55793.120000000003</v>
      </c>
      <c r="BD201" s="53">
        <v>473</v>
      </c>
      <c r="BE201" s="54">
        <v>2.114E-3</v>
      </c>
      <c r="BF201" s="15">
        <v>83140</v>
      </c>
      <c r="BG201" s="53">
        <v>491</v>
      </c>
      <c r="BH201" s="54">
        <v>2.0370000000000002E-3</v>
      </c>
      <c r="BI201" s="61">
        <v>55793</v>
      </c>
      <c r="BJ201" s="53">
        <v>491</v>
      </c>
      <c r="BK201" s="54">
        <v>2.0370000000000002E-3</v>
      </c>
      <c r="BL201" s="61">
        <v>55793</v>
      </c>
    </row>
    <row r="202" spans="41:64">
      <c r="AO202" s="53">
        <v>459</v>
      </c>
      <c r="AP202" s="54">
        <v>2.1786499999999999E-3</v>
      </c>
      <c r="AQ202" s="63">
        <v>68032.87</v>
      </c>
      <c r="AR202" s="53">
        <v>466</v>
      </c>
      <c r="AS202" s="54">
        <v>2.1459230000000001E-3</v>
      </c>
      <c r="AT202" s="63">
        <v>67540.58</v>
      </c>
      <c r="AU202" s="53">
        <v>474</v>
      </c>
      <c r="AV202" s="54">
        <v>2.1096999999999999E-3</v>
      </c>
      <c r="AW202" s="63">
        <v>64395.360000000001</v>
      </c>
      <c r="AX202" s="95">
        <v>483</v>
      </c>
      <c r="AY202" s="54">
        <f t="shared" si="3"/>
        <v>2.070393374741201E-3</v>
      </c>
      <c r="AZ202" s="101">
        <v>61270.027000000002</v>
      </c>
      <c r="BA202" s="95">
        <v>492</v>
      </c>
      <c r="BB202" s="97">
        <v>2.0325203252032522E-3</v>
      </c>
      <c r="BC202" s="110">
        <v>57492.91</v>
      </c>
      <c r="BD202" s="53">
        <v>474</v>
      </c>
      <c r="BE202" s="54">
        <v>2.1099999999999999E-3</v>
      </c>
      <c r="BF202" s="15">
        <v>85594</v>
      </c>
      <c r="BG202" s="53">
        <v>492</v>
      </c>
      <c r="BH202" s="54">
        <v>2.0330000000000001E-3</v>
      </c>
      <c r="BI202" s="61">
        <v>57493</v>
      </c>
      <c r="BJ202" s="53">
        <v>492</v>
      </c>
      <c r="BK202" s="54">
        <v>2.0330000000000001E-3</v>
      </c>
      <c r="BL202" s="61">
        <v>57493</v>
      </c>
    </row>
    <row r="203" spans="41:64">
      <c r="AO203" s="53">
        <v>460</v>
      </c>
      <c r="AP203" s="54">
        <v>2.1739099999999998E-3</v>
      </c>
      <c r="AQ203" s="63">
        <v>70122.73</v>
      </c>
      <c r="AR203" s="53">
        <v>467</v>
      </c>
      <c r="AS203" s="54">
        <v>2.1413280000000001E-3</v>
      </c>
      <c r="AT203" s="63">
        <v>69606.880000000005</v>
      </c>
      <c r="AU203" s="53">
        <v>475</v>
      </c>
      <c r="AV203" s="54">
        <v>2.1052599999999999E-3</v>
      </c>
      <c r="AW203" s="63">
        <v>66361.52</v>
      </c>
      <c r="AX203" s="95">
        <v>484</v>
      </c>
      <c r="AY203" s="54">
        <f t="shared" si="3"/>
        <v>2.0661157024793389E-3</v>
      </c>
      <c r="AZ203" s="101">
        <v>63132.97</v>
      </c>
      <c r="BA203" s="95">
        <v>493</v>
      </c>
      <c r="BB203" s="97">
        <v>2.0283975659229209E-3</v>
      </c>
      <c r="BC203" s="110">
        <v>59235.254000000001</v>
      </c>
      <c r="BD203" s="53">
        <v>475</v>
      </c>
      <c r="BE203" s="54">
        <v>2.1050000000000001E-3</v>
      </c>
      <c r="BF203" s="15">
        <v>88109</v>
      </c>
      <c r="BG203" s="53">
        <v>493</v>
      </c>
      <c r="BH203" s="54">
        <v>2.0279999999999999E-3</v>
      </c>
      <c r="BI203" s="61">
        <v>59235</v>
      </c>
      <c r="BJ203" s="53">
        <v>493</v>
      </c>
      <c r="BK203" s="54">
        <v>2.0279999999999999E-3</v>
      </c>
      <c r="BL203" s="61">
        <v>59235</v>
      </c>
    </row>
    <row r="204" spans="41:64">
      <c r="AO204" s="53">
        <v>461</v>
      </c>
      <c r="AP204" s="54">
        <v>2.1692E-3</v>
      </c>
      <c r="AQ204" s="63">
        <v>72265.914000000004</v>
      </c>
      <c r="AR204" s="53">
        <v>468</v>
      </c>
      <c r="AS204" s="54">
        <v>2.136752E-3</v>
      </c>
      <c r="AT204" s="63">
        <v>71725.52</v>
      </c>
      <c r="AU204" s="53">
        <v>476</v>
      </c>
      <c r="AV204" s="54">
        <v>2.1008400000000001E-3</v>
      </c>
      <c r="AW204" s="63">
        <v>68377.240000000005</v>
      </c>
      <c r="AX204" s="95">
        <v>485</v>
      </c>
      <c r="AY204" s="54">
        <f t="shared" si="3"/>
        <v>2.0618556701030928E-3</v>
      </c>
      <c r="AZ204" s="101">
        <v>65042.542999999998</v>
      </c>
      <c r="BA204" s="95">
        <v>494</v>
      </c>
      <c r="BB204" s="97">
        <v>2.0242914979757085E-3</v>
      </c>
      <c r="BC204" s="110">
        <v>61020.957000000002</v>
      </c>
      <c r="BD204" s="53">
        <v>476</v>
      </c>
      <c r="BE204" s="54">
        <v>2.101E-3</v>
      </c>
      <c r="BF204" s="15">
        <v>90684</v>
      </c>
      <c r="BG204" s="53">
        <v>494</v>
      </c>
      <c r="BH204" s="54">
        <v>2.0240000000000002E-3</v>
      </c>
      <c r="BI204" s="61">
        <v>61021</v>
      </c>
      <c r="BJ204" s="53">
        <v>494</v>
      </c>
      <c r="BK204" s="54">
        <v>2.0240000000000002E-3</v>
      </c>
      <c r="BL204" s="61">
        <v>61021</v>
      </c>
    </row>
    <row r="205" spans="41:64">
      <c r="AO205" s="53">
        <v>462</v>
      </c>
      <c r="AP205" s="54">
        <v>2.1645000000000002E-3</v>
      </c>
      <c r="AQ205" s="63">
        <v>74463.483999999997</v>
      </c>
      <c r="AR205" s="53">
        <v>469</v>
      </c>
      <c r="AS205" s="54">
        <v>2.1321959999999998E-3</v>
      </c>
      <c r="AT205" s="63">
        <v>73897.52</v>
      </c>
      <c r="AU205" s="53">
        <v>477</v>
      </c>
      <c r="AV205" s="54">
        <v>2.0964400000000002E-3</v>
      </c>
      <c r="AW205" s="63">
        <v>70443.48</v>
      </c>
      <c r="AX205" s="95">
        <v>486</v>
      </c>
      <c r="AY205" s="54">
        <f t="shared" si="3"/>
        <v>2.05761316872428E-3</v>
      </c>
      <c r="AZ205" s="101">
        <v>66999.63</v>
      </c>
      <c r="BA205" s="95">
        <v>495</v>
      </c>
      <c r="BB205" s="97">
        <v>2.0202020202020202E-3</v>
      </c>
      <c r="BC205" s="110">
        <v>62850.832000000002</v>
      </c>
      <c r="BD205" s="53">
        <v>477</v>
      </c>
      <c r="BE205" s="54">
        <v>2.0960000000000002E-3</v>
      </c>
      <c r="BF205" s="15">
        <v>93321</v>
      </c>
      <c r="BG205" s="53">
        <v>495</v>
      </c>
      <c r="BH205" s="54">
        <v>2.0200000000000001E-3</v>
      </c>
      <c r="BI205" s="61">
        <v>62851</v>
      </c>
      <c r="BJ205" s="53">
        <v>495</v>
      </c>
      <c r="BK205" s="54">
        <v>2.0200000000000001E-3</v>
      </c>
      <c r="BL205" s="61">
        <v>62851</v>
      </c>
    </row>
    <row r="206" spans="41:64">
      <c r="AO206" s="53">
        <v>463</v>
      </c>
      <c r="AP206" s="54">
        <v>2.1598300000000002E-3</v>
      </c>
      <c r="AQ206" s="63">
        <v>76716.5</v>
      </c>
      <c r="AR206" s="53">
        <v>470</v>
      </c>
      <c r="AS206" s="54">
        <v>2.12766E-3</v>
      </c>
      <c r="AT206" s="63">
        <v>76123.91</v>
      </c>
      <c r="AU206" s="53">
        <v>478</v>
      </c>
      <c r="AV206" s="54">
        <v>2.0920499999999998E-3</v>
      </c>
      <c r="AW206" s="63">
        <v>72561.2</v>
      </c>
      <c r="AX206" s="95">
        <v>487</v>
      </c>
      <c r="AY206" s="54">
        <f t="shared" si="3"/>
        <v>2.0533880903490761E-3</v>
      </c>
      <c r="AZ206" s="101">
        <v>69005.13</v>
      </c>
      <c r="BA206" s="95">
        <v>496</v>
      </c>
      <c r="BB206" s="97">
        <v>2.0161290322580645E-3</v>
      </c>
      <c r="BC206" s="110">
        <v>64725.7</v>
      </c>
      <c r="BD206" s="53">
        <v>478</v>
      </c>
      <c r="BE206" s="54">
        <v>2.0920000000000001E-3</v>
      </c>
      <c r="BF206" s="15">
        <v>96021</v>
      </c>
      <c r="BG206" s="53">
        <v>496</v>
      </c>
      <c r="BH206" s="54">
        <v>2.016E-3</v>
      </c>
      <c r="BI206" s="61">
        <v>64726</v>
      </c>
      <c r="BJ206" s="53">
        <v>496</v>
      </c>
      <c r="BK206" s="54">
        <v>2.016E-3</v>
      </c>
      <c r="BL206" s="61">
        <v>64726</v>
      </c>
    </row>
    <row r="207" spans="41:64">
      <c r="AO207" s="53">
        <v>464</v>
      </c>
      <c r="AP207" s="54">
        <v>2.1551700000000001E-3</v>
      </c>
      <c r="AQ207" s="63">
        <v>79026.039999999994</v>
      </c>
      <c r="AR207" s="53">
        <v>471</v>
      </c>
      <c r="AS207" s="54">
        <v>2.1231420000000002E-3</v>
      </c>
      <c r="AT207" s="63">
        <v>78405.710000000006</v>
      </c>
      <c r="AU207" s="53">
        <v>479</v>
      </c>
      <c r="AV207" s="54">
        <v>2.0876800000000002E-3</v>
      </c>
      <c r="AW207" s="63">
        <v>74731.38</v>
      </c>
      <c r="AX207" s="95">
        <v>488</v>
      </c>
      <c r="AY207" s="54">
        <f t="shared" si="3"/>
        <v>2.0491803278688526E-3</v>
      </c>
      <c r="AZ207" s="101">
        <v>71059.945000000007</v>
      </c>
      <c r="BA207" s="95">
        <v>497</v>
      </c>
      <c r="BB207" s="97">
        <v>2.012072434607646E-3</v>
      </c>
      <c r="BC207" s="110">
        <v>66646.38</v>
      </c>
      <c r="BD207" s="53">
        <v>479</v>
      </c>
      <c r="BE207" s="54">
        <v>2.088E-3</v>
      </c>
      <c r="BF207" s="15">
        <v>98785</v>
      </c>
      <c r="BG207" s="53">
        <v>497</v>
      </c>
      <c r="BH207" s="54">
        <v>2.0119999999999999E-3</v>
      </c>
      <c r="BI207" s="61">
        <v>66646</v>
      </c>
      <c r="BJ207" s="53">
        <v>497</v>
      </c>
      <c r="BK207" s="54">
        <v>2.0119999999999999E-3</v>
      </c>
      <c r="BL207" s="61">
        <v>66646</v>
      </c>
    </row>
    <row r="208" spans="41:64">
      <c r="AO208" s="53">
        <v>465</v>
      </c>
      <c r="AP208" s="54">
        <v>2.1505399999999998E-3</v>
      </c>
      <c r="AQ208" s="63">
        <v>81393.2</v>
      </c>
      <c r="AR208" s="53">
        <v>472</v>
      </c>
      <c r="AS208" s="54">
        <v>2.1186439999999998E-3</v>
      </c>
      <c r="AT208" s="63">
        <v>80744.009999999995</v>
      </c>
      <c r="AU208" s="53">
        <v>480</v>
      </c>
      <c r="AV208" s="54">
        <v>2.08333E-3</v>
      </c>
      <c r="AW208" s="63">
        <v>76955</v>
      </c>
      <c r="AX208" s="95">
        <v>489</v>
      </c>
      <c r="AY208" s="54">
        <f t="shared" si="3"/>
        <v>2.0449897750511249E-3</v>
      </c>
      <c r="AZ208" s="101">
        <v>73164.983999999997</v>
      </c>
      <c r="BA208" s="95">
        <v>498</v>
      </c>
      <c r="BB208" s="97">
        <v>2.008032128514056E-3</v>
      </c>
      <c r="BC208" s="110">
        <v>68613.73</v>
      </c>
      <c r="BD208" s="53">
        <v>480</v>
      </c>
      <c r="BE208" s="54">
        <v>2.0830000000000002E-3</v>
      </c>
      <c r="BF208" s="15">
        <v>101610</v>
      </c>
      <c r="BG208" s="53">
        <v>498</v>
      </c>
      <c r="BH208" s="54">
        <v>2.0079999999999998E-3</v>
      </c>
      <c r="BI208" s="61">
        <v>68614</v>
      </c>
      <c r="BJ208" s="53">
        <v>498</v>
      </c>
      <c r="BK208" s="54">
        <v>2.0079999999999998E-3</v>
      </c>
      <c r="BL208" s="61">
        <v>68614</v>
      </c>
    </row>
    <row r="209" spans="41:64">
      <c r="AO209" s="53">
        <v>466</v>
      </c>
      <c r="AP209" s="54">
        <v>2.1459199999999999E-3</v>
      </c>
      <c r="AQ209" s="63">
        <v>83819.100000000006</v>
      </c>
      <c r="AR209" s="53">
        <v>473</v>
      </c>
      <c r="AS209" s="54">
        <v>2.1141649999999999E-3</v>
      </c>
      <c r="AT209" s="63">
        <v>83139.839999999997</v>
      </c>
      <c r="AU209" s="53">
        <v>481</v>
      </c>
      <c r="AV209" s="54">
        <v>2.0790000000000001E-3</v>
      </c>
      <c r="AW209" s="63">
        <v>79233.06</v>
      </c>
      <c r="AX209" s="95">
        <v>490</v>
      </c>
      <c r="AY209" s="54">
        <f t="shared" si="3"/>
        <v>2.0408163265306124E-3</v>
      </c>
      <c r="AZ209" s="101">
        <v>75321.179999999993</v>
      </c>
      <c r="BA209" s="95">
        <v>499</v>
      </c>
      <c r="BB209" s="97">
        <v>2.004008016032064E-3</v>
      </c>
      <c r="BC209" s="110">
        <v>70628.58</v>
      </c>
      <c r="BD209" s="53">
        <v>481</v>
      </c>
      <c r="BE209" s="54">
        <v>2.0790000000000001E-3</v>
      </c>
      <c r="BF209" s="15">
        <v>104510</v>
      </c>
      <c r="BG209" s="53">
        <v>499</v>
      </c>
      <c r="BH209" s="54">
        <v>2.0040000000000001E-3</v>
      </c>
      <c r="BI209" s="61">
        <v>70629</v>
      </c>
      <c r="BJ209" s="53">
        <v>499</v>
      </c>
      <c r="BK209" s="54">
        <v>2.0040000000000001E-3</v>
      </c>
      <c r="BL209" s="61">
        <v>70629</v>
      </c>
    </row>
    <row r="210" spans="41:64" ht="15" thickBot="1">
      <c r="AO210" s="53">
        <v>467</v>
      </c>
      <c r="AP210" s="54">
        <v>2.1413299999999999E-3</v>
      </c>
      <c r="AQ210" s="63">
        <v>86304.84</v>
      </c>
      <c r="AR210" s="53">
        <v>474</v>
      </c>
      <c r="AS210" s="54">
        <v>2.1097049999999999E-3</v>
      </c>
      <c r="AT210" s="63">
        <v>85594.32</v>
      </c>
      <c r="AU210" s="53">
        <v>482</v>
      </c>
      <c r="AV210" s="54">
        <v>2.0746900000000001E-3</v>
      </c>
      <c r="AW210" s="63">
        <v>81566.559999999998</v>
      </c>
      <c r="AX210" s="95">
        <v>491</v>
      </c>
      <c r="AY210" s="54">
        <f t="shared" si="3"/>
        <v>2.0366598778004071E-3</v>
      </c>
      <c r="AZ210" s="101">
        <v>77529.45</v>
      </c>
      <c r="BA210" s="102">
        <v>500</v>
      </c>
      <c r="BB210" s="103">
        <v>2E-3</v>
      </c>
      <c r="BC210" s="111">
        <v>72691.789999999994</v>
      </c>
      <c r="BD210" s="53">
        <v>482</v>
      </c>
      <c r="BE210" s="54">
        <v>2.075E-3</v>
      </c>
      <c r="BF210" s="15">
        <v>107470</v>
      </c>
      <c r="BG210" s="57">
        <v>500</v>
      </c>
      <c r="BH210" s="58">
        <v>2E-3</v>
      </c>
      <c r="BI210" s="112">
        <v>72692</v>
      </c>
      <c r="BJ210" s="57">
        <v>500</v>
      </c>
      <c r="BK210" s="58">
        <v>2E-3</v>
      </c>
      <c r="BL210" s="112">
        <v>72692</v>
      </c>
    </row>
    <row r="211" spans="41:64">
      <c r="AO211" s="53">
        <v>468</v>
      </c>
      <c r="AP211" s="54">
        <v>2.1367500000000002E-3</v>
      </c>
      <c r="AQ211" s="63">
        <v>88851.58</v>
      </c>
      <c r="AR211" s="53">
        <v>475</v>
      </c>
      <c r="AS211" s="54">
        <v>2.105263E-3</v>
      </c>
      <c r="AT211" s="63">
        <v>88108.52</v>
      </c>
      <c r="AU211" s="53">
        <v>483</v>
      </c>
      <c r="AV211" s="54">
        <v>2.0703900000000001E-3</v>
      </c>
      <c r="AW211" s="63">
        <v>83956.54</v>
      </c>
      <c r="AX211" s="95">
        <v>492</v>
      </c>
      <c r="AY211" s="54">
        <f t="shared" si="3"/>
        <v>2.0325203252032522E-3</v>
      </c>
      <c r="AZ211" s="101">
        <v>79790.759999999995</v>
      </c>
      <c r="BA211" s="105"/>
      <c r="BB211" s="105"/>
      <c r="BC211" s="105"/>
      <c r="BD211" s="53">
        <v>483</v>
      </c>
      <c r="BE211" s="54">
        <v>2.0699999999999998E-3</v>
      </c>
      <c r="BF211" s="15">
        <v>110510</v>
      </c>
    </row>
    <row r="212" spans="41:64">
      <c r="AO212" s="53">
        <v>469</v>
      </c>
      <c r="AP212" s="54">
        <v>2.1321999999999999E-3</v>
      </c>
      <c r="AQ212" s="63">
        <v>91460.445000000007</v>
      </c>
      <c r="AR212" s="53">
        <v>476</v>
      </c>
      <c r="AS212" s="54">
        <v>2.1008400000000001E-3</v>
      </c>
      <c r="AT212" s="63">
        <v>90683.56</v>
      </c>
      <c r="AU212" s="53">
        <v>484</v>
      </c>
      <c r="AV212" s="54">
        <v>2.0661199999999998E-3</v>
      </c>
      <c r="AW212" s="63">
        <v>86404.01</v>
      </c>
      <c r="AX212" s="95">
        <v>493</v>
      </c>
      <c r="AY212" s="54">
        <f t="shared" si="3"/>
        <v>2.0283975659229209E-3</v>
      </c>
      <c r="AZ212" s="101">
        <v>82106.05</v>
      </c>
      <c r="BA212" s="105"/>
      <c r="BB212" s="105"/>
      <c r="BC212" s="105"/>
      <c r="BD212" s="53">
        <v>484</v>
      </c>
      <c r="BE212" s="54">
        <v>2.0660000000000001E-3</v>
      </c>
      <c r="BF212" s="15">
        <v>113610</v>
      </c>
    </row>
    <row r="213" spans="41:64">
      <c r="AO213" s="53">
        <v>470</v>
      </c>
      <c r="AP213" s="54">
        <v>2.12766E-3</v>
      </c>
      <c r="AQ213" s="63">
        <v>94132.61</v>
      </c>
      <c r="AR213" s="53">
        <v>477</v>
      </c>
      <c r="AS213" s="54">
        <v>2.0964360000000001E-3</v>
      </c>
      <c r="AT213" s="63">
        <v>93320.53</v>
      </c>
      <c r="AU213" s="53">
        <v>485</v>
      </c>
      <c r="AV213" s="54">
        <v>2.06186E-3</v>
      </c>
      <c r="AW213" s="63">
        <v>88910.03</v>
      </c>
      <c r="AX213" s="95">
        <v>494</v>
      </c>
      <c r="AY213" s="54">
        <f t="shared" si="3"/>
        <v>2.0242914979757085E-3</v>
      </c>
      <c r="AZ213" s="101">
        <v>84476.27</v>
      </c>
      <c r="BA213" s="105"/>
      <c r="BB213" s="105"/>
      <c r="BC213" s="105"/>
      <c r="BD213" s="53">
        <v>485</v>
      </c>
      <c r="BE213" s="54">
        <v>2.062E-3</v>
      </c>
      <c r="BF213" s="15">
        <v>116790</v>
      </c>
    </row>
    <row r="214" spans="41:64">
      <c r="AO214" s="53">
        <v>471</v>
      </c>
      <c r="AP214" s="54">
        <v>2.1231399999999999E-3</v>
      </c>
      <c r="AQ214" s="63">
        <v>96869.25</v>
      </c>
      <c r="AR214" s="53">
        <v>478</v>
      </c>
      <c r="AS214" s="54">
        <v>2.0920499999999998E-3</v>
      </c>
      <c r="AT214" s="63">
        <v>96020.59</v>
      </c>
      <c r="AU214" s="53">
        <v>486</v>
      </c>
      <c r="AV214" s="54">
        <v>2.0576100000000001E-3</v>
      </c>
      <c r="AW214" s="63">
        <v>91475.65</v>
      </c>
      <c r="AX214" s="95">
        <v>495</v>
      </c>
      <c r="AY214" s="54">
        <f t="shared" si="3"/>
        <v>2.0202020202020202E-3</v>
      </c>
      <c r="AZ214" s="101">
        <v>86902.43</v>
      </c>
      <c r="BA214" s="105"/>
      <c r="BB214" s="105"/>
      <c r="BC214" s="105"/>
      <c r="BD214" s="53">
        <v>486</v>
      </c>
      <c r="BE214" s="54">
        <v>2.0579999999999999E-3</v>
      </c>
      <c r="BF214" s="15">
        <v>120030</v>
      </c>
    </row>
    <row r="215" spans="41:64">
      <c r="AO215" s="53">
        <v>472</v>
      </c>
      <c r="AP215" s="54">
        <v>2.1186400000000002E-3</v>
      </c>
      <c r="AQ215" s="63">
        <v>99671.554999999993</v>
      </c>
      <c r="AR215" s="53">
        <v>479</v>
      </c>
      <c r="AS215" s="54">
        <v>2.0876829999999999E-3</v>
      </c>
      <c r="AT215" s="63">
        <v>98784.88</v>
      </c>
      <c r="AU215" s="53">
        <v>487</v>
      </c>
      <c r="AV215" s="54">
        <v>2.05339E-3</v>
      </c>
      <c r="AW215" s="63">
        <v>94101.92</v>
      </c>
      <c r="AX215" s="95">
        <v>496</v>
      </c>
      <c r="AY215" s="54">
        <f t="shared" si="3"/>
        <v>2.0161290322580645E-3</v>
      </c>
      <c r="AZ215" s="101">
        <v>89385.48</v>
      </c>
      <c r="BA215" s="105"/>
      <c r="BB215" s="105"/>
      <c r="BC215" s="105"/>
      <c r="BD215" s="53">
        <v>487</v>
      </c>
      <c r="BE215" s="54">
        <v>2.0530000000000001E-3</v>
      </c>
      <c r="BF215" s="15">
        <v>123350</v>
      </c>
    </row>
    <row r="216" spans="41:64">
      <c r="AO216" s="53">
        <v>473</v>
      </c>
      <c r="AP216" s="54">
        <v>2.1141599999999999E-3</v>
      </c>
      <c r="AQ216" s="63">
        <v>102540.73</v>
      </c>
      <c r="AR216" s="53">
        <v>480</v>
      </c>
      <c r="AS216" s="54">
        <v>2.0833330000000001E-3</v>
      </c>
      <c r="AT216" s="63">
        <v>101614.6</v>
      </c>
      <c r="AU216" s="53">
        <v>488</v>
      </c>
      <c r="AV216" s="54">
        <v>2.0491799999999998E-3</v>
      </c>
      <c r="AW216" s="63">
        <v>96789.94</v>
      </c>
      <c r="AX216" s="95">
        <v>497</v>
      </c>
      <c r="AY216" s="54">
        <f t="shared" si="3"/>
        <v>2.012072434607646E-3</v>
      </c>
      <c r="AZ216" s="101">
        <v>91926.43</v>
      </c>
      <c r="BA216" s="105"/>
      <c r="BB216" s="105"/>
      <c r="BC216" s="105"/>
      <c r="BD216" s="53">
        <v>488</v>
      </c>
      <c r="BE216" s="54">
        <v>2.049E-3</v>
      </c>
      <c r="BF216" s="15">
        <v>126750</v>
      </c>
    </row>
    <row r="217" spans="41:64">
      <c r="AO217" s="53">
        <v>474</v>
      </c>
      <c r="AP217" s="54">
        <v>2.1096999999999999E-3</v>
      </c>
      <c r="AQ217" s="63">
        <v>105477.99</v>
      </c>
      <c r="AR217" s="53">
        <v>481</v>
      </c>
      <c r="AS217" s="54">
        <v>2.0790019999999999E-3</v>
      </c>
      <c r="AT217" s="63">
        <v>104510.8</v>
      </c>
      <c r="AU217" s="53">
        <v>489</v>
      </c>
      <c r="AV217" s="54">
        <v>2.04499E-3</v>
      </c>
      <c r="AW217" s="63">
        <v>99540.79</v>
      </c>
      <c r="AX217" s="95">
        <v>498</v>
      </c>
      <c r="AY217" s="54">
        <f t="shared" si="3"/>
        <v>2.008032128514056E-3</v>
      </c>
      <c r="AZ217" s="101">
        <v>94526.28</v>
      </c>
      <c r="BA217" s="105"/>
      <c r="BB217" s="105"/>
      <c r="BC217" s="105"/>
      <c r="BD217" s="53">
        <v>489</v>
      </c>
      <c r="BE217" s="54">
        <v>2.0449999999999999E-3</v>
      </c>
      <c r="BF217" s="15">
        <v>130220</v>
      </c>
    </row>
    <row r="218" spans="41:64">
      <c r="AO218" s="53">
        <v>475</v>
      </c>
      <c r="AP218" s="54">
        <v>2.1052599999999999E-3</v>
      </c>
      <c r="AQ218" s="63">
        <v>108484.57</v>
      </c>
      <c r="AR218" s="53">
        <v>482</v>
      </c>
      <c r="AS218" s="54">
        <v>2.0746889999999998E-3</v>
      </c>
      <c r="AT218" s="63">
        <v>107474.7</v>
      </c>
      <c r="AU218" s="53">
        <v>490</v>
      </c>
      <c r="AV218" s="54">
        <v>2.04082E-3</v>
      </c>
      <c r="AW218" s="63">
        <v>102355.6</v>
      </c>
      <c r="AX218" s="95">
        <v>499</v>
      </c>
      <c r="AY218" s="54">
        <f t="shared" si="3"/>
        <v>2.004008016032064E-3</v>
      </c>
      <c r="AZ218" s="101">
        <v>97186.04</v>
      </c>
      <c r="BA218" s="105"/>
      <c r="BB218" s="105"/>
      <c r="BC218" s="105"/>
      <c r="BD218" s="53">
        <v>490</v>
      </c>
      <c r="BE218" s="54">
        <v>2.0409999999999998E-3</v>
      </c>
      <c r="BF218" s="15">
        <v>133770</v>
      </c>
    </row>
    <row r="219" spans="41:64" ht="15" thickBot="1">
      <c r="AO219" s="53">
        <v>476</v>
      </c>
      <c r="AP219" s="54">
        <v>2.1008400000000001E-3</v>
      </c>
      <c r="AQ219" s="63">
        <v>111561.72</v>
      </c>
      <c r="AR219" s="53">
        <v>483</v>
      </c>
      <c r="AS219" s="54">
        <v>2.0703929999999998E-3</v>
      </c>
      <c r="AT219" s="63">
        <v>110507.6</v>
      </c>
      <c r="AU219" s="53">
        <v>491</v>
      </c>
      <c r="AV219" s="54">
        <v>2.03666E-3</v>
      </c>
      <c r="AW219" s="63">
        <v>105235.4</v>
      </c>
      <c r="AX219" s="102">
        <v>500</v>
      </c>
      <c r="AY219" s="58">
        <f t="shared" si="3"/>
        <v>2E-3</v>
      </c>
      <c r="AZ219" s="104">
        <v>99906.733999999997</v>
      </c>
      <c r="BA219" s="105"/>
      <c r="BB219" s="105"/>
      <c r="BC219" s="105"/>
      <c r="BD219" s="53">
        <v>491</v>
      </c>
      <c r="BE219" s="54">
        <v>2.0370000000000002E-3</v>
      </c>
      <c r="BF219" s="15">
        <v>137400</v>
      </c>
    </row>
    <row r="220" spans="41:64">
      <c r="AO220" s="53">
        <v>477</v>
      </c>
      <c r="AP220" s="54">
        <v>2.0964400000000002E-3</v>
      </c>
      <c r="AQ220" s="63">
        <v>114710.69500000001</v>
      </c>
      <c r="AR220" s="53">
        <v>484</v>
      </c>
      <c r="AS220" s="54">
        <v>2.0661159999999998E-3</v>
      </c>
      <c r="AT220" s="63">
        <v>113610.6</v>
      </c>
      <c r="AU220" s="53">
        <v>492</v>
      </c>
      <c r="AV220" s="54">
        <v>2.0325199999999999E-3</v>
      </c>
      <c r="AW220" s="63">
        <v>108181.3</v>
      </c>
      <c r="AX220" s="105"/>
      <c r="AZ220" s="105"/>
      <c r="BA220" s="105"/>
      <c r="BB220" s="105"/>
      <c r="BC220" s="105"/>
      <c r="BD220" s="53">
        <v>492</v>
      </c>
      <c r="BE220" s="54">
        <v>2.0330000000000001E-3</v>
      </c>
      <c r="BF220" s="15">
        <v>141110</v>
      </c>
    </row>
    <row r="221" spans="41:64">
      <c r="AO221" s="53">
        <v>478</v>
      </c>
      <c r="AP221" s="54">
        <v>2.0920499999999998E-3</v>
      </c>
      <c r="AQ221" s="63">
        <v>117932.766</v>
      </c>
      <c r="AR221" s="53">
        <v>485</v>
      </c>
      <c r="AS221" s="54">
        <v>2.0618559999999999E-3</v>
      </c>
      <c r="AT221" s="63">
        <v>116785</v>
      </c>
      <c r="AU221" s="53">
        <v>493</v>
      </c>
      <c r="AV221" s="54">
        <v>2.0284000000000001E-3</v>
      </c>
      <c r="AW221" s="63">
        <v>111194.6</v>
      </c>
      <c r="AX221" s="105"/>
      <c r="AZ221" s="105"/>
      <c r="BA221" s="105"/>
      <c r="BB221" s="105"/>
      <c r="BC221" s="105"/>
      <c r="BD221" s="53">
        <v>493</v>
      </c>
      <c r="BE221" s="54">
        <v>2.0279999999999999E-3</v>
      </c>
      <c r="BF221" s="15">
        <v>144900</v>
      </c>
    </row>
    <row r="222" spans="41:64">
      <c r="AO222" s="53">
        <v>479</v>
      </c>
      <c r="AP222" s="54">
        <v>2.0876800000000002E-3</v>
      </c>
      <c r="AQ222" s="63">
        <v>121229.22</v>
      </c>
      <c r="AR222" s="53">
        <v>486</v>
      </c>
      <c r="AS222" s="54">
        <v>2.0576129999999998E-3</v>
      </c>
      <c r="AT222" s="63">
        <v>120031.9</v>
      </c>
      <c r="AU222" s="53">
        <v>494</v>
      </c>
      <c r="AV222" s="54">
        <v>2.0242900000000002E-3</v>
      </c>
      <c r="AW222" s="63">
        <v>114276.3</v>
      </c>
      <c r="AX222" s="105"/>
      <c r="AZ222" s="105"/>
      <c r="BA222" s="105"/>
      <c r="BB222" s="105"/>
      <c r="BC222" s="105"/>
      <c r="BD222" s="53">
        <v>494</v>
      </c>
      <c r="BE222" s="54">
        <v>2.0240000000000002E-3</v>
      </c>
      <c r="BF222" s="15">
        <v>148770</v>
      </c>
    </row>
    <row r="223" spans="41:64">
      <c r="AO223" s="53">
        <v>480</v>
      </c>
      <c r="AP223" s="54">
        <v>2.08333E-3</v>
      </c>
      <c r="AQ223" s="63">
        <v>124601.37</v>
      </c>
      <c r="AR223" s="53">
        <v>487</v>
      </c>
      <c r="AS223" s="54">
        <v>2.0533880000000002E-3</v>
      </c>
      <c r="AT223" s="63">
        <v>123352.7</v>
      </c>
      <c r="AU223" s="53">
        <v>495</v>
      </c>
      <c r="AV223" s="54">
        <v>2.0202000000000002E-3</v>
      </c>
      <c r="AW223" s="63">
        <v>117427.6</v>
      </c>
      <c r="AX223" s="105"/>
      <c r="AZ223" s="105"/>
      <c r="BA223" s="105"/>
      <c r="BB223" s="105"/>
      <c r="BC223" s="105"/>
      <c r="BD223" s="53">
        <v>495</v>
      </c>
      <c r="BE223" s="54">
        <v>2.0200000000000001E-3</v>
      </c>
      <c r="BF223" s="15">
        <v>152730</v>
      </c>
    </row>
    <row r="224" spans="41:64">
      <c r="AO224" s="53">
        <v>481</v>
      </c>
      <c r="AP224" s="54">
        <v>2.0790000000000001E-3</v>
      </c>
      <c r="AQ224" s="63">
        <v>128050.51</v>
      </c>
      <c r="AR224" s="53">
        <v>488</v>
      </c>
      <c r="AS224" s="54">
        <v>2.0491799999999998E-3</v>
      </c>
      <c r="AT224" s="63">
        <v>126748.5</v>
      </c>
      <c r="AU224" s="53">
        <v>496</v>
      </c>
      <c r="AV224" s="54">
        <v>2.0161300000000001E-3</v>
      </c>
      <c r="AW224" s="63">
        <v>120649.60000000001</v>
      </c>
      <c r="AX224" s="105"/>
      <c r="AZ224" s="105"/>
      <c r="BA224" s="105"/>
      <c r="BB224" s="105"/>
      <c r="BC224" s="105"/>
      <c r="BD224" s="53">
        <v>496</v>
      </c>
      <c r="BE224" s="54">
        <v>2.016E-3</v>
      </c>
      <c r="BF224" s="15">
        <v>156770</v>
      </c>
    </row>
    <row r="225" spans="41:58">
      <c r="AO225" s="53">
        <v>482</v>
      </c>
      <c r="AP225" s="54">
        <v>2.0746900000000001E-3</v>
      </c>
      <c r="AQ225" s="63">
        <v>131577.98000000001</v>
      </c>
      <c r="AR225" s="53">
        <v>489</v>
      </c>
      <c r="AS225" s="54">
        <v>2.04499E-3</v>
      </c>
      <c r="AT225" s="63">
        <v>130220.7</v>
      </c>
      <c r="AU225" s="53">
        <v>497</v>
      </c>
      <c r="AV225" s="54">
        <v>2.0120699999999999E-3</v>
      </c>
      <c r="AW225" s="63">
        <v>123943.6</v>
      </c>
      <c r="AX225" s="105"/>
      <c r="AZ225" s="105"/>
      <c r="BA225" s="105"/>
      <c r="BB225" s="105"/>
      <c r="BC225" s="105"/>
      <c r="BD225" s="53">
        <v>497</v>
      </c>
      <c r="BE225" s="54">
        <v>2.0119999999999999E-3</v>
      </c>
      <c r="BF225" s="15">
        <v>160900</v>
      </c>
    </row>
    <row r="226" spans="41:58">
      <c r="AO226" s="53">
        <v>483</v>
      </c>
      <c r="AP226" s="54">
        <v>2.0703900000000001E-3</v>
      </c>
      <c r="AQ226" s="63">
        <v>135185.14000000001</v>
      </c>
      <c r="AR226" s="53">
        <v>490</v>
      </c>
      <c r="AS226" s="54">
        <v>2.040816E-3</v>
      </c>
      <c r="AT226" s="63">
        <v>133770.6</v>
      </c>
      <c r="AU226" s="53">
        <v>498</v>
      </c>
      <c r="AV226" s="54">
        <v>2.0080300000000001E-3</v>
      </c>
      <c r="AW226" s="63">
        <v>127310.6</v>
      </c>
      <c r="AX226" s="105"/>
      <c r="AZ226" s="105"/>
      <c r="BA226" s="105"/>
      <c r="BB226" s="105"/>
      <c r="BC226" s="105"/>
      <c r="BD226" s="53">
        <v>498</v>
      </c>
      <c r="BE226" s="54">
        <v>2.0079999999999998E-3</v>
      </c>
      <c r="BF226" s="15">
        <v>165120</v>
      </c>
    </row>
    <row r="227" spans="41:58">
      <c r="AO227" s="53">
        <v>484</v>
      </c>
      <c r="AP227" s="54">
        <v>2.0661199999999998E-3</v>
      </c>
      <c r="AQ227" s="63">
        <v>138873.32999999999</v>
      </c>
      <c r="AR227" s="53">
        <v>491</v>
      </c>
      <c r="AS227" s="54">
        <v>2.03666E-3</v>
      </c>
      <c r="AT227" s="63">
        <v>137399.29999999999</v>
      </c>
      <c r="AU227" s="53">
        <v>499</v>
      </c>
      <c r="AV227" s="54">
        <v>2.0040100000000001E-3</v>
      </c>
      <c r="AW227" s="63">
        <v>130752</v>
      </c>
      <c r="AX227" s="105"/>
      <c r="AZ227" s="105"/>
      <c r="BA227" s="105"/>
      <c r="BB227" s="105"/>
      <c r="BC227" s="105"/>
      <c r="BD227" s="53">
        <v>499</v>
      </c>
      <c r="BE227" s="54">
        <v>2.0040000000000001E-3</v>
      </c>
      <c r="BF227" s="15">
        <v>169430</v>
      </c>
    </row>
    <row r="228" spans="41:58" ht="15" thickBot="1">
      <c r="AO228" s="53">
        <v>485</v>
      </c>
      <c r="AP228" s="54">
        <v>2.06186E-3</v>
      </c>
      <c r="AQ228" s="63">
        <v>142643.92000000001</v>
      </c>
      <c r="AR228" s="53">
        <v>492</v>
      </c>
      <c r="AS228" s="54">
        <v>2.0325199999999999E-3</v>
      </c>
      <c r="AT228" s="63">
        <v>141108.29999999999</v>
      </c>
      <c r="AU228" s="57">
        <v>500</v>
      </c>
      <c r="AV228" s="58">
        <v>2E-3</v>
      </c>
      <c r="AW228" s="64">
        <v>134268.9</v>
      </c>
      <c r="AX228" s="105"/>
      <c r="AZ228" s="105"/>
      <c r="BA228" s="105"/>
      <c r="BB228" s="105"/>
      <c r="BC228" s="105"/>
      <c r="BD228" s="57">
        <v>500</v>
      </c>
      <c r="BE228" s="58">
        <v>2E-3</v>
      </c>
      <c r="BF228" s="30">
        <v>173830</v>
      </c>
    </row>
    <row r="229" spans="41:58">
      <c r="AO229" s="53">
        <v>486</v>
      </c>
      <c r="AP229" s="54">
        <v>2.0576100000000001E-3</v>
      </c>
      <c r="AQ229" s="63">
        <v>146498.28</v>
      </c>
      <c r="AR229" s="53">
        <v>493</v>
      </c>
      <c r="AS229" s="54">
        <v>2.0283979999999998E-3</v>
      </c>
      <c r="AT229" s="63">
        <v>144898.9</v>
      </c>
      <c r="AX229" s="105"/>
      <c r="AZ229" s="105"/>
      <c r="BA229" s="105"/>
      <c r="BB229" s="105"/>
      <c r="BC229" s="105"/>
    </row>
    <row r="230" spans="41:58">
      <c r="AO230" s="53">
        <v>487</v>
      </c>
      <c r="AP230" s="54">
        <v>2.05339E-3</v>
      </c>
      <c r="AQ230" s="63">
        <v>150437.84</v>
      </c>
      <c r="AR230" s="53">
        <v>494</v>
      </c>
      <c r="AS230" s="54">
        <v>2.0242910000000001E-3</v>
      </c>
      <c r="AT230" s="63">
        <v>148772.4</v>
      </c>
      <c r="AX230" s="105"/>
      <c r="AZ230" s="105"/>
      <c r="BA230" s="105"/>
      <c r="BB230" s="105"/>
      <c r="BC230" s="105"/>
    </row>
    <row r="231" spans="41:58">
      <c r="AO231" s="53">
        <v>488</v>
      </c>
      <c r="AP231" s="54">
        <v>2.0491799999999998E-3</v>
      </c>
      <c r="AQ231" s="63">
        <v>154464</v>
      </c>
      <c r="AR231" s="53">
        <v>495</v>
      </c>
      <c r="AS231" s="54">
        <v>2.020202E-3</v>
      </c>
      <c r="AT231" s="63">
        <v>152730.1</v>
      </c>
      <c r="AX231" s="105"/>
      <c r="AZ231" s="105"/>
      <c r="BA231" s="105"/>
      <c r="BC231" s="105"/>
    </row>
    <row r="232" spans="41:58">
      <c r="AO232" s="53">
        <v>489</v>
      </c>
      <c r="AP232" s="54">
        <v>2.04499E-3</v>
      </c>
      <c r="AQ232" s="63">
        <v>158578.19</v>
      </c>
      <c r="AR232" s="53">
        <v>496</v>
      </c>
      <c r="AS232" s="54">
        <v>2.0161290000000002E-3</v>
      </c>
      <c r="AT232" s="63">
        <v>156773.29999999999</v>
      </c>
      <c r="AX232" s="105"/>
      <c r="AZ232" s="105"/>
      <c r="BA232" s="105"/>
      <c r="BC232" s="105"/>
    </row>
    <row r="233" spans="41:58">
      <c r="AO233" s="53">
        <v>490</v>
      </c>
      <c r="AP233" s="54">
        <v>2.04082E-3</v>
      </c>
      <c r="AQ233" s="63">
        <v>162781.82999999999</v>
      </c>
      <c r="AR233" s="53">
        <v>497</v>
      </c>
      <c r="AS233" s="54">
        <v>2.0120720000000002E-3</v>
      </c>
      <c r="AT233" s="63">
        <v>160903.5</v>
      </c>
      <c r="AX233" s="105"/>
      <c r="AZ233" s="105"/>
      <c r="BA233" s="105"/>
      <c r="BC233" s="105"/>
    </row>
    <row r="234" spans="41:58">
      <c r="AO234" s="53">
        <v>491</v>
      </c>
      <c r="AP234" s="54">
        <v>2.03666E-3</v>
      </c>
      <c r="AQ234" s="63">
        <v>167076.39000000001</v>
      </c>
      <c r="AR234" s="53">
        <v>498</v>
      </c>
      <c r="AS234" s="54">
        <v>2.0080319999999999E-3</v>
      </c>
      <c r="AT234" s="63">
        <v>165122.1</v>
      </c>
      <c r="AX234" s="105"/>
      <c r="AZ234" s="105"/>
      <c r="BA234" s="105"/>
      <c r="BC234" s="105"/>
    </row>
    <row r="235" spans="41:58">
      <c r="AO235" s="53">
        <v>492</v>
      </c>
      <c r="AP235" s="54">
        <v>2.0325199999999999E-3</v>
      </c>
      <c r="AQ235" s="63">
        <v>171463.34</v>
      </c>
      <c r="AR235" s="53">
        <v>499</v>
      </c>
      <c r="AS235" s="54">
        <v>2.0040079999999998E-3</v>
      </c>
      <c r="AT235" s="63">
        <v>169430.39999999999</v>
      </c>
      <c r="AX235" s="105"/>
      <c r="AZ235" s="105"/>
      <c r="BA235" s="105"/>
      <c r="BC235" s="105"/>
    </row>
    <row r="236" spans="41:58" ht="15" thickBot="1">
      <c r="AO236" s="53">
        <v>493</v>
      </c>
      <c r="AP236" s="54">
        <v>2.0284000000000001E-3</v>
      </c>
      <c r="AQ236" s="63">
        <v>175944.16</v>
      </c>
      <c r="AR236" s="57">
        <v>500</v>
      </c>
      <c r="AS236" s="58">
        <v>2E-3</v>
      </c>
      <c r="AT236" s="64">
        <v>173829.8</v>
      </c>
      <c r="AX236" s="105"/>
      <c r="AZ236" s="105"/>
      <c r="BA236" s="105"/>
      <c r="BC236" s="105"/>
    </row>
    <row r="237" spans="41:58">
      <c r="AO237" s="53">
        <v>494</v>
      </c>
      <c r="AP237" s="54">
        <v>2.0242900000000002E-3</v>
      </c>
      <c r="AQ237" s="63">
        <v>180520.33</v>
      </c>
      <c r="AX237" s="105"/>
      <c r="AZ237" s="105"/>
      <c r="BA237" s="105"/>
      <c r="BC237" s="105"/>
    </row>
    <row r="238" spans="41:58">
      <c r="AO238" s="53">
        <v>495</v>
      </c>
      <c r="AP238" s="54">
        <v>2.0202000000000002E-3</v>
      </c>
      <c r="AQ238" s="63">
        <v>185193.36</v>
      </c>
      <c r="AX238" s="105"/>
      <c r="AZ238" s="105"/>
      <c r="BA238" s="105"/>
      <c r="BC238" s="105"/>
    </row>
    <row r="239" spans="41:58">
      <c r="AO239" s="53">
        <v>496</v>
      </c>
      <c r="AP239" s="54">
        <v>2.0161300000000001E-3</v>
      </c>
      <c r="AQ239" s="63">
        <v>189964.79999999999</v>
      </c>
      <c r="AX239" s="105"/>
      <c r="AZ239" s="105"/>
      <c r="BA239" s="105"/>
      <c r="BC239" s="105"/>
    </row>
    <row r="240" spans="41:58">
      <c r="AO240" s="53">
        <v>497</v>
      </c>
      <c r="AP240" s="54">
        <v>2.0120699999999999E-3</v>
      </c>
      <c r="AQ240" s="63">
        <v>194836.16</v>
      </c>
      <c r="AX240" s="105"/>
      <c r="AZ240" s="105"/>
      <c r="BA240" s="105"/>
      <c r="BC240" s="105"/>
    </row>
    <row r="241" spans="41:55">
      <c r="AO241" s="53">
        <v>498</v>
      </c>
      <c r="AP241" s="54">
        <v>2.0080300000000001E-3</v>
      </c>
      <c r="AQ241" s="63">
        <v>199808.98</v>
      </c>
      <c r="AX241" s="105"/>
      <c r="AZ241" s="105"/>
      <c r="BA241" s="105"/>
      <c r="BC241" s="105"/>
    </row>
    <row r="242" spans="41:55">
      <c r="AO242" s="53">
        <v>499</v>
      </c>
      <c r="AP242" s="54">
        <v>2.0040100000000001E-3</v>
      </c>
      <c r="AQ242" s="63">
        <v>204884.86</v>
      </c>
      <c r="AX242" s="105"/>
      <c r="AZ242" s="105"/>
      <c r="BA242" s="105"/>
      <c r="BC242" s="105"/>
    </row>
    <row r="243" spans="41:55" ht="15" thickBot="1">
      <c r="AO243" s="57">
        <v>500</v>
      </c>
      <c r="AP243" s="58">
        <v>2E-3</v>
      </c>
      <c r="AQ243" s="64">
        <v>210065.34</v>
      </c>
      <c r="AX243" s="105"/>
      <c r="AZ243" s="105"/>
      <c r="BA243" s="105"/>
      <c r="BC243" s="105"/>
    </row>
    <row r="244" spans="41:55">
      <c r="AX244" s="105"/>
      <c r="AZ244" s="105"/>
      <c r="BA244" s="105"/>
      <c r="BC244" s="105"/>
    </row>
    <row r="245" spans="41:55">
      <c r="AX245" s="105"/>
      <c r="AZ245" s="105"/>
      <c r="BA245" s="105"/>
      <c r="BC245" s="105"/>
    </row>
    <row r="246" spans="41:55">
      <c r="AX246" s="105"/>
      <c r="AZ246" s="105"/>
      <c r="BA246" s="105"/>
      <c r="BC246" s="105"/>
    </row>
    <row r="247" spans="41:55">
      <c r="AX247" s="105"/>
      <c r="AZ247" s="105"/>
      <c r="BA247" s="105"/>
      <c r="BC247" s="105"/>
    </row>
    <row r="248" spans="41:55">
      <c r="AX248" s="105"/>
      <c r="AZ248" s="105"/>
      <c r="BA248" s="105"/>
      <c r="BC248" s="105"/>
    </row>
    <row r="249" spans="41:55">
      <c r="AX249" s="105"/>
      <c r="AZ249" s="105"/>
      <c r="BA249" s="105"/>
      <c r="BC249" s="105"/>
    </row>
    <row r="250" spans="41:55">
      <c r="AX250" s="105"/>
      <c r="AZ250" s="105"/>
      <c r="BA250" s="105"/>
      <c r="BC250" s="105"/>
    </row>
    <row r="251" spans="41:55">
      <c r="AX251" s="105"/>
      <c r="AZ251" s="105"/>
      <c r="BA251" s="105"/>
      <c r="BC251" s="105"/>
    </row>
    <row r="252" spans="41:55">
      <c r="AX252" s="105"/>
      <c r="AZ252" s="105"/>
      <c r="BA252" s="105"/>
      <c r="BC252" s="105"/>
    </row>
    <row r="253" spans="41:55">
      <c r="AX253" s="105"/>
      <c r="AZ253" s="105"/>
      <c r="BA253" s="105"/>
      <c r="BC253" s="105"/>
    </row>
    <row r="254" spans="41:55">
      <c r="AX254" s="105"/>
      <c r="AZ254" s="105"/>
      <c r="BA254" s="105"/>
      <c r="BC254" s="105"/>
    </row>
    <row r="255" spans="41:55">
      <c r="AX255" s="105"/>
      <c r="AZ255" s="105"/>
      <c r="BA255" s="105"/>
      <c r="BC255" s="105"/>
    </row>
    <row r="256" spans="41:55">
      <c r="AX256" s="105"/>
      <c r="AZ256" s="105"/>
      <c r="BA256" s="105"/>
      <c r="BC256" s="105"/>
    </row>
    <row r="257" spans="50:55">
      <c r="AX257" s="105"/>
      <c r="AZ257" s="105"/>
      <c r="BA257" s="105"/>
      <c r="BC257" s="105"/>
    </row>
    <row r="258" spans="50:55">
      <c r="AX258" s="105"/>
      <c r="AZ258" s="105"/>
      <c r="BA258" s="105"/>
      <c r="BC258" s="105"/>
    </row>
    <row r="259" spans="50:55">
      <c r="AX259" s="105"/>
      <c r="AZ259" s="105"/>
      <c r="BA259" s="105"/>
      <c r="BC259" s="105"/>
    </row>
    <row r="260" spans="50:55">
      <c r="AX260" s="105"/>
      <c r="AZ260" s="105"/>
      <c r="BA260" s="105"/>
      <c r="BC260" s="105"/>
    </row>
    <row r="261" spans="50:55">
      <c r="AX261" s="105"/>
      <c r="AZ261" s="105"/>
      <c r="BA261" s="105"/>
      <c r="BC261" s="105"/>
    </row>
    <row r="262" spans="50:55">
      <c r="AX262" s="105"/>
      <c r="AZ262" s="105"/>
      <c r="BA262" s="105"/>
      <c r="BC262" s="105"/>
    </row>
    <row r="263" spans="50:55">
      <c r="AX263" s="105"/>
      <c r="AZ263" s="105"/>
      <c r="BA263" s="105"/>
      <c r="BC263" s="105"/>
    </row>
    <row r="264" spans="50:55">
      <c r="AX264" s="105"/>
      <c r="AZ264" s="105"/>
      <c r="BA264" s="105"/>
      <c r="BC264" s="105"/>
    </row>
    <row r="265" spans="50:55">
      <c r="AX265" s="105"/>
      <c r="AZ265" s="105"/>
      <c r="BA265" s="105"/>
      <c r="BC265" s="105"/>
    </row>
    <row r="266" spans="50:55">
      <c r="AX266" s="105"/>
      <c r="AZ266" s="105"/>
      <c r="BA266" s="105"/>
      <c r="BC266" s="105"/>
    </row>
    <row r="267" spans="50:55">
      <c r="AX267" s="105"/>
      <c r="AZ267" s="105"/>
      <c r="BA267" s="105"/>
      <c r="BC267" s="105"/>
    </row>
    <row r="268" spans="50:55">
      <c r="AX268" s="105"/>
      <c r="AZ268" s="105"/>
      <c r="BA268" s="105"/>
      <c r="BC268" s="105"/>
    </row>
    <row r="269" spans="50:55">
      <c r="AX269" s="105"/>
      <c r="AZ269" s="105"/>
      <c r="BA269" s="105"/>
      <c r="BC269" s="105"/>
    </row>
    <row r="270" spans="50:55">
      <c r="AX270" s="105"/>
      <c r="AZ270" s="105"/>
      <c r="BA270" s="105"/>
      <c r="BC270" s="105"/>
    </row>
    <row r="271" spans="50:55">
      <c r="AX271" s="105"/>
      <c r="AZ271" s="105"/>
      <c r="BA271" s="105"/>
      <c r="BC271" s="105"/>
    </row>
    <row r="272" spans="50:55">
      <c r="AX272" s="105"/>
      <c r="AZ272" s="105"/>
      <c r="BA272" s="105"/>
      <c r="BC272" s="105"/>
    </row>
    <row r="273" spans="50:55">
      <c r="AX273" s="105"/>
      <c r="AZ273" s="105"/>
      <c r="BA273" s="105"/>
      <c r="BC273" s="105"/>
    </row>
    <row r="274" spans="50:55">
      <c r="AX274" s="105"/>
      <c r="AZ274" s="105"/>
      <c r="BA274" s="105"/>
      <c r="BC274" s="105"/>
    </row>
    <row r="275" spans="50:55">
      <c r="AX275" s="105"/>
      <c r="AZ275" s="105"/>
      <c r="BA275" s="105"/>
      <c r="BC275" s="105"/>
    </row>
    <row r="276" spans="50:55">
      <c r="AX276" s="105"/>
      <c r="AZ276" s="105"/>
      <c r="BA276" s="105"/>
      <c r="BC276" s="105"/>
    </row>
    <row r="277" spans="50:55">
      <c r="AX277" s="105"/>
      <c r="AZ277" s="105"/>
      <c r="BA277" s="105"/>
      <c r="BC277" s="105"/>
    </row>
    <row r="278" spans="50:55">
      <c r="AX278" s="105"/>
      <c r="AZ278" s="105"/>
      <c r="BA278" s="105"/>
      <c r="BC278" s="105"/>
    </row>
    <row r="279" spans="50:55">
      <c r="AX279" s="105"/>
      <c r="AZ279" s="105"/>
      <c r="BA279" s="105"/>
      <c r="BC279" s="105"/>
    </row>
    <row r="280" spans="50:55">
      <c r="AX280" s="105"/>
      <c r="AZ280" s="105"/>
      <c r="BA280" s="105"/>
      <c r="BC280" s="105"/>
    </row>
    <row r="281" spans="50:55">
      <c r="AX281" s="105"/>
      <c r="AZ281" s="105"/>
      <c r="BA281" s="105"/>
      <c r="BC281" s="105"/>
    </row>
    <row r="282" spans="50:55">
      <c r="AX282" s="105"/>
      <c r="AZ282" s="105"/>
      <c r="BA282" s="105"/>
      <c r="BC282" s="105"/>
    </row>
    <row r="283" spans="50:55">
      <c r="AX283" s="105"/>
      <c r="AZ283" s="105"/>
      <c r="BA283" s="105"/>
      <c r="BC283" s="105"/>
    </row>
    <row r="284" spans="50:55">
      <c r="AX284" s="105"/>
      <c r="AZ284" s="105"/>
      <c r="BA284" s="105"/>
      <c r="BC284" s="105"/>
    </row>
    <row r="285" spans="50:55">
      <c r="AX285" s="105"/>
      <c r="AZ285" s="105"/>
      <c r="BA285" s="105"/>
      <c r="BC285" s="105"/>
    </row>
    <row r="286" spans="50:55">
      <c r="AX286" s="105"/>
      <c r="AZ286" s="105"/>
      <c r="BA286" s="105"/>
      <c r="BC286" s="105"/>
    </row>
    <row r="287" spans="50:55">
      <c r="AX287" s="105"/>
      <c r="AZ287" s="105"/>
      <c r="BA287" s="105"/>
      <c r="BC287" s="105"/>
    </row>
    <row r="288" spans="50:55">
      <c r="AX288" s="105"/>
      <c r="AZ288" s="105"/>
      <c r="BA288" s="105"/>
      <c r="BC288" s="105"/>
    </row>
    <row r="289" spans="50:55">
      <c r="AX289" s="105"/>
      <c r="AZ289" s="105"/>
      <c r="BA289" s="105"/>
      <c r="BC289" s="105"/>
    </row>
    <row r="290" spans="50:55">
      <c r="AX290" s="105"/>
      <c r="AZ290" s="105"/>
      <c r="BA290" s="105"/>
      <c r="BC290" s="105"/>
    </row>
    <row r="291" spans="50:55">
      <c r="AX291" s="105"/>
      <c r="AZ291" s="105"/>
      <c r="BA291" s="105"/>
      <c r="BC291" s="105"/>
    </row>
    <row r="292" spans="50:55">
      <c r="AX292" s="105"/>
      <c r="AZ292" s="105"/>
      <c r="BA292" s="105"/>
      <c r="BC292" s="105"/>
    </row>
    <row r="293" spans="50:55">
      <c r="AX293" s="105"/>
      <c r="AZ293" s="105"/>
      <c r="BA293" s="105"/>
      <c r="BC293" s="105"/>
    </row>
    <row r="294" spans="50:55">
      <c r="AX294" s="105"/>
      <c r="AZ294" s="105"/>
      <c r="BA294" s="105"/>
      <c r="BC294" s="105"/>
    </row>
    <row r="295" spans="50:55">
      <c r="AX295" s="105"/>
      <c r="AZ295" s="105"/>
      <c r="BA295" s="105"/>
      <c r="BC295" s="105"/>
    </row>
    <row r="296" spans="50:55">
      <c r="AX296" s="105"/>
      <c r="AZ296" s="105"/>
      <c r="BA296" s="105"/>
      <c r="BC296" s="105"/>
    </row>
    <row r="297" spans="50:55">
      <c r="AX297" s="105"/>
      <c r="AZ297" s="105"/>
      <c r="BA297" s="105"/>
      <c r="BC297" s="105"/>
    </row>
    <row r="298" spans="50:55">
      <c r="AX298" s="105"/>
      <c r="AZ298" s="105"/>
      <c r="BA298" s="105"/>
      <c r="BC298" s="105"/>
    </row>
    <row r="299" spans="50:55">
      <c r="AX299" s="105"/>
      <c r="AZ299" s="105"/>
      <c r="BA299" s="105"/>
      <c r="BC299" s="105"/>
    </row>
    <row r="300" spans="50:55">
      <c r="AX300" s="105"/>
      <c r="AZ300" s="105"/>
      <c r="BA300" s="105"/>
      <c r="BC300" s="105"/>
    </row>
    <row r="301" spans="50:55">
      <c r="AX301" s="105"/>
      <c r="AZ301" s="105"/>
      <c r="BA301" s="105"/>
      <c r="BC301" s="105"/>
    </row>
    <row r="302" spans="50:55">
      <c r="AX302" s="105"/>
      <c r="AZ302" s="105"/>
      <c r="BA302" s="105"/>
      <c r="BC302" s="105"/>
    </row>
    <row r="303" spans="50:55">
      <c r="AX303" s="105"/>
      <c r="AZ303" s="105"/>
      <c r="BA303" s="105"/>
      <c r="BC303" s="105"/>
    </row>
    <row r="304" spans="50:55">
      <c r="AX304" s="105"/>
      <c r="AZ304" s="105"/>
      <c r="BA304" s="105"/>
      <c r="BC304" s="105"/>
    </row>
    <row r="305" spans="50:55">
      <c r="AX305" s="105"/>
      <c r="AZ305" s="105"/>
      <c r="BA305" s="105"/>
      <c r="BC305" s="105"/>
    </row>
    <row r="306" spans="50:55">
      <c r="AX306" s="105"/>
      <c r="AZ306" s="105"/>
      <c r="BA306" s="105"/>
      <c r="BC306" s="105"/>
    </row>
    <row r="307" spans="50:55">
      <c r="AX307" s="105"/>
      <c r="AZ307" s="105"/>
      <c r="BA307" s="105"/>
      <c r="BC307" s="105"/>
    </row>
    <row r="308" spans="50:55">
      <c r="AX308" s="105"/>
      <c r="AZ308" s="105"/>
      <c r="BA308" s="105"/>
      <c r="BC308" s="105"/>
    </row>
    <row r="309" spans="50:55">
      <c r="AX309" s="105"/>
      <c r="AZ309" s="105"/>
      <c r="BA309" s="105"/>
      <c r="BC309" s="105"/>
    </row>
    <row r="310" spans="50:55">
      <c r="AX310" s="105"/>
      <c r="AZ310" s="105"/>
      <c r="BA310" s="105"/>
      <c r="BC310" s="105"/>
    </row>
    <row r="311" spans="50:55">
      <c r="AX311" s="105"/>
      <c r="AZ311" s="105"/>
      <c r="BA311" s="105"/>
      <c r="BC311" s="105"/>
    </row>
    <row r="312" spans="50:55">
      <c r="AX312" s="105"/>
      <c r="AZ312" s="105"/>
      <c r="BA312" s="105"/>
      <c r="BC312" s="105"/>
    </row>
    <row r="313" spans="50:55">
      <c r="AX313" s="105"/>
      <c r="AZ313" s="105"/>
      <c r="BA313" s="105"/>
      <c r="BC313" s="105"/>
    </row>
    <row r="314" spans="50:55">
      <c r="AX314" s="105"/>
      <c r="AZ314" s="105"/>
      <c r="BA314" s="105"/>
      <c r="BC314" s="105"/>
    </row>
    <row r="315" spans="50:55">
      <c r="AX315" s="105"/>
      <c r="AZ315" s="105"/>
      <c r="BA315" s="105"/>
      <c r="BC315" s="105"/>
    </row>
    <row r="316" spans="50:55">
      <c r="AX316" s="105"/>
      <c r="AZ316" s="105"/>
      <c r="BA316" s="105"/>
      <c r="BC316" s="105"/>
    </row>
    <row r="317" spans="50:55">
      <c r="AX317" s="105"/>
      <c r="AZ317" s="105"/>
      <c r="BA317" s="105"/>
      <c r="BC317" s="105"/>
    </row>
    <row r="318" spans="50:55">
      <c r="AX318" s="105"/>
      <c r="AZ318" s="105"/>
      <c r="BA318" s="105"/>
      <c r="BC318" s="105"/>
    </row>
    <row r="319" spans="50:55">
      <c r="AX319" s="105"/>
      <c r="AZ319" s="105"/>
      <c r="BA319" s="105"/>
      <c r="BC319" s="105"/>
    </row>
    <row r="320" spans="50:55">
      <c r="AX320" s="105"/>
      <c r="AZ320" s="105"/>
      <c r="BA320" s="105"/>
      <c r="BC320" s="105"/>
    </row>
    <row r="321" spans="50:55">
      <c r="AX321" s="105"/>
      <c r="AZ321" s="105"/>
      <c r="BA321" s="105"/>
      <c r="BC321" s="105"/>
    </row>
    <row r="322" spans="50:55">
      <c r="AX322" s="105"/>
      <c r="AZ322" s="105"/>
      <c r="BA322" s="105"/>
      <c r="BC322" s="105"/>
    </row>
    <row r="323" spans="50:55">
      <c r="AX323" s="105"/>
      <c r="AZ323" s="105"/>
      <c r="BA323" s="105"/>
      <c r="BC323" s="105"/>
    </row>
    <row r="324" spans="50:55">
      <c r="AX324" s="105"/>
      <c r="AZ324" s="105"/>
      <c r="BA324" s="105"/>
      <c r="BC324" s="105"/>
    </row>
    <row r="325" spans="50:55">
      <c r="AX325" s="105"/>
      <c r="AZ325" s="105"/>
      <c r="BA325" s="105"/>
      <c r="BC325" s="105"/>
    </row>
    <row r="326" spans="50:55">
      <c r="AX326" s="105"/>
      <c r="AZ326" s="105"/>
      <c r="BA326" s="105"/>
      <c r="BC326" s="105"/>
    </row>
    <row r="327" spans="50:55">
      <c r="AX327" s="105"/>
      <c r="AZ327" s="105"/>
      <c r="BA327" s="105"/>
      <c r="BC327" s="105"/>
    </row>
    <row r="328" spans="50:55">
      <c r="AX328" s="105"/>
      <c r="AZ328" s="105"/>
      <c r="BA328" s="105"/>
      <c r="BC328" s="105"/>
    </row>
    <row r="329" spans="50:55">
      <c r="AX329" s="105"/>
      <c r="AZ329" s="105"/>
      <c r="BA329" s="105"/>
      <c r="BC329" s="105"/>
    </row>
    <row r="330" spans="50:55">
      <c r="AX330" s="105"/>
      <c r="AZ330" s="105"/>
      <c r="BA330" s="105"/>
      <c r="BC330" s="105"/>
    </row>
    <row r="331" spans="50:55">
      <c r="AX331" s="105"/>
      <c r="AZ331" s="105"/>
      <c r="BA331" s="105"/>
      <c r="BC331" s="105"/>
    </row>
    <row r="332" spans="50:55">
      <c r="AX332" s="105"/>
      <c r="AZ332" s="105"/>
      <c r="BA332" s="105"/>
      <c r="BC332" s="105"/>
    </row>
    <row r="333" spans="50:55">
      <c r="AX333" s="105"/>
      <c r="AZ333" s="105"/>
      <c r="BA333" s="105"/>
      <c r="BC333" s="105"/>
    </row>
    <row r="334" spans="50:55">
      <c r="AX334" s="105"/>
      <c r="AZ334" s="105"/>
      <c r="BA334" s="105"/>
      <c r="BC334" s="105"/>
    </row>
    <row r="335" spans="50:55">
      <c r="AX335" s="105"/>
      <c r="AZ335" s="105"/>
      <c r="BA335" s="105"/>
      <c r="BC335" s="105"/>
    </row>
    <row r="336" spans="50:55">
      <c r="AX336" s="105"/>
      <c r="AZ336" s="105"/>
      <c r="BA336" s="105"/>
      <c r="BC336" s="105"/>
    </row>
    <row r="337" spans="50:55">
      <c r="AX337" s="105"/>
      <c r="AZ337" s="105"/>
      <c r="BA337" s="105"/>
      <c r="BC337" s="105"/>
    </row>
    <row r="338" spans="50:55">
      <c r="AX338" s="105"/>
      <c r="AZ338" s="105"/>
      <c r="BA338" s="105"/>
      <c r="BC338" s="105"/>
    </row>
    <row r="339" spans="50:55">
      <c r="AX339" s="105"/>
      <c r="AZ339" s="105"/>
      <c r="BA339" s="105"/>
      <c r="BC339" s="105"/>
    </row>
    <row r="340" spans="50:55">
      <c r="AX340" s="105"/>
      <c r="AZ340" s="105"/>
      <c r="BA340" s="105"/>
      <c r="BC340" s="105"/>
    </row>
    <row r="341" spans="50:55">
      <c r="AX341" s="105"/>
      <c r="AZ341" s="105"/>
      <c r="BA341" s="105"/>
      <c r="BC341" s="105"/>
    </row>
    <row r="342" spans="50:55">
      <c r="AX342" s="105"/>
      <c r="AZ342" s="105"/>
      <c r="BA342" s="105"/>
      <c r="BC342" s="105"/>
    </row>
    <row r="343" spans="50:55">
      <c r="AX343" s="105"/>
      <c r="AZ343" s="105"/>
      <c r="BA343" s="105"/>
      <c r="BC343" s="105"/>
    </row>
    <row r="344" spans="50:55">
      <c r="AX344" s="105"/>
      <c r="AZ344" s="105"/>
      <c r="BA344" s="105"/>
      <c r="BC344" s="105"/>
    </row>
    <row r="345" spans="50:55">
      <c r="AX345" s="105"/>
      <c r="AZ345" s="105"/>
      <c r="BA345" s="105"/>
      <c r="BC345" s="105"/>
    </row>
    <row r="346" spans="50:55">
      <c r="AX346" s="105"/>
      <c r="AZ346" s="105"/>
      <c r="BA346" s="105"/>
      <c r="BC346" s="105"/>
    </row>
    <row r="347" spans="50:55">
      <c r="AX347" s="105"/>
      <c r="AZ347" s="105"/>
      <c r="BA347" s="105"/>
      <c r="BC347" s="105"/>
    </row>
    <row r="348" spans="50:55">
      <c r="AX348" s="105"/>
      <c r="AZ348" s="105"/>
      <c r="BA348" s="105"/>
      <c r="BC348" s="105"/>
    </row>
    <row r="349" spans="50:55">
      <c r="AX349" s="105"/>
      <c r="AZ349" s="105"/>
      <c r="BA349" s="105"/>
      <c r="BC349" s="105"/>
    </row>
    <row r="350" spans="50:55">
      <c r="AX350" s="105"/>
      <c r="AZ350" s="105"/>
      <c r="BA350" s="105"/>
      <c r="BC350" s="105"/>
    </row>
    <row r="351" spans="50:55">
      <c r="AX351" s="105"/>
      <c r="AZ351" s="105"/>
      <c r="BA351" s="105"/>
      <c r="BC351" s="105"/>
    </row>
    <row r="352" spans="50:55">
      <c r="AX352" s="105"/>
      <c r="AZ352" s="105"/>
      <c r="BA352" s="105"/>
      <c r="BC352" s="105"/>
    </row>
    <row r="353" spans="50:55">
      <c r="AX353" s="105"/>
      <c r="AZ353" s="105"/>
      <c r="BA353" s="105"/>
      <c r="BC353" s="105"/>
    </row>
    <row r="354" spans="50:55">
      <c r="AX354" s="105"/>
      <c r="AZ354" s="105"/>
      <c r="BA354" s="105"/>
      <c r="BC354" s="105"/>
    </row>
    <row r="355" spans="50:55">
      <c r="AX355" s="105"/>
      <c r="AZ355" s="105"/>
      <c r="BA355" s="105"/>
      <c r="BC355" s="105"/>
    </row>
    <row r="356" spans="50:55">
      <c r="AX356" s="105"/>
      <c r="AZ356" s="105"/>
      <c r="BA356" s="105"/>
      <c r="BC356" s="105"/>
    </row>
    <row r="357" spans="50:55">
      <c r="AX357" s="105"/>
      <c r="AZ357" s="105"/>
      <c r="BA357" s="105"/>
      <c r="BC357" s="105"/>
    </row>
    <row r="358" spans="50:55">
      <c r="AX358" s="105"/>
      <c r="AZ358" s="105"/>
      <c r="BA358" s="105"/>
      <c r="BC358" s="105"/>
    </row>
    <row r="359" spans="50:55">
      <c r="AX359" s="105"/>
      <c r="AZ359" s="105"/>
      <c r="BA359" s="105"/>
      <c r="BC359" s="105"/>
    </row>
    <row r="360" spans="50:55">
      <c r="AX360" s="105"/>
      <c r="AZ360" s="105"/>
      <c r="BA360" s="105"/>
      <c r="BC360" s="105"/>
    </row>
    <row r="361" spans="50:55">
      <c r="AX361" s="105"/>
      <c r="AZ361" s="105"/>
      <c r="BA361" s="105"/>
      <c r="BC361" s="105"/>
    </row>
    <row r="362" spans="50:55">
      <c r="AX362" s="105"/>
      <c r="AZ362" s="105"/>
      <c r="BA362" s="105"/>
      <c r="BC362" s="105"/>
    </row>
    <row r="363" spans="50:55">
      <c r="AX363" s="105"/>
      <c r="AZ363" s="105"/>
      <c r="BA363" s="105"/>
      <c r="BC363" s="105"/>
    </row>
    <row r="364" spans="50:55">
      <c r="AX364" s="105"/>
      <c r="AZ364" s="105"/>
      <c r="BA364" s="105"/>
      <c r="BC364" s="105"/>
    </row>
    <row r="365" spans="50:55">
      <c r="AX365" s="105"/>
      <c r="AZ365" s="105"/>
      <c r="BA365" s="105"/>
      <c r="BC365" s="105"/>
    </row>
    <row r="366" spans="50:55">
      <c r="AX366" s="105"/>
      <c r="AZ366" s="105"/>
      <c r="BA366" s="105"/>
      <c r="BC366" s="105"/>
    </row>
    <row r="367" spans="50:55">
      <c r="AX367" s="105"/>
      <c r="AZ367" s="105"/>
      <c r="BA367" s="105"/>
      <c r="BC367" s="105"/>
    </row>
    <row r="368" spans="50:55">
      <c r="AX368" s="105"/>
      <c r="AZ368" s="105"/>
      <c r="BA368" s="105"/>
      <c r="BC368" s="105"/>
    </row>
    <row r="369" spans="50:55">
      <c r="AX369" s="105"/>
      <c r="AZ369" s="105"/>
      <c r="BA369" s="105"/>
      <c r="BC369" s="105"/>
    </row>
    <row r="370" spans="50:55">
      <c r="AX370" s="105"/>
      <c r="AZ370" s="105"/>
      <c r="BA370" s="105"/>
      <c r="BC370" s="105"/>
    </row>
    <row r="371" spans="50:55">
      <c r="AX371" s="105"/>
      <c r="AZ371" s="105"/>
      <c r="BA371" s="105"/>
      <c r="BC371" s="105"/>
    </row>
    <row r="372" spans="50:55">
      <c r="AX372" s="105"/>
      <c r="AZ372" s="105"/>
      <c r="BA372" s="105"/>
      <c r="BC372" s="105"/>
    </row>
    <row r="373" spans="50:55">
      <c r="AX373" s="105"/>
      <c r="AZ373" s="105"/>
      <c r="BA373" s="105"/>
      <c r="BC373" s="105"/>
    </row>
    <row r="374" spans="50:55">
      <c r="AX374" s="105"/>
      <c r="AZ374" s="105"/>
      <c r="BA374" s="105"/>
      <c r="BC374" s="105"/>
    </row>
    <row r="375" spans="50:55">
      <c r="AX375" s="105"/>
      <c r="AZ375" s="105"/>
      <c r="BA375" s="105"/>
      <c r="BC375" s="105"/>
    </row>
    <row r="376" spans="50:55">
      <c r="AX376" s="105"/>
      <c r="AZ376" s="105"/>
      <c r="BA376" s="105"/>
      <c r="BC376" s="105"/>
    </row>
    <row r="377" spans="50:55">
      <c r="AX377" s="105"/>
      <c r="AZ377" s="105"/>
      <c r="BA377" s="105"/>
      <c r="BC377" s="105"/>
    </row>
    <row r="378" spans="50:55">
      <c r="AX378" s="105"/>
      <c r="AZ378" s="105"/>
      <c r="BA378" s="105"/>
      <c r="BC378" s="105"/>
    </row>
    <row r="379" spans="50:55">
      <c r="AX379" s="105"/>
      <c r="AZ379" s="105"/>
      <c r="BA379" s="105"/>
      <c r="BC379" s="105"/>
    </row>
    <row r="380" spans="50:55">
      <c r="AX380" s="105"/>
      <c r="AZ380" s="105"/>
      <c r="BA380" s="105"/>
      <c r="BC380" s="105"/>
    </row>
    <row r="381" spans="50:55">
      <c r="AX381" s="105"/>
      <c r="AZ381" s="105"/>
      <c r="BA381" s="105"/>
      <c r="BC381" s="105"/>
    </row>
    <row r="382" spans="50:55">
      <c r="AX382" s="105"/>
      <c r="AZ382" s="105"/>
      <c r="BA382" s="105"/>
      <c r="BC382" s="105"/>
    </row>
    <row r="383" spans="50:55">
      <c r="AX383" s="105"/>
      <c r="AZ383" s="105"/>
      <c r="BA383" s="105"/>
      <c r="BC383" s="105"/>
    </row>
    <row r="384" spans="50:55">
      <c r="AX384" s="105"/>
      <c r="AZ384" s="105"/>
      <c r="BA384" s="105"/>
      <c r="BC384" s="105"/>
    </row>
    <row r="385" spans="50:55">
      <c r="AX385" s="105"/>
      <c r="AZ385" s="105"/>
      <c r="BA385" s="105"/>
      <c r="BC385" s="105"/>
    </row>
    <row r="386" spans="50:55">
      <c r="AX386" s="105"/>
      <c r="AZ386" s="105"/>
      <c r="BA386" s="105"/>
      <c r="BC386" s="105"/>
    </row>
    <row r="387" spans="50:55">
      <c r="AX387" s="105"/>
      <c r="AZ387" s="105"/>
      <c r="BA387" s="105"/>
      <c r="BC387" s="105"/>
    </row>
    <row r="388" spans="50:55">
      <c r="AX388" s="105"/>
      <c r="AZ388" s="105"/>
      <c r="BA388" s="105"/>
      <c r="BC388" s="105"/>
    </row>
    <row r="389" spans="50:55">
      <c r="AX389" s="105"/>
      <c r="AZ389" s="105"/>
      <c r="BA389" s="105"/>
      <c r="BC389" s="105"/>
    </row>
    <row r="390" spans="50:55">
      <c r="AX390" s="105"/>
      <c r="AZ390" s="105"/>
      <c r="BA390" s="105"/>
      <c r="BC390" s="105"/>
    </row>
    <row r="391" spans="50:55">
      <c r="AX391" s="105"/>
      <c r="AZ391" s="105"/>
      <c r="BA391" s="105"/>
      <c r="BC391" s="105"/>
    </row>
    <row r="392" spans="50:55">
      <c r="AX392" s="105"/>
      <c r="AZ392" s="105"/>
      <c r="BA392" s="105"/>
      <c r="BC392" s="105"/>
    </row>
    <row r="393" spans="50:55">
      <c r="AX393" s="105"/>
      <c r="AZ393" s="105"/>
      <c r="BA393" s="105"/>
      <c r="BC393" s="105"/>
    </row>
    <row r="394" spans="50:55">
      <c r="AX394" s="105"/>
      <c r="AZ394" s="105"/>
      <c r="BA394" s="105"/>
      <c r="BC394" s="105"/>
    </row>
    <row r="395" spans="50:55">
      <c r="AX395" s="105"/>
      <c r="AZ395" s="105"/>
      <c r="BA395" s="105"/>
      <c r="BC395" s="105"/>
    </row>
    <row r="396" spans="50:55">
      <c r="AX396" s="105"/>
      <c r="AZ396" s="105"/>
      <c r="BA396" s="105"/>
      <c r="BC396" s="105"/>
    </row>
    <row r="397" spans="50:55">
      <c r="AX397" s="105"/>
      <c r="AZ397" s="105"/>
      <c r="BA397" s="105"/>
      <c r="BC397" s="105"/>
    </row>
    <row r="398" spans="50:55">
      <c r="AX398" s="105"/>
      <c r="AZ398" s="105"/>
      <c r="BA398" s="105"/>
      <c r="BC398" s="105"/>
    </row>
    <row r="399" spans="50:55">
      <c r="AX399" s="105"/>
      <c r="AZ399" s="105"/>
      <c r="BA399" s="105"/>
      <c r="BC399" s="105"/>
    </row>
    <row r="400" spans="50:55">
      <c r="AX400" s="105"/>
      <c r="AZ400" s="105"/>
      <c r="BA400" s="105"/>
      <c r="BC400" s="105"/>
    </row>
    <row r="401" spans="50:55">
      <c r="AX401" s="105"/>
      <c r="AZ401" s="105"/>
      <c r="BA401" s="105"/>
      <c r="BC401" s="105"/>
    </row>
    <row r="402" spans="50:55">
      <c r="AX402" s="105"/>
      <c r="AZ402" s="105"/>
      <c r="BA402" s="105"/>
      <c r="BC402" s="105"/>
    </row>
    <row r="403" spans="50:55">
      <c r="AX403" s="105"/>
      <c r="AZ403" s="105"/>
      <c r="BA403" s="105"/>
      <c r="BC403" s="105"/>
    </row>
    <row r="404" spans="50:55">
      <c r="AX404" s="105"/>
      <c r="AZ404" s="105"/>
      <c r="BA404" s="105"/>
      <c r="BC404" s="105"/>
    </row>
    <row r="405" spans="50:55">
      <c r="AX405" s="105"/>
      <c r="AZ405" s="105"/>
      <c r="BA405" s="105"/>
      <c r="BC405" s="105"/>
    </row>
    <row r="406" spans="50:55">
      <c r="AX406" s="105"/>
      <c r="AZ406" s="105"/>
      <c r="BA406" s="105"/>
      <c r="BC406" s="105"/>
    </row>
    <row r="407" spans="50:55">
      <c r="AX407" s="105"/>
      <c r="AZ407" s="105"/>
      <c r="BA407" s="105"/>
      <c r="BC407" s="105"/>
    </row>
    <row r="408" spans="50:55">
      <c r="AX408" s="105"/>
      <c r="AZ408" s="105"/>
      <c r="BA408" s="105"/>
      <c r="BC408" s="105"/>
    </row>
    <row r="409" spans="50:55">
      <c r="AX409" s="105"/>
      <c r="AZ409" s="105"/>
      <c r="BA409" s="105"/>
      <c r="BC409" s="105"/>
    </row>
    <row r="410" spans="50:55">
      <c r="AX410" s="105"/>
      <c r="AZ410" s="105"/>
      <c r="BA410" s="105"/>
      <c r="BC410" s="105"/>
    </row>
    <row r="411" spans="50:55">
      <c r="AX411" s="105"/>
      <c r="AZ411" s="105"/>
      <c r="BA411" s="105"/>
      <c r="BC411" s="105"/>
    </row>
    <row r="412" spans="50:55">
      <c r="AX412" s="105"/>
      <c r="AZ412" s="105"/>
      <c r="BA412" s="105"/>
      <c r="BC412" s="105"/>
    </row>
    <row r="413" spans="50:55">
      <c r="AX413" s="105"/>
      <c r="AZ413" s="105"/>
      <c r="BA413" s="105"/>
      <c r="BC413" s="105"/>
    </row>
    <row r="414" spans="50:55">
      <c r="AX414" s="105"/>
      <c r="AZ414" s="105"/>
      <c r="BA414" s="105"/>
      <c r="BC414" s="105"/>
    </row>
    <row r="415" spans="50:55">
      <c r="AX415" s="105"/>
      <c r="AZ415" s="105"/>
      <c r="BA415" s="105"/>
      <c r="BC415" s="105"/>
    </row>
    <row r="416" spans="50:55">
      <c r="AX416" s="105"/>
      <c r="AZ416" s="105"/>
      <c r="BA416" s="105"/>
      <c r="BC416" s="105"/>
    </row>
    <row r="417" spans="50:55">
      <c r="AX417" s="105"/>
      <c r="AZ417" s="105"/>
      <c r="BA417" s="105"/>
      <c r="BC417" s="105"/>
    </row>
    <row r="418" spans="50:55">
      <c r="AX418" s="105"/>
      <c r="AZ418" s="105"/>
      <c r="BA418" s="105"/>
      <c r="BC418" s="105"/>
    </row>
    <row r="419" spans="50:55">
      <c r="AX419" s="105"/>
      <c r="AZ419" s="105"/>
      <c r="BA419" s="105"/>
      <c r="BC419" s="105"/>
    </row>
    <row r="420" spans="50:55">
      <c r="AX420" s="105"/>
      <c r="AZ420" s="105"/>
      <c r="BA420" s="105"/>
      <c r="BC420" s="105"/>
    </row>
    <row r="421" spans="50:55">
      <c r="AX421" s="105"/>
      <c r="AZ421" s="105"/>
      <c r="BA421" s="105"/>
      <c r="BC421" s="105"/>
    </row>
    <row r="422" spans="50:55">
      <c r="AX422" s="105"/>
      <c r="AZ422" s="105"/>
      <c r="BA422" s="105"/>
      <c r="BC422" s="105"/>
    </row>
    <row r="423" spans="50:55">
      <c r="AX423" s="105"/>
      <c r="AZ423" s="105"/>
      <c r="BA423" s="105"/>
      <c r="BC423" s="105"/>
    </row>
    <row r="424" spans="50:55">
      <c r="AX424" s="105"/>
      <c r="AZ424" s="105"/>
      <c r="BA424" s="105"/>
      <c r="BC424" s="105"/>
    </row>
    <row r="425" spans="50:55">
      <c r="AX425" s="105"/>
      <c r="AZ425" s="105"/>
      <c r="BA425" s="105"/>
      <c r="BC425" s="105"/>
    </row>
    <row r="426" spans="50:55">
      <c r="AX426" s="105"/>
      <c r="AZ426" s="105"/>
      <c r="BA426" s="105"/>
      <c r="BC426" s="105"/>
    </row>
    <row r="427" spans="50:55">
      <c r="AX427" s="105"/>
      <c r="AZ427" s="105"/>
      <c r="BA427" s="105"/>
      <c r="BC427" s="105"/>
    </row>
    <row r="428" spans="50:55">
      <c r="AX428" s="105"/>
      <c r="AZ428" s="105"/>
      <c r="BA428" s="105"/>
      <c r="BC428" s="105"/>
    </row>
    <row r="429" spans="50:55">
      <c r="AX429" s="105"/>
      <c r="AZ429" s="105"/>
      <c r="BA429" s="105"/>
      <c r="BC429" s="105"/>
    </row>
    <row r="430" spans="50:55">
      <c r="AX430" s="105"/>
      <c r="AZ430" s="105"/>
      <c r="BA430" s="105"/>
      <c r="BC430" s="105"/>
    </row>
    <row r="431" spans="50:55">
      <c r="AX431" s="105"/>
      <c r="AZ431" s="105"/>
      <c r="BA431" s="105"/>
      <c r="BC431" s="105"/>
    </row>
    <row r="432" spans="50:55">
      <c r="AX432" s="105"/>
      <c r="AZ432" s="105"/>
      <c r="BA432" s="105"/>
      <c r="BC432" s="105"/>
    </row>
    <row r="433" spans="50:55">
      <c r="AX433" s="105"/>
      <c r="AZ433" s="105"/>
      <c r="BA433" s="105"/>
      <c r="BC433" s="105"/>
    </row>
    <row r="434" spans="50:55">
      <c r="AX434" s="105"/>
      <c r="AZ434" s="105"/>
      <c r="BA434" s="105"/>
      <c r="BC434" s="105"/>
    </row>
    <row r="435" spans="50:55">
      <c r="AX435" s="105"/>
      <c r="AZ435" s="105"/>
      <c r="BA435" s="105"/>
      <c r="BC435" s="105"/>
    </row>
    <row r="436" spans="50:55">
      <c r="AX436" s="105"/>
      <c r="AZ436" s="105"/>
      <c r="BA436" s="105"/>
      <c r="BC436" s="105"/>
    </row>
    <row r="437" spans="50:55">
      <c r="AX437" s="105"/>
      <c r="AZ437" s="105"/>
      <c r="BA437" s="105"/>
      <c r="BC437" s="105"/>
    </row>
    <row r="438" spans="50:55">
      <c r="AX438" s="105"/>
      <c r="AZ438" s="105"/>
      <c r="BA438" s="105"/>
      <c r="BC438" s="105"/>
    </row>
    <row r="439" spans="50:55">
      <c r="AX439" s="105"/>
      <c r="AZ439" s="105"/>
      <c r="BA439" s="105"/>
      <c r="BC439" s="105"/>
    </row>
    <row r="440" spans="50:55">
      <c r="AX440" s="105"/>
      <c r="AZ440" s="105"/>
      <c r="BA440" s="105"/>
      <c r="BC440" s="105"/>
    </row>
    <row r="441" spans="50:55">
      <c r="AX441" s="105"/>
      <c r="AZ441" s="105"/>
      <c r="BA441" s="105"/>
      <c r="BC441" s="105"/>
    </row>
    <row r="442" spans="50:55">
      <c r="AX442" s="105"/>
      <c r="AZ442" s="105"/>
      <c r="BA442" s="105"/>
      <c r="BC442" s="105"/>
    </row>
    <row r="443" spans="50:55">
      <c r="AX443" s="105"/>
      <c r="AZ443" s="105"/>
      <c r="BA443" s="105"/>
      <c r="BC443" s="105"/>
    </row>
    <row r="444" spans="50:55">
      <c r="AX444" s="105"/>
      <c r="AZ444" s="105"/>
      <c r="BA444" s="105"/>
      <c r="BC444" s="105"/>
    </row>
    <row r="445" spans="50:55">
      <c r="AX445" s="105"/>
      <c r="AZ445" s="105"/>
      <c r="BA445" s="105"/>
      <c r="BC445" s="105"/>
    </row>
    <row r="446" spans="50:55">
      <c r="AX446" s="105"/>
      <c r="AZ446" s="105"/>
      <c r="BA446" s="105"/>
      <c r="BC446" s="105"/>
    </row>
    <row r="447" spans="50:55">
      <c r="AX447" s="105"/>
      <c r="AZ447" s="105"/>
      <c r="BA447" s="105"/>
      <c r="BC447" s="105"/>
    </row>
    <row r="448" spans="50:55">
      <c r="AX448" s="105"/>
      <c r="AZ448" s="105"/>
      <c r="BA448" s="105"/>
      <c r="BC448" s="105"/>
    </row>
    <row r="449" spans="50:55">
      <c r="AX449" s="105"/>
      <c r="AZ449" s="105"/>
      <c r="BA449" s="105"/>
      <c r="BC449" s="105"/>
    </row>
    <row r="450" spans="50:55">
      <c r="AX450" s="105"/>
      <c r="AZ450" s="105"/>
      <c r="BA450" s="105"/>
      <c r="BC450" s="105"/>
    </row>
    <row r="451" spans="50:55">
      <c r="AX451" s="105"/>
      <c r="AZ451" s="105"/>
      <c r="BA451" s="105"/>
      <c r="BC451" s="105"/>
    </row>
    <row r="452" spans="50:55">
      <c r="AX452" s="105"/>
      <c r="AZ452" s="105"/>
      <c r="BA452" s="105"/>
      <c r="BC452" s="105"/>
    </row>
    <row r="453" spans="50:55">
      <c r="AX453" s="105"/>
      <c r="AZ453" s="105"/>
      <c r="BA453" s="105"/>
      <c r="BC453" s="105"/>
    </row>
    <row r="454" spans="50:55">
      <c r="AX454" s="105"/>
      <c r="AZ454" s="105"/>
      <c r="BA454" s="105"/>
      <c r="BC454" s="105"/>
    </row>
    <row r="455" spans="50:55">
      <c r="AX455" s="105"/>
      <c r="AZ455" s="105"/>
      <c r="BA455" s="105"/>
      <c r="BC455" s="105"/>
    </row>
    <row r="456" spans="50:55">
      <c r="AX456" s="105"/>
      <c r="AZ456" s="105"/>
      <c r="BA456" s="105"/>
      <c r="BC456" s="105"/>
    </row>
    <row r="457" spans="50:55">
      <c r="AX457" s="105"/>
      <c r="AZ457" s="105"/>
      <c r="BA457" s="105"/>
      <c r="BC457" s="105"/>
    </row>
    <row r="458" spans="50:55">
      <c r="AX458" s="105"/>
      <c r="AZ458" s="105"/>
      <c r="BA458" s="105"/>
      <c r="BC458" s="105"/>
    </row>
    <row r="459" spans="50:55">
      <c r="AX459" s="105"/>
      <c r="AZ459" s="105"/>
      <c r="BA459" s="105"/>
      <c r="BC459" s="105"/>
    </row>
    <row r="460" spans="50:55">
      <c r="AX460" s="105"/>
      <c r="AZ460" s="105"/>
      <c r="BA460" s="105"/>
      <c r="BC460" s="105"/>
    </row>
    <row r="461" spans="50:55">
      <c r="AX461" s="105"/>
      <c r="AZ461" s="105"/>
      <c r="BA461" s="105"/>
      <c r="BC461" s="105"/>
    </row>
    <row r="462" spans="50:55">
      <c r="AX462" s="105"/>
      <c r="AZ462" s="105"/>
      <c r="BA462" s="105"/>
      <c r="BC462" s="105"/>
    </row>
    <row r="463" spans="50:55">
      <c r="AX463" s="105"/>
      <c r="AZ463" s="105"/>
      <c r="BA463" s="105"/>
      <c r="BC463" s="105"/>
    </row>
    <row r="464" spans="50:55">
      <c r="AX464" s="105"/>
      <c r="AZ464" s="105"/>
      <c r="BA464" s="105"/>
      <c r="BC464" s="105"/>
    </row>
    <row r="465" spans="50:55">
      <c r="AX465" s="105"/>
      <c r="AZ465" s="105"/>
      <c r="BA465" s="105"/>
      <c r="BC465" s="105"/>
    </row>
    <row r="466" spans="50:55">
      <c r="AX466" s="105"/>
      <c r="AZ466" s="105"/>
      <c r="BA466" s="105"/>
      <c r="BC466" s="105"/>
    </row>
    <row r="467" spans="50:55">
      <c r="AX467" s="105"/>
      <c r="AZ467" s="105"/>
      <c r="BA467" s="105"/>
      <c r="BC467" s="105"/>
    </row>
    <row r="468" spans="50:55">
      <c r="AX468" s="105"/>
      <c r="AZ468" s="105"/>
      <c r="BA468" s="105"/>
      <c r="BC468" s="105"/>
    </row>
    <row r="469" spans="50:55">
      <c r="AX469" s="105"/>
      <c r="AZ469" s="105"/>
      <c r="BA469" s="105"/>
      <c r="BC469" s="105"/>
    </row>
    <row r="470" spans="50:55">
      <c r="AX470" s="105"/>
      <c r="AZ470" s="105"/>
      <c r="BA470" s="105"/>
      <c r="BC470" s="105"/>
    </row>
    <row r="471" spans="50:55">
      <c r="AX471" s="105"/>
      <c r="AZ471" s="105"/>
    </row>
    <row r="472" spans="50:55">
      <c r="AX472" s="105"/>
      <c r="AZ472" s="105"/>
    </row>
    <row r="473" spans="50:55">
      <c r="AX473" s="105"/>
      <c r="AZ473" s="105"/>
    </row>
    <row r="474" spans="50:55">
      <c r="AX474" s="105"/>
      <c r="AZ474" s="105"/>
    </row>
    <row r="475" spans="50:55">
      <c r="AX475" s="105"/>
      <c r="AZ475" s="105"/>
    </row>
    <row r="476" spans="50:55">
      <c r="AX476" s="105"/>
      <c r="AZ476" s="105"/>
    </row>
    <row r="477" spans="50:55">
      <c r="AX477" s="105"/>
      <c r="AZ477" s="105"/>
    </row>
    <row r="478" spans="50:55">
      <c r="AX478" s="105"/>
      <c r="AZ478" s="105"/>
    </row>
    <row r="479" spans="50:55">
      <c r="AX479" s="105"/>
      <c r="AZ479" s="105"/>
    </row>
  </sheetData>
  <mergeCells count="55">
    <mergeCell ref="BN2:CO2"/>
    <mergeCell ref="BN3:CO3"/>
    <mergeCell ref="CH5:CI6"/>
    <mergeCell ref="CJ5:CK6"/>
    <mergeCell ref="CL5:CM6"/>
    <mergeCell ref="CN5:CO6"/>
    <mergeCell ref="BX5:CE5"/>
    <mergeCell ref="CF6:CG6"/>
    <mergeCell ref="CF5:CG5"/>
    <mergeCell ref="BN4:CG4"/>
    <mergeCell ref="CH4:CO4"/>
    <mergeCell ref="BV6:BW6"/>
    <mergeCell ref="BX6:BY6"/>
    <mergeCell ref="BZ6:CA6"/>
    <mergeCell ref="CB6:CC6"/>
    <mergeCell ref="CD6:CE6"/>
    <mergeCell ref="BN6:BO6"/>
    <mergeCell ref="BP6:BQ6"/>
    <mergeCell ref="BR6:BS6"/>
    <mergeCell ref="BT6:BU6"/>
    <mergeCell ref="BN5:BQ5"/>
    <mergeCell ref="BR5:BW5"/>
    <mergeCell ref="B5:G5"/>
    <mergeCell ref="H5:M5"/>
    <mergeCell ref="N5:S5"/>
    <mergeCell ref="T5:Y5"/>
    <mergeCell ref="T6:V6"/>
    <mergeCell ref="W6:Y6"/>
    <mergeCell ref="B6:D6"/>
    <mergeCell ref="E6:G6"/>
    <mergeCell ref="H6:J6"/>
    <mergeCell ref="K6:M6"/>
    <mergeCell ref="N6:P6"/>
    <mergeCell ref="Q6:S6"/>
    <mergeCell ref="AC5:AH5"/>
    <mergeCell ref="AC6:AE6"/>
    <mergeCell ref="AF6:AH6"/>
    <mergeCell ref="AI5:AK5"/>
    <mergeCell ref="AI6:AK6"/>
    <mergeCell ref="BG5:BI6"/>
    <mergeCell ref="BJ5:BL6"/>
    <mergeCell ref="AO4:BL4"/>
    <mergeCell ref="B3:BL3"/>
    <mergeCell ref="B2:BL2"/>
    <mergeCell ref="AR5:AT6"/>
    <mergeCell ref="AU5:AW6"/>
    <mergeCell ref="AX5:AZ6"/>
    <mergeCell ref="BA5:BC6"/>
    <mergeCell ref="BD5:BF6"/>
    <mergeCell ref="AL5:AN5"/>
    <mergeCell ref="AL6:AN6"/>
    <mergeCell ref="B4:AN4"/>
    <mergeCell ref="AO5:AQ6"/>
    <mergeCell ref="Z6:AB6"/>
    <mergeCell ref="Z5:AB5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30C78-6DBB-45C3-B8BF-F2780C473431}">
  <dimension ref="B1:AC3295"/>
  <sheetViews>
    <sheetView topLeftCell="O1" zoomScale="85" zoomScaleNormal="85" workbookViewId="0">
      <selection activeCell="Z8" sqref="Z8:AA33"/>
    </sheetView>
  </sheetViews>
  <sheetFormatPr defaultRowHeight="14.5"/>
  <cols>
    <col min="1" max="1" width="8.7265625" style="1"/>
    <col min="2" max="10" width="14.453125" style="1" customWidth="1"/>
    <col min="11" max="11" width="8.7265625" style="1"/>
    <col min="12" max="14" width="29.7265625" style="1" customWidth="1"/>
    <col min="15" max="20" width="36.36328125" style="1" customWidth="1"/>
    <col min="21" max="21" width="8.7265625" style="1"/>
    <col min="22" max="29" width="19.08984375" style="1" customWidth="1"/>
    <col min="30" max="16384" width="8.7265625" style="1"/>
  </cols>
  <sheetData>
    <row r="1" spans="2:29" ht="15" thickBot="1"/>
    <row r="2" spans="2:29" ht="15" thickBot="1">
      <c r="B2" s="227" t="s">
        <v>483</v>
      </c>
      <c r="C2" s="228"/>
      <c r="D2" s="228"/>
      <c r="E2" s="228"/>
      <c r="F2" s="228"/>
      <c r="G2" s="228"/>
      <c r="H2" s="228"/>
      <c r="I2" s="228"/>
      <c r="J2" s="229"/>
      <c r="L2" s="283" t="s">
        <v>490</v>
      </c>
      <c r="M2" s="284"/>
      <c r="N2" s="284"/>
      <c r="O2" s="284"/>
      <c r="P2" s="284"/>
      <c r="Q2" s="284"/>
      <c r="R2" s="284"/>
      <c r="S2" s="284"/>
      <c r="T2" s="285"/>
      <c r="V2" s="1" t="s">
        <v>498</v>
      </c>
    </row>
    <row r="3" spans="2:29" ht="15" thickBot="1">
      <c r="B3" s="233" t="s">
        <v>484</v>
      </c>
      <c r="C3" s="234"/>
      <c r="D3" s="234"/>
      <c r="E3" s="234"/>
      <c r="F3" s="234"/>
      <c r="G3" s="234"/>
      <c r="H3" s="234"/>
      <c r="I3" s="234"/>
      <c r="J3" s="235"/>
      <c r="L3" s="227" t="s">
        <v>491</v>
      </c>
      <c r="M3" s="228"/>
      <c r="N3" s="228"/>
      <c r="O3" s="228"/>
      <c r="P3" s="228"/>
      <c r="Q3" s="229"/>
      <c r="R3" s="227" t="s">
        <v>494</v>
      </c>
      <c r="S3" s="228"/>
      <c r="T3" s="229"/>
      <c r="V3" s="1" t="s">
        <v>499</v>
      </c>
    </row>
    <row r="4" spans="2:29" ht="15" thickBot="1">
      <c r="B4" s="230" t="s">
        <v>486</v>
      </c>
      <c r="C4" s="231"/>
      <c r="D4" s="231"/>
      <c r="E4" s="231"/>
      <c r="F4" s="231"/>
      <c r="G4" s="231"/>
      <c r="H4" s="231"/>
      <c r="I4" s="231"/>
      <c r="J4" s="232"/>
      <c r="L4" s="230" t="s">
        <v>486</v>
      </c>
      <c r="M4" s="231"/>
      <c r="N4" s="231"/>
      <c r="O4" s="231"/>
      <c r="P4" s="231"/>
      <c r="Q4" s="232"/>
      <c r="R4" s="230" t="s">
        <v>495</v>
      </c>
      <c r="S4" s="231"/>
      <c r="T4" s="232"/>
      <c r="V4" s="286" t="s">
        <v>500</v>
      </c>
      <c r="W4" s="287"/>
      <c r="X4" s="287"/>
      <c r="Y4" s="288"/>
      <c r="Z4" s="286" t="s">
        <v>503</v>
      </c>
      <c r="AA4" s="287"/>
      <c r="AB4" s="287"/>
      <c r="AC4" s="288"/>
    </row>
    <row r="5" spans="2:29" ht="15" thickBot="1">
      <c r="B5" s="242" t="s">
        <v>397</v>
      </c>
      <c r="C5" s="243"/>
      <c r="D5" s="244"/>
      <c r="E5" s="248" t="s">
        <v>488</v>
      </c>
      <c r="F5" s="248"/>
      <c r="G5" s="239"/>
      <c r="H5" s="248" t="s">
        <v>489</v>
      </c>
      <c r="I5" s="248"/>
      <c r="J5" s="239"/>
      <c r="L5" s="268" t="s">
        <v>397</v>
      </c>
      <c r="M5" s="269"/>
      <c r="N5" s="270"/>
      <c r="O5" s="250" t="s">
        <v>408</v>
      </c>
      <c r="P5" s="251"/>
      <c r="Q5" s="252"/>
      <c r="R5" s="238" t="s">
        <v>408</v>
      </c>
      <c r="S5" s="248"/>
      <c r="T5" s="239"/>
      <c r="V5" s="242" t="s">
        <v>397</v>
      </c>
      <c r="W5" s="244"/>
      <c r="X5" s="238" t="s">
        <v>408</v>
      </c>
      <c r="Y5" s="239"/>
      <c r="Z5" s="242" t="s">
        <v>397</v>
      </c>
      <c r="AA5" s="244"/>
      <c r="AB5" s="238" t="s">
        <v>408</v>
      </c>
      <c r="AC5" s="239"/>
    </row>
    <row r="6" spans="2:29" ht="15" thickBot="1">
      <c r="B6" s="245" t="s">
        <v>451</v>
      </c>
      <c r="C6" s="246"/>
      <c r="D6" s="247"/>
      <c r="E6" s="249"/>
      <c r="F6" s="249"/>
      <c r="G6" s="241"/>
      <c r="H6" s="249"/>
      <c r="I6" s="249"/>
      <c r="J6" s="241"/>
      <c r="L6" s="245" t="s">
        <v>451</v>
      </c>
      <c r="M6" s="246"/>
      <c r="N6" s="247"/>
      <c r="O6" s="240"/>
      <c r="P6" s="249"/>
      <c r="Q6" s="241"/>
      <c r="R6" s="240"/>
      <c r="S6" s="249"/>
      <c r="T6" s="241"/>
      <c r="V6" s="245" t="s">
        <v>502</v>
      </c>
      <c r="W6" s="247"/>
      <c r="X6" s="240"/>
      <c r="Y6" s="241"/>
      <c r="Z6" s="245" t="s">
        <v>502</v>
      </c>
      <c r="AA6" s="247"/>
      <c r="AB6" s="240"/>
      <c r="AC6" s="241"/>
    </row>
    <row r="7" spans="2:29" ht="16.5">
      <c r="B7" s="31" t="s">
        <v>446</v>
      </c>
      <c r="C7" s="32" t="s">
        <v>410</v>
      </c>
      <c r="D7" s="40" t="s">
        <v>485</v>
      </c>
      <c r="E7" s="35" t="s">
        <v>410</v>
      </c>
      <c r="F7" s="36" t="s">
        <v>487</v>
      </c>
      <c r="G7" s="51" t="s">
        <v>485</v>
      </c>
      <c r="H7" s="35" t="s">
        <v>410</v>
      </c>
      <c r="I7" s="36" t="s">
        <v>487</v>
      </c>
      <c r="J7" s="52" t="s">
        <v>485</v>
      </c>
      <c r="L7" s="65" t="s">
        <v>428</v>
      </c>
      <c r="M7" s="32" t="s">
        <v>492</v>
      </c>
      <c r="N7" s="32" t="s">
        <v>493</v>
      </c>
      <c r="O7" s="74" t="s">
        <v>428</v>
      </c>
      <c r="P7" s="36" t="s">
        <v>492</v>
      </c>
      <c r="Q7" s="36" t="s">
        <v>493</v>
      </c>
      <c r="R7" s="74" t="s">
        <v>428</v>
      </c>
      <c r="S7" s="36" t="s">
        <v>496</v>
      </c>
      <c r="T7" s="85" t="s">
        <v>497</v>
      </c>
      <c r="V7" s="31" t="s">
        <v>410</v>
      </c>
      <c r="W7" s="142" t="s">
        <v>501</v>
      </c>
      <c r="X7" s="35" t="s">
        <v>410</v>
      </c>
      <c r="Y7" s="36" t="s">
        <v>501</v>
      </c>
      <c r="Z7" s="31" t="s">
        <v>410</v>
      </c>
      <c r="AA7" s="142" t="s">
        <v>501</v>
      </c>
      <c r="AB7" s="35" t="s">
        <v>410</v>
      </c>
      <c r="AC7" s="85" t="s">
        <v>501</v>
      </c>
    </row>
    <row r="8" spans="2:29">
      <c r="B8" s="121"/>
      <c r="C8" s="27"/>
      <c r="D8" s="68"/>
      <c r="E8" s="130">
        <v>0.24062</v>
      </c>
      <c r="F8" s="77">
        <v>0.97006999999999999</v>
      </c>
      <c r="G8" s="75">
        <v>30.4</v>
      </c>
      <c r="H8" s="88">
        <v>0.99993913999999995</v>
      </c>
      <c r="I8" s="77">
        <v>0.99949790000000005</v>
      </c>
      <c r="J8" s="60">
        <v>64.819000000000003</v>
      </c>
      <c r="L8" s="5"/>
      <c r="M8" s="67"/>
      <c r="N8" s="134"/>
      <c r="O8" s="53">
        <v>200</v>
      </c>
      <c r="P8" s="77">
        <v>7.3362899999999995E-2</v>
      </c>
      <c r="Q8" s="77">
        <v>0.99999499999999997</v>
      </c>
      <c r="R8" s="53">
        <v>200</v>
      </c>
      <c r="S8" s="76">
        <v>8.485144E-3</v>
      </c>
      <c r="T8" s="138">
        <v>0.99999859999999996</v>
      </c>
      <c r="V8" s="83"/>
      <c r="W8" s="66"/>
      <c r="X8" s="86">
        <v>0</v>
      </c>
      <c r="Y8" s="78">
        <v>5.4860720000000001E-9</v>
      </c>
      <c r="Z8" s="83"/>
      <c r="AA8" s="6"/>
      <c r="AB8" s="86">
        <v>0</v>
      </c>
      <c r="AC8" s="94">
        <v>3.4560798999999999E-9</v>
      </c>
    </row>
    <row r="9" spans="2:29">
      <c r="B9" s="121"/>
      <c r="C9" s="27"/>
      <c r="D9" s="68"/>
      <c r="E9" s="130">
        <v>0.24357000000000001</v>
      </c>
      <c r="F9" s="77">
        <v>0.97019999999999995</v>
      </c>
      <c r="G9" s="75">
        <v>30.5</v>
      </c>
      <c r="H9" s="88">
        <v>0.99993706000000004</v>
      </c>
      <c r="I9" s="77">
        <v>0.99948084000000004</v>
      </c>
      <c r="J9" s="60">
        <v>64.819999999999993</v>
      </c>
      <c r="L9" s="5"/>
      <c r="M9" s="67"/>
      <c r="N9" s="11"/>
      <c r="O9" s="53">
        <v>201</v>
      </c>
      <c r="P9" s="77">
        <v>7.4520699999999995E-2</v>
      </c>
      <c r="Q9" s="77">
        <v>0.99999400000000005</v>
      </c>
      <c r="R9" s="53">
        <v>201</v>
      </c>
      <c r="S9" s="76">
        <v>8.6752300000000008E-3</v>
      </c>
      <c r="T9" s="138">
        <v>0.99999850000000001</v>
      </c>
      <c r="V9" s="83"/>
      <c r="W9" s="44"/>
      <c r="X9" s="86">
        <v>0.02</v>
      </c>
      <c r="Y9" s="79">
        <v>279.56732</v>
      </c>
      <c r="Z9" s="83"/>
      <c r="AA9" s="44"/>
      <c r="AB9" s="86">
        <v>0.04</v>
      </c>
      <c r="AC9" s="61">
        <v>340.55804000000001</v>
      </c>
    </row>
    <row r="10" spans="2:29">
      <c r="B10" s="121"/>
      <c r="C10" s="27"/>
      <c r="D10" s="71"/>
      <c r="E10" s="130">
        <v>0.24659</v>
      </c>
      <c r="F10" s="77">
        <v>0.97033000000000003</v>
      </c>
      <c r="G10" s="75">
        <v>30.6</v>
      </c>
      <c r="H10" s="88">
        <v>0.99993500000000002</v>
      </c>
      <c r="I10" s="77">
        <v>0.99946385999999998</v>
      </c>
      <c r="J10" s="60">
        <v>64.820999999999998</v>
      </c>
      <c r="L10" s="5"/>
      <c r="M10" s="67"/>
      <c r="N10" s="67"/>
      <c r="O10" s="53">
        <v>202</v>
      </c>
      <c r="P10" s="77">
        <v>7.5690900000000005E-2</v>
      </c>
      <c r="Q10" s="77">
        <v>0.99999400000000005</v>
      </c>
      <c r="R10" s="53">
        <v>202</v>
      </c>
      <c r="S10" s="76">
        <v>8.8680140000000005E-3</v>
      </c>
      <c r="T10" s="138">
        <v>0.99999833000000005</v>
      </c>
      <c r="V10" s="83"/>
      <c r="W10" s="44"/>
      <c r="X10" s="86">
        <v>2.4016209E-2</v>
      </c>
      <c r="Y10" s="79">
        <v>332.45746000000003</v>
      </c>
      <c r="Z10" s="83"/>
      <c r="AA10" s="44"/>
      <c r="AB10" s="86">
        <v>8.1535010000000005E-2</v>
      </c>
      <c r="AC10" s="61">
        <v>641.51239999999996</v>
      </c>
    </row>
    <row r="11" spans="2:29">
      <c r="B11" s="121"/>
      <c r="C11" s="67"/>
      <c r="D11" s="71"/>
      <c r="E11" s="130">
        <v>0.24970000000000001</v>
      </c>
      <c r="F11" s="77">
        <v>0.97045999999999999</v>
      </c>
      <c r="G11" s="75">
        <v>30.7</v>
      </c>
      <c r="H11" s="88">
        <v>0.99993290000000001</v>
      </c>
      <c r="I11" s="77">
        <v>0.99944686999999999</v>
      </c>
      <c r="J11" s="60">
        <v>64.822000000000003</v>
      </c>
      <c r="L11" s="5"/>
      <c r="M11" s="67"/>
      <c r="N11" s="67"/>
      <c r="O11" s="53">
        <v>203</v>
      </c>
      <c r="P11" s="77">
        <v>7.68736E-2</v>
      </c>
      <c r="Q11" s="77">
        <v>0.99999300000000002</v>
      </c>
      <c r="R11" s="53">
        <v>203</v>
      </c>
      <c r="S11" s="76">
        <v>9.0635139999999999E-3</v>
      </c>
      <c r="T11" s="138">
        <v>0.99999819999999995</v>
      </c>
      <c r="V11" s="83"/>
      <c r="W11" s="44"/>
      <c r="X11" s="86"/>
      <c r="Y11" s="79"/>
      <c r="Z11" s="83"/>
      <c r="AA11" s="44"/>
      <c r="AB11" s="86">
        <v>0.98003364000000004</v>
      </c>
      <c r="AC11" s="61">
        <v>332.17493000000002</v>
      </c>
    </row>
    <row r="12" spans="2:29">
      <c r="B12" s="121"/>
      <c r="C12" s="67"/>
      <c r="D12" s="71"/>
      <c r="E12" s="130">
        <v>0.25289</v>
      </c>
      <c r="F12" s="77">
        <v>0.97058999999999995</v>
      </c>
      <c r="G12" s="75">
        <v>30.8</v>
      </c>
      <c r="H12" s="88">
        <v>0.99993080000000001</v>
      </c>
      <c r="I12" s="77">
        <v>0.99942980000000003</v>
      </c>
      <c r="J12" s="60">
        <v>64.822999999999993</v>
      </c>
      <c r="L12" s="5"/>
      <c r="M12" s="67"/>
      <c r="N12" s="67"/>
      <c r="O12" s="53">
        <v>204</v>
      </c>
      <c r="P12" s="77">
        <v>7.8068899999999997E-2</v>
      </c>
      <c r="Q12" s="77">
        <v>0.99999300000000002</v>
      </c>
      <c r="R12" s="53">
        <v>204</v>
      </c>
      <c r="S12" s="76">
        <v>9.2617470000000007E-3</v>
      </c>
      <c r="T12" s="138">
        <v>0.99999802999999998</v>
      </c>
      <c r="V12" s="83"/>
      <c r="W12" s="44"/>
      <c r="X12" s="86">
        <v>0.98549229999999999</v>
      </c>
      <c r="Y12" s="79">
        <v>318.54259999999999</v>
      </c>
      <c r="Z12" s="83"/>
      <c r="AA12" s="44"/>
      <c r="AB12" s="86">
        <v>0.99</v>
      </c>
      <c r="AC12" s="61">
        <v>210.77336</v>
      </c>
    </row>
    <row r="13" spans="2:29" ht="15" thickBot="1">
      <c r="B13" s="121"/>
      <c r="C13" s="67"/>
      <c r="D13" s="71"/>
      <c r="E13" s="130">
        <v>0.25618000000000002</v>
      </c>
      <c r="F13" s="77">
        <v>0.97072000000000003</v>
      </c>
      <c r="G13" s="75">
        <v>30.9</v>
      </c>
      <c r="H13" s="88">
        <v>0.9999287</v>
      </c>
      <c r="I13" s="77">
        <v>0.99941283000000003</v>
      </c>
      <c r="J13" s="60">
        <v>64.823999999999998</v>
      </c>
      <c r="L13" s="5"/>
      <c r="M13" s="67"/>
      <c r="N13" s="67"/>
      <c r="O13" s="53">
        <v>205</v>
      </c>
      <c r="P13" s="77">
        <v>7.9277E-2</v>
      </c>
      <c r="Q13" s="77">
        <v>0.99999199999999999</v>
      </c>
      <c r="R13" s="53">
        <v>205</v>
      </c>
      <c r="S13" s="76">
        <v>9.4627300000000008E-3</v>
      </c>
      <c r="T13" s="138">
        <v>0.99999784999999997</v>
      </c>
      <c r="V13" s="83"/>
      <c r="W13" s="44"/>
      <c r="X13" s="143">
        <v>1</v>
      </c>
      <c r="Y13" s="80">
        <v>1.2607416E-8</v>
      </c>
      <c r="Z13" s="83"/>
      <c r="AA13" s="44"/>
      <c r="AB13" s="143">
        <v>1</v>
      </c>
      <c r="AC13" s="144">
        <v>1.2307282E-8</v>
      </c>
    </row>
    <row r="14" spans="2:29">
      <c r="B14" s="121"/>
      <c r="C14" s="67"/>
      <c r="D14" s="71"/>
      <c r="E14" s="130">
        <v>0.25956000000000001</v>
      </c>
      <c r="F14" s="77">
        <v>0.97084999999999999</v>
      </c>
      <c r="G14" s="75">
        <v>31</v>
      </c>
      <c r="H14" s="88">
        <v>0.99992656999999996</v>
      </c>
      <c r="I14" s="77">
        <v>0.99939584999999997</v>
      </c>
      <c r="J14" s="60">
        <v>64.825000000000003</v>
      </c>
      <c r="L14" s="5"/>
      <c r="M14" s="67"/>
      <c r="N14" s="67"/>
      <c r="O14" s="53">
        <v>206</v>
      </c>
      <c r="P14" s="77">
        <v>8.0498E-2</v>
      </c>
      <c r="Q14" s="77">
        <v>0.99999099999999996</v>
      </c>
      <c r="R14" s="53">
        <v>206</v>
      </c>
      <c r="S14" s="76">
        <v>9.6664809999999993E-3</v>
      </c>
      <c r="T14" s="138">
        <v>0.99999769999999999</v>
      </c>
      <c r="V14" s="83"/>
      <c r="W14" s="44"/>
      <c r="Z14" s="83"/>
      <c r="AA14" s="44"/>
    </row>
    <row r="15" spans="2:29" ht="15" thickBot="1">
      <c r="B15" s="121"/>
      <c r="C15" s="67"/>
      <c r="D15" s="71"/>
      <c r="E15" s="130">
        <v>0.26305000000000001</v>
      </c>
      <c r="F15" s="77">
        <v>0.97097999999999995</v>
      </c>
      <c r="G15" s="75">
        <v>31.1</v>
      </c>
      <c r="H15" s="88">
        <v>0.99992449999999999</v>
      </c>
      <c r="I15" s="77">
        <v>0.99937880000000001</v>
      </c>
      <c r="J15" s="60">
        <v>64.825999999999993</v>
      </c>
      <c r="L15" s="23"/>
      <c r="M15" s="133"/>
      <c r="N15" s="133"/>
      <c r="O15" s="53">
        <v>207</v>
      </c>
      <c r="P15" s="77">
        <v>8.1731899999999996E-2</v>
      </c>
      <c r="Q15" s="77">
        <v>0.99999000000000005</v>
      </c>
      <c r="R15" s="53">
        <v>207</v>
      </c>
      <c r="S15" s="76">
        <v>9.8730169999999996E-3</v>
      </c>
      <c r="T15" s="138">
        <v>0.99999744000000002</v>
      </c>
      <c r="V15" s="83"/>
      <c r="W15" s="44"/>
      <c r="Z15" s="83"/>
      <c r="AA15" s="44"/>
    </row>
    <row r="16" spans="2:29">
      <c r="B16" s="121"/>
      <c r="C16" s="67"/>
      <c r="D16" s="71"/>
      <c r="E16" s="130">
        <v>0.26663999999999999</v>
      </c>
      <c r="F16" s="77">
        <v>0.97109999999999996</v>
      </c>
      <c r="G16" s="75">
        <v>31.2</v>
      </c>
      <c r="H16" s="88">
        <v>0.99992239999999999</v>
      </c>
      <c r="I16" s="77">
        <v>0.99936179999999997</v>
      </c>
      <c r="J16" s="60">
        <v>64.826999999999998</v>
      </c>
      <c r="O16" s="53">
        <v>208</v>
      </c>
      <c r="P16" s="77">
        <v>8.29791E-2</v>
      </c>
      <c r="Q16" s="77">
        <v>0.99998900000000002</v>
      </c>
      <c r="R16" s="53">
        <v>208</v>
      </c>
      <c r="S16" s="76">
        <v>1.0082357E-2</v>
      </c>
      <c r="T16" s="138">
        <v>0.99999720000000003</v>
      </c>
      <c r="V16" s="83"/>
      <c r="W16" s="44"/>
      <c r="Z16" s="83"/>
      <c r="AA16" s="44"/>
    </row>
    <row r="17" spans="2:27">
      <c r="B17" s="121"/>
      <c r="C17" s="67"/>
      <c r="D17" s="71"/>
      <c r="E17" s="130">
        <v>0.27034999999999998</v>
      </c>
      <c r="F17" s="77">
        <v>0.97123000000000004</v>
      </c>
      <c r="G17" s="75">
        <v>31.3</v>
      </c>
      <c r="H17" s="88">
        <v>0.99992024999999995</v>
      </c>
      <c r="I17" s="77">
        <v>0.99934476999999999</v>
      </c>
      <c r="J17" s="60">
        <v>64.828000000000003</v>
      </c>
      <c r="O17" s="53">
        <v>209</v>
      </c>
      <c r="P17" s="77">
        <v>8.4239599999999998E-2</v>
      </c>
      <c r="Q17" s="77">
        <v>0.99998799999999999</v>
      </c>
      <c r="R17" s="53">
        <v>209</v>
      </c>
      <c r="S17" s="76">
        <v>1.0294518000000001E-2</v>
      </c>
      <c r="T17" s="138">
        <v>0.99999696000000005</v>
      </c>
      <c r="V17" s="83"/>
      <c r="W17" s="44"/>
      <c r="Z17" s="83"/>
      <c r="AA17" s="44"/>
    </row>
    <row r="18" spans="2:27">
      <c r="B18" s="121"/>
      <c r="C18" s="67"/>
      <c r="D18" s="71"/>
      <c r="E18" s="130">
        <v>0.27418999999999999</v>
      </c>
      <c r="F18" s="77">
        <v>0.97136</v>
      </c>
      <c r="G18" s="75">
        <v>31.4</v>
      </c>
      <c r="H18" s="88">
        <v>0.99991816</v>
      </c>
      <c r="I18" s="77">
        <v>0.99932779999999999</v>
      </c>
      <c r="J18" s="60">
        <v>64.828999999999994</v>
      </c>
      <c r="O18" s="53">
        <v>210</v>
      </c>
      <c r="P18" s="77">
        <v>8.5513500000000006E-2</v>
      </c>
      <c r="Q18" s="77">
        <v>0.99998699999999996</v>
      </c>
      <c r="R18" s="53">
        <v>210</v>
      </c>
      <c r="S18" s="76">
        <v>1.0509518000000001E-2</v>
      </c>
      <c r="T18" s="138">
        <v>0.99999669999999996</v>
      </c>
      <c r="V18" s="83"/>
      <c r="W18" s="44"/>
      <c r="Z18" s="83"/>
      <c r="AA18" s="44"/>
    </row>
    <row r="19" spans="2:27">
      <c r="B19" s="121"/>
      <c r="C19" s="68"/>
      <c r="D19" s="71"/>
      <c r="E19" s="130">
        <v>0.27816000000000002</v>
      </c>
      <c r="F19" s="77">
        <v>0.97148000000000001</v>
      </c>
      <c r="G19" s="75">
        <v>31.5</v>
      </c>
      <c r="H19" s="88">
        <v>0.99991600000000003</v>
      </c>
      <c r="I19" s="77">
        <v>0.99931073000000004</v>
      </c>
      <c r="J19" s="60">
        <v>64.83</v>
      </c>
      <c r="O19" s="53">
        <v>211</v>
      </c>
      <c r="P19" s="77">
        <v>8.6801000000000003E-2</v>
      </c>
      <c r="Q19" s="77">
        <v>0.99998600000000004</v>
      </c>
      <c r="R19" s="53">
        <v>211</v>
      </c>
      <c r="S19" s="76">
        <v>1.0727376E-2</v>
      </c>
      <c r="T19" s="138">
        <v>0.99999640000000001</v>
      </c>
      <c r="V19" s="83"/>
      <c r="W19" s="8"/>
      <c r="Z19" s="83"/>
      <c r="AA19" s="44"/>
    </row>
    <row r="20" spans="2:27">
      <c r="B20" s="121"/>
      <c r="C20" s="27"/>
      <c r="D20" s="68"/>
      <c r="E20" s="130">
        <v>0.28227999999999998</v>
      </c>
      <c r="F20" s="77">
        <v>0.97160999999999997</v>
      </c>
      <c r="G20" s="75">
        <v>31.6</v>
      </c>
      <c r="H20" s="88">
        <v>0.99991392999999995</v>
      </c>
      <c r="I20" s="77">
        <v>0.99929374000000004</v>
      </c>
      <c r="J20" s="60">
        <v>64.831000000000003</v>
      </c>
      <c r="O20" s="53">
        <v>212</v>
      </c>
      <c r="P20" s="77">
        <v>8.8102299999999995E-2</v>
      </c>
      <c r="Q20" s="77">
        <v>0.99998500000000001</v>
      </c>
      <c r="R20" s="53">
        <v>212</v>
      </c>
      <c r="S20" s="76">
        <v>1.09481085E-2</v>
      </c>
      <c r="T20" s="138">
        <v>0.99999610000000005</v>
      </c>
      <c r="V20" s="83"/>
      <c r="W20" s="8"/>
      <c r="Z20" s="83"/>
      <c r="AA20" s="44"/>
    </row>
    <row r="21" spans="2:27">
      <c r="B21" s="121"/>
      <c r="C21" s="27"/>
      <c r="D21" s="71"/>
      <c r="E21" s="130">
        <v>0.28655000000000003</v>
      </c>
      <c r="F21" s="77">
        <v>0.97172999999999998</v>
      </c>
      <c r="G21" s="75">
        <v>31.7</v>
      </c>
      <c r="H21" s="88">
        <v>0.99991180000000002</v>
      </c>
      <c r="I21" s="77">
        <v>0.99927670000000002</v>
      </c>
      <c r="J21" s="60">
        <v>64.831999999999994</v>
      </c>
      <c r="O21" s="53">
        <v>213</v>
      </c>
      <c r="P21" s="77">
        <v>8.9417499999999997E-2</v>
      </c>
      <c r="Q21" s="77">
        <v>0.99998399999999998</v>
      </c>
      <c r="R21" s="53">
        <v>213</v>
      </c>
      <c r="S21" s="76">
        <v>1.1171736E-2</v>
      </c>
      <c r="T21" s="138">
        <v>0.99999576999999995</v>
      </c>
      <c r="V21" s="83"/>
      <c r="W21" s="8"/>
      <c r="Z21" s="83"/>
      <c r="AA21" s="44"/>
    </row>
    <row r="22" spans="2:27">
      <c r="B22" s="121"/>
      <c r="C22" s="27"/>
      <c r="D22" s="71"/>
      <c r="E22" s="130">
        <v>0.29098000000000002</v>
      </c>
      <c r="F22" s="77">
        <v>0.97185999999999995</v>
      </c>
      <c r="G22" s="75">
        <v>31.8</v>
      </c>
      <c r="H22" s="88">
        <v>0.99990970000000001</v>
      </c>
      <c r="I22" s="77">
        <v>0.99925969999999997</v>
      </c>
      <c r="J22" s="60">
        <v>64.832999999999998</v>
      </c>
      <c r="O22" s="53">
        <v>214</v>
      </c>
      <c r="P22" s="77">
        <v>9.07467E-2</v>
      </c>
      <c r="Q22" s="77">
        <v>0.99998200000000004</v>
      </c>
      <c r="R22" s="53">
        <v>214</v>
      </c>
      <c r="S22" s="76">
        <v>1.1398274E-2</v>
      </c>
      <c r="T22" s="138">
        <v>0.99999539999999998</v>
      </c>
      <c r="V22" s="83"/>
      <c r="W22" s="8"/>
      <c r="Z22" s="83"/>
      <c r="AA22" s="44"/>
    </row>
    <row r="23" spans="2:27" ht="15" thickBot="1">
      <c r="B23" s="121"/>
      <c r="C23" s="67"/>
      <c r="D23" s="71"/>
      <c r="E23" s="130">
        <v>0.29559000000000002</v>
      </c>
      <c r="F23" s="77">
        <v>0.97199000000000002</v>
      </c>
      <c r="G23" s="75">
        <v>31.9</v>
      </c>
      <c r="H23" s="88">
        <v>0.99990754999999998</v>
      </c>
      <c r="I23" s="77">
        <v>0.99924265999999995</v>
      </c>
      <c r="J23" s="60">
        <v>64.834000000000003</v>
      </c>
      <c r="O23" s="53">
        <v>215</v>
      </c>
      <c r="P23" s="77">
        <v>9.2090199999999997E-2</v>
      </c>
      <c r="Q23" s="77">
        <v>0.99997999999999998</v>
      </c>
      <c r="R23" s="53">
        <v>215</v>
      </c>
      <c r="S23" s="76">
        <v>1.1627745E-2</v>
      </c>
      <c r="T23" s="138">
        <v>0.99999505</v>
      </c>
      <c r="V23" s="83"/>
      <c r="W23" s="8"/>
      <c r="Z23" s="84"/>
      <c r="AA23" s="70"/>
    </row>
    <row r="24" spans="2:27">
      <c r="B24" s="121"/>
      <c r="C24" s="67"/>
      <c r="D24" s="71"/>
      <c r="E24" s="130">
        <v>0.3004</v>
      </c>
      <c r="F24" s="77">
        <v>0.97211000000000003</v>
      </c>
      <c r="G24" s="75">
        <v>32</v>
      </c>
      <c r="H24" s="88">
        <v>0.99990540000000006</v>
      </c>
      <c r="I24" s="77">
        <v>0.99922569999999999</v>
      </c>
      <c r="J24" s="60">
        <v>64.834999999999994</v>
      </c>
      <c r="O24" s="53">
        <v>216</v>
      </c>
      <c r="P24" s="77">
        <v>9.3448100000000006E-2</v>
      </c>
      <c r="Q24" s="77">
        <v>0.99997899999999995</v>
      </c>
      <c r="R24" s="53">
        <v>216</v>
      </c>
      <c r="S24" s="76">
        <v>1.1860163999999999E-2</v>
      </c>
      <c r="T24" s="138">
        <v>0.99999464000000005</v>
      </c>
      <c r="V24" s="83"/>
      <c r="W24" s="8"/>
    </row>
    <row r="25" spans="2:27">
      <c r="B25" s="121"/>
      <c r="C25" s="67"/>
      <c r="D25" s="71"/>
      <c r="E25" s="130">
        <v>0.30542000000000002</v>
      </c>
      <c r="F25" s="77">
        <v>0.97223999999999999</v>
      </c>
      <c r="G25" s="75">
        <v>32.1</v>
      </c>
      <c r="H25" s="88">
        <v>0.99990330000000005</v>
      </c>
      <c r="I25" s="77">
        <v>0.9992086</v>
      </c>
      <c r="J25" s="60">
        <v>64.835999999999999</v>
      </c>
      <c r="O25" s="53">
        <v>217</v>
      </c>
      <c r="P25" s="77">
        <v>9.4820600000000005E-2</v>
      </c>
      <c r="Q25" s="77">
        <v>0.999977</v>
      </c>
      <c r="R25" s="53">
        <v>217</v>
      </c>
      <c r="S25" s="76">
        <v>1.2095552000000001E-2</v>
      </c>
      <c r="T25" s="138">
        <v>0.99999415999999997</v>
      </c>
      <c r="V25" s="83"/>
      <c r="W25" s="8"/>
    </row>
    <row r="26" spans="2:27" ht="15" thickBot="1">
      <c r="B26" s="121"/>
      <c r="C26" s="67"/>
      <c r="D26" s="71"/>
      <c r="E26" s="130">
        <v>0.31067</v>
      </c>
      <c r="F26" s="77">
        <v>0.97236</v>
      </c>
      <c r="G26" s="75">
        <v>32.200000000000003</v>
      </c>
      <c r="H26" s="88">
        <v>0.99990120000000005</v>
      </c>
      <c r="I26" s="77">
        <v>0.99919164000000005</v>
      </c>
      <c r="J26" s="60">
        <v>64.837000000000003</v>
      </c>
      <c r="O26" s="53">
        <v>218</v>
      </c>
      <c r="P26" s="77">
        <v>9.6207799999999996E-2</v>
      </c>
      <c r="Q26" s="77">
        <v>0.99997499999999995</v>
      </c>
      <c r="R26" s="53">
        <v>218</v>
      </c>
      <c r="S26" s="76">
        <v>1.2333927E-2</v>
      </c>
      <c r="T26" s="138">
        <v>0.99999373999999996</v>
      </c>
      <c r="V26" s="84"/>
      <c r="W26" s="70"/>
    </row>
    <row r="27" spans="2:27">
      <c r="B27" s="121"/>
      <c r="C27" s="67"/>
      <c r="D27" s="71"/>
      <c r="E27" s="130">
        <v>0.31617000000000001</v>
      </c>
      <c r="F27" s="77">
        <v>0.97248999999999997</v>
      </c>
      <c r="G27" s="75">
        <v>32.299999999999997</v>
      </c>
      <c r="H27" s="88">
        <v>0.99989899999999998</v>
      </c>
      <c r="I27" s="77">
        <v>0.99917460000000002</v>
      </c>
      <c r="J27" s="60">
        <v>64.837999999999994</v>
      </c>
      <c r="O27" s="53">
        <v>219</v>
      </c>
      <c r="P27" s="77">
        <v>9.7609899999999999E-2</v>
      </c>
      <c r="Q27" s="77">
        <v>0.999973</v>
      </c>
      <c r="R27" s="53">
        <v>219</v>
      </c>
      <c r="S27" s="76">
        <v>1.2575308E-2</v>
      </c>
      <c r="T27" s="138">
        <v>0.99999320000000003</v>
      </c>
    </row>
    <row r="28" spans="2:27">
      <c r="B28" s="121"/>
      <c r="C28" s="67"/>
      <c r="D28" s="71"/>
      <c r="E28" s="130">
        <v>0.32196000000000002</v>
      </c>
      <c r="F28" s="77">
        <v>0.97260999999999997</v>
      </c>
      <c r="G28" s="75">
        <v>32.4</v>
      </c>
      <c r="H28" s="88">
        <v>0.99989689999999998</v>
      </c>
      <c r="I28" s="77">
        <v>0.99915759999999998</v>
      </c>
      <c r="J28" s="60">
        <v>64.838999999999999</v>
      </c>
      <c r="O28" s="53">
        <v>220</v>
      </c>
      <c r="P28" s="77">
        <v>9.9027199999999996E-2</v>
      </c>
      <c r="Q28" s="77">
        <v>0.99997100000000005</v>
      </c>
      <c r="R28" s="53">
        <v>220</v>
      </c>
      <c r="S28" s="76">
        <v>1.2819715000000001E-2</v>
      </c>
      <c r="T28" s="138">
        <v>0.99999267000000003</v>
      </c>
    </row>
    <row r="29" spans="2:27">
      <c r="B29" s="121"/>
      <c r="C29" s="67"/>
      <c r="D29" s="71"/>
      <c r="E29" s="130">
        <v>0.32805000000000001</v>
      </c>
      <c r="F29" s="77">
        <v>0.97274000000000005</v>
      </c>
      <c r="G29" s="75">
        <v>32.5</v>
      </c>
      <c r="H29" s="88">
        <v>0.99989474</v>
      </c>
      <c r="I29" s="77">
        <v>0.99914055999999996</v>
      </c>
      <c r="J29" s="60">
        <v>64.84</v>
      </c>
      <c r="O29" s="53">
        <v>221</v>
      </c>
      <c r="P29" s="77">
        <v>0.10045999999999999</v>
      </c>
      <c r="Q29" s="77">
        <v>0.99996799999999997</v>
      </c>
      <c r="R29" s="53">
        <v>221</v>
      </c>
      <c r="S29" s="76">
        <v>1.3067166E-2</v>
      </c>
      <c r="T29" s="138">
        <v>0.99999210000000005</v>
      </c>
    </row>
    <row r="30" spans="2:27">
      <c r="B30" s="121"/>
      <c r="C30" s="67"/>
      <c r="D30" s="71"/>
      <c r="E30" s="130">
        <v>0.33449000000000001</v>
      </c>
      <c r="F30" s="77">
        <v>0.97287000000000001</v>
      </c>
      <c r="G30" s="75">
        <v>32.6</v>
      </c>
      <c r="H30" s="88">
        <v>0.99989260000000002</v>
      </c>
      <c r="I30" s="77">
        <v>0.9991236</v>
      </c>
      <c r="J30" s="60">
        <v>64.840999999999994</v>
      </c>
      <c r="O30" s="53">
        <v>222</v>
      </c>
      <c r="P30" s="77">
        <v>0.101908</v>
      </c>
      <c r="Q30" s="77">
        <v>0.99996499999999999</v>
      </c>
      <c r="R30" s="53">
        <v>222</v>
      </c>
      <c r="S30" s="76">
        <v>1.3317683E-2</v>
      </c>
      <c r="T30" s="138">
        <v>0.99999139999999997</v>
      </c>
    </row>
    <row r="31" spans="2:27" ht="15" thickBot="1">
      <c r="B31" s="122"/>
      <c r="C31" s="69"/>
      <c r="D31" s="128"/>
      <c r="E31" s="130">
        <v>0.34131</v>
      </c>
      <c r="F31" s="77">
        <v>0.97299000000000002</v>
      </c>
      <c r="G31" s="75">
        <v>32.700000000000003</v>
      </c>
      <c r="H31" s="88">
        <v>0.99989050000000002</v>
      </c>
      <c r="I31" s="77">
        <v>0.99910650000000001</v>
      </c>
      <c r="J31" s="60">
        <v>64.841999999999999</v>
      </c>
      <c r="O31" s="53">
        <v>223</v>
      </c>
      <c r="P31" s="77">
        <v>0.103371</v>
      </c>
      <c r="Q31" s="77">
        <v>0.99996300000000005</v>
      </c>
      <c r="R31" s="53">
        <v>223</v>
      </c>
      <c r="S31" s="76">
        <v>1.3571283999999999E-2</v>
      </c>
      <c r="T31" s="138">
        <v>0.99999075999999998</v>
      </c>
    </row>
    <row r="32" spans="2:27">
      <c r="E32" s="130">
        <v>0.34856999999999999</v>
      </c>
      <c r="F32" s="77">
        <v>0.97311999999999999</v>
      </c>
      <c r="G32" s="75">
        <v>32.799999999999997</v>
      </c>
      <c r="H32" s="88">
        <v>0.99988836000000003</v>
      </c>
      <c r="I32" s="77">
        <v>0.99908949999999996</v>
      </c>
      <c r="J32" s="60">
        <v>64.843000000000004</v>
      </c>
      <c r="O32" s="53">
        <v>224</v>
      </c>
      <c r="P32" s="77">
        <v>0.104851</v>
      </c>
      <c r="Q32" s="77">
        <v>0.99995999999999996</v>
      </c>
      <c r="R32" s="53">
        <v>224</v>
      </c>
      <c r="S32" s="76">
        <v>1.3827989000000001E-2</v>
      </c>
      <c r="T32" s="138">
        <v>0.99999004999999996</v>
      </c>
    </row>
    <row r="33" spans="5:20">
      <c r="E33" s="130">
        <v>0.35632999999999998</v>
      </c>
      <c r="F33" s="77">
        <v>0.97324999999999995</v>
      </c>
      <c r="G33" s="75">
        <v>32.9</v>
      </c>
      <c r="H33" s="88">
        <v>0.99988619999999995</v>
      </c>
      <c r="I33" s="77">
        <v>0.99907250000000003</v>
      </c>
      <c r="J33" s="60">
        <v>64.843999999999994</v>
      </c>
      <c r="O33" s="53">
        <v>225</v>
      </c>
      <c r="P33" s="77">
        <v>0.106347</v>
      </c>
      <c r="Q33" s="77">
        <v>0.99995599999999996</v>
      </c>
      <c r="R33" s="53">
        <v>225</v>
      </c>
      <c r="S33" s="76">
        <v>1.4087818E-2</v>
      </c>
      <c r="T33" s="138">
        <v>0.99998929999999997</v>
      </c>
    </row>
    <row r="34" spans="5:20">
      <c r="E34" s="130">
        <v>0.36465999999999998</v>
      </c>
      <c r="F34" s="77">
        <v>0.97336999999999996</v>
      </c>
      <c r="G34" s="75">
        <v>33</v>
      </c>
      <c r="H34" s="88">
        <v>0.999884</v>
      </c>
      <c r="I34" s="77">
        <v>0.99905544999999996</v>
      </c>
      <c r="J34" s="60">
        <v>64.844999999999999</v>
      </c>
      <c r="O34" s="53">
        <v>226</v>
      </c>
      <c r="P34" s="77">
        <v>0.107859</v>
      </c>
      <c r="Q34" s="77">
        <v>0.99995299999999998</v>
      </c>
      <c r="R34" s="53">
        <v>226</v>
      </c>
      <c r="S34" s="76">
        <v>1.43507905E-2</v>
      </c>
      <c r="T34" s="138">
        <v>0.99998849999999995</v>
      </c>
    </row>
    <row r="35" spans="5:20">
      <c r="E35" s="130">
        <v>0.37364999999999998</v>
      </c>
      <c r="F35" s="77">
        <v>0.97350000000000003</v>
      </c>
      <c r="G35" s="75">
        <v>33.1</v>
      </c>
      <c r="H35" s="88">
        <v>0.99988186000000001</v>
      </c>
      <c r="I35" s="77">
        <v>0.99903839999999999</v>
      </c>
      <c r="J35" s="60">
        <v>64.846000000000004</v>
      </c>
      <c r="O35" s="53">
        <v>227</v>
      </c>
      <c r="P35" s="77">
        <v>0.109387</v>
      </c>
      <c r="Q35" s="77">
        <v>0.99994899999999998</v>
      </c>
      <c r="R35" s="53">
        <v>227</v>
      </c>
      <c r="S35" s="76">
        <v>1.4616928E-2</v>
      </c>
      <c r="T35" s="138">
        <v>0.99998759999999998</v>
      </c>
    </row>
    <row r="36" spans="5:20">
      <c r="E36" s="130">
        <v>0.38341999999999998</v>
      </c>
      <c r="F36" s="77">
        <v>0.97363</v>
      </c>
      <c r="G36" s="75">
        <v>33.200000000000003</v>
      </c>
      <c r="H36" s="88">
        <v>0.99987970000000004</v>
      </c>
      <c r="I36" s="77">
        <v>0.99902139999999995</v>
      </c>
      <c r="J36" s="60">
        <v>64.846999999999994</v>
      </c>
      <c r="O36" s="53">
        <v>228</v>
      </c>
      <c r="P36" s="77">
        <v>0.110932</v>
      </c>
      <c r="Q36" s="77">
        <v>0.99994499999999997</v>
      </c>
      <c r="R36" s="53">
        <v>228</v>
      </c>
      <c r="S36" s="76">
        <v>1.4886252000000001E-2</v>
      </c>
      <c r="T36" s="138">
        <v>0.99998664999999998</v>
      </c>
    </row>
    <row r="37" spans="5:20">
      <c r="E37" s="130">
        <v>0.39412000000000003</v>
      </c>
      <c r="F37" s="77">
        <v>0.97375999999999996</v>
      </c>
      <c r="G37" s="75">
        <v>33.299999999999997</v>
      </c>
      <c r="H37" s="88">
        <v>0.99987760000000003</v>
      </c>
      <c r="I37" s="77">
        <v>0.99900436000000004</v>
      </c>
      <c r="J37" s="60">
        <v>64.847999999999999</v>
      </c>
      <c r="O37" s="53">
        <v>229</v>
      </c>
      <c r="P37" s="77">
        <v>0.112494</v>
      </c>
      <c r="Q37" s="77">
        <v>0.99994000000000005</v>
      </c>
      <c r="R37" s="53">
        <v>229</v>
      </c>
      <c r="S37" s="76">
        <v>1.515878E-2</v>
      </c>
      <c r="T37" s="138">
        <v>0.99998564000000001</v>
      </c>
    </row>
    <row r="38" spans="5:20">
      <c r="E38" s="130">
        <v>0.40594000000000002</v>
      </c>
      <c r="F38" s="77">
        <v>0.97389999999999999</v>
      </c>
      <c r="G38" s="75">
        <v>33.4</v>
      </c>
      <c r="H38" s="88">
        <v>0.99987539999999997</v>
      </c>
      <c r="I38" s="77">
        <v>0.99898730000000002</v>
      </c>
      <c r="J38" s="60">
        <v>64.849000000000004</v>
      </c>
      <c r="O38" s="53">
        <v>230</v>
      </c>
      <c r="P38" s="77">
        <v>0.11407299999999999</v>
      </c>
      <c r="Q38" s="77">
        <v>0.99993600000000005</v>
      </c>
      <c r="R38" s="53">
        <v>230</v>
      </c>
      <c r="S38" s="76">
        <v>1.5434536E-2</v>
      </c>
      <c r="T38" s="138">
        <v>0.9999846</v>
      </c>
    </row>
    <row r="39" spans="5:20">
      <c r="E39" s="130">
        <v>0.41915999999999998</v>
      </c>
      <c r="F39" s="77">
        <v>0.97402999999999995</v>
      </c>
      <c r="G39" s="75">
        <v>33.5</v>
      </c>
      <c r="H39" s="88">
        <v>0.99987329999999996</v>
      </c>
      <c r="I39" s="77">
        <v>0.99897027000000005</v>
      </c>
      <c r="J39" s="60">
        <v>64.849999999999994</v>
      </c>
      <c r="O39" s="53">
        <v>231</v>
      </c>
      <c r="P39" s="77">
        <v>0.11567</v>
      </c>
      <c r="Q39" s="77">
        <v>0.99993100000000001</v>
      </c>
      <c r="R39" s="53">
        <v>231</v>
      </c>
      <c r="S39" s="76">
        <v>1.5713538999999999E-2</v>
      </c>
      <c r="T39" s="138">
        <v>0.99998350000000003</v>
      </c>
    </row>
    <row r="40" spans="5:20">
      <c r="E40" s="130">
        <v>0.43414999999999998</v>
      </c>
      <c r="F40" s="77">
        <v>0.97416999999999998</v>
      </c>
      <c r="G40" s="75">
        <v>33.6</v>
      </c>
      <c r="H40" s="88">
        <v>0.99987110000000001</v>
      </c>
      <c r="I40" s="77">
        <v>0.99895330000000004</v>
      </c>
      <c r="J40" s="60">
        <v>64.850999999999999</v>
      </c>
      <c r="O40" s="53">
        <v>232</v>
      </c>
      <c r="P40" s="77">
        <v>0.117284</v>
      </c>
      <c r="Q40" s="77">
        <v>0.99992499999999995</v>
      </c>
      <c r="R40" s="53">
        <v>232</v>
      </c>
      <c r="S40" s="76">
        <v>1.5995814000000001E-2</v>
      </c>
      <c r="T40" s="138">
        <v>0.99998224000000002</v>
      </c>
    </row>
    <row r="41" spans="5:20">
      <c r="E41" s="130">
        <v>0.45146999999999998</v>
      </c>
      <c r="F41" s="77">
        <v>0.97431000000000001</v>
      </c>
      <c r="G41" s="75">
        <v>33.700000000000003</v>
      </c>
      <c r="H41" s="88">
        <v>0.99986889999999995</v>
      </c>
      <c r="I41" s="77">
        <v>0.99893624000000003</v>
      </c>
      <c r="J41" s="60">
        <v>64.852000000000004</v>
      </c>
      <c r="O41" s="53">
        <v>233</v>
      </c>
      <c r="P41" s="77">
        <v>0.11891699999999999</v>
      </c>
      <c r="Q41" s="77">
        <v>0.99992000000000003</v>
      </c>
      <c r="R41" s="53">
        <v>233</v>
      </c>
      <c r="S41" s="76">
        <v>1.6281377999999999E-2</v>
      </c>
      <c r="T41" s="138">
        <v>0.99998100000000001</v>
      </c>
    </row>
    <row r="42" spans="5:20">
      <c r="E42" s="130">
        <v>0.47199000000000002</v>
      </c>
      <c r="F42" s="77">
        <v>0.97445000000000004</v>
      </c>
      <c r="G42" s="75">
        <v>33.799999999999997</v>
      </c>
      <c r="H42" s="88">
        <v>0.99986679999999994</v>
      </c>
      <c r="I42" s="77">
        <v>0.99891920000000001</v>
      </c>
      <c r="J42" s="60">
        <v>64.852999999999994</v>
      </c>
      <c r="O42" s="53">
        <v>234</v>
      </c>
      <c r="P42" s="77">
        <v>0.12056699999999999</v>
      </c>
      <c r="Q42" s="77">
        <v>0.99991300000000005</v>
      </c>
      <c r="R42" s="53">
        <v>234</v>
      </c>
      <c r="S42" s="76">
        <v>1.6570253E-2</v>
      </c>
      <c r="T42" s="138">
        <v>0.99997959999999997</v>
      </c>
    </row>
    <row r="43" spans="5:20">
      <c r="E43" s="130">
        <v>0.49717</v>
      </c>
      <c r="F43" s="77">
        <v>0.97460000000000002</v>
      </c>
      <c r="G43" s="75">
        <v>33.9</v>
      </c>
      <c r="H43" s="88">
        <v>0.99986459999999999</v>
      </c>
      <c r="I43" s="77">
        <v>0.99890213999999999</v>
      </c>
      <c r="J43" s="60">
        <v>64.853999999999999</v>
      </c>
      <c r="O43" s="53">
        <v>235</v>
      </c>
      <c r="P43" s="77">
        <v>0.122236</v>
      </c>
      <c r="Q43" s="77">
        <v>0.99990699999999999</v>
      </c>
      <c r="R43" s="53">
        <v>235</v>
      </c>
      <c r="S43" s="76">
        <v>1.6862463000000001E-2</v>
      </c>
      <c r="T43" s="138">
        <v>0.99997809999999998</v>
      </c>
    </row>
    <row r="44" spans="5:20">
      <c r="E44" s="130">
        <v>0.52973999999999999</v>
      </c>
      <c r="F44" s="77">
        <v>0.97475999999999996</v>
      </c>
      <c r="G44" s="75">
        <v>34</v>
      </c>
      <c r="H44" s="88">
        <v>0.99986242999999997</v>
      </c>
      <c r="I44" s="77">
        <v>0.99888509999999997</v>
      </c>
      <c r="J44" s="60">
        <v>64.855000000000004</v>
      </c>
      <c r="O44" s="53">
        <v>236</v>
      </c>
      <c r="P44" s="77">
        <v>0.12392300000000001</v>
      </c>
      <c r="Q44" s="77">
        <v>0.99990000000000001</v>
      </c>
      <c r="R44" s="53">
        <v>236</v>
      </c>
      <c r="S44" s="76">
        <v>1.7158031000000001E-2</v>
      </c>
      <c r="T44" s="138">
        <v>0.99997659999999999</v>
      </c>
    </row>
    <row r="45" spans="5:20">
      <c r="E45" s="130">
        <v>0.57567000000000002</v>
      </c>
      <c r="F45" s="77">
        <v>0.97492000000000001</v>
      </c>
      <c r="G45" s="75">
        <v>34.1</v>
      </c>
      <c r="H45" s="88">
        <v>0.99986019999999998</v>
      </c>
      <c r="I45" s="77">
        <v>0.99886810000000004</v>
      </c>
      <c r="J45" s="60">
        <v>64.855999999999995</v>
      </c>
      <c r="O45" s="53">
        <v>237</v>
      </c>
      <c r="P45" s="77">
        <v>0.12562899999999999</v>
      </c>
      <c r="Q45" s="77">
        <v>0.999892</v>
      </c>
      <c r="R45" s="53">
        <v>237</v>
      </c>
      <c r="S45" s="76">
        <v>1.7456976999999999E-2</v>
      </c>
      <c r="T45" s="138">
        <v>0.99997497000000002</v>
      </c>
    </row>
    <row r="46" spans="5:20">
      <c r="E46" s="130">
        <v>0.65130999999999994</v>
      </c>
      <c r="F46" s="77">
        <v>0.97511999999999999</v>
      </c>
      <c r="G46" s="75">
        <v>34.200000000000003</v>
      </c>
      <c r="H46" s="88">
        <v>0.99985809999999997</v>
      </c>
      <c r="I46" s="77">
        <v>0.99885106000000001</v>
      </c>
      <c r="J46" s="60">
        <v>64.856999999999999</v>
      </c>
      <c r="O46" s="53">
        <v>238</v>
      </c>
      <c r="P46" s="77">
        <v>0.127355</v>
      </c>
      <c r="Q46" s="77">
        <v>0.999884</v>
      </c>
      <c r="R46" s="53">
        <v>238</v>
      </c>
      <c r="S46" s="76">
        <v>1.7759324999999999E-2</v>
      </c>
      <c r="T46" s="138">
        <v>0.99997320000000001</v>
      </c>
    </row>
    <row r="47" spans="5:20">
      <c r="E47" s="130">
        <v>0.80249000000000004</v>
      </c>
      <c r="F47" s="77">
        <v>0.97540000000000004</v>
      </c>
      <c r="G47" s="75">
        <v>34.299999999999997</v>
      </c>
      <c r="H47" s="88">
        <v>0.99985590000000002</v>
      </c>
      <c r="I47" s="77">
        <v>0.998834</v>
      </c>
      <c r="J47" s="60">
        <v>64.858000000000004</v>
      </c>
      <c r="O47" s="53">
        <v>239</v>
      </c>
      <c r="P47" s="77">
        <v>0.12909999999999999</v>
      </c>
      <c r="Q47" s="77">
        <v>0.99987499999999996</v>
      </c>
      <c r="R47" s="53">
        <v>239</v>
      </c>
      <c r="S47" s="76">
        <v>1.8065096999999999E-2</v>
      </c>
      <c r="T47" s="138">
        <v>0.99997133000000005</v>
      </c>
    </row>
    <row r="48" spans="5:20">
      <c r="E48" s="130">
        <v>2.1580999999999999E-2</v>
      </c>
      <c r="F48" s="77">
        <v>0.85209999999999997</v>
      </c>
      <c r="G48" s="75">
        <v>7</v>
      </c>
      <c r="H48" s="88">
        <v>0.99985373</v>
      </c>
      <c r="I48" s="77">
        <v>0.99881697000000003</v>
      </c>
      <c r="J48" s="60">
        <v>64.858999999999995</v>
      </c>
      <c r="O48" s="53">
        <v>240</v>
      </c>
      <c r="P48" s="77">
        <v>0.13086500000000001</v>
      </c>
      <c r="Q48" s="77">
        <v>0.99986600000000003</v>
      </c>
      <c r="R48" s="53">
        <v>240</v>
      </c>
      <c r="S48" s="76">
        <v>1.8374316000000002E-2</v>
      </c>
      <c r="T48" s="138">
        <v>0.99996936000000003</v>
      </c>
    </row>
    <row r="49" spans="5:20">
      <c r="E49" s="130">
        <v>2.1985000000000001E-2</v>
      </c>
      <c r="F49" s="77">
        <v>0.85423000000000004</v>
      </c>
      <c r="G49" s="75">
        <v>7.1</v>
      </c>
      <c r="H49" s="88">
        <v>0.9998515</v>
      </c>
      <c r="I49" s="77">
        <v>0.99879989999999996</v>
      </c>
      <c r="J49" s="60">
        <v>64.86</v>
      </c>
      <c r="O49" s="53">
        <v>241</v>
      </c>
      <c r="P49" s="77">
        <v>0.13264999999999999</v>
      </c>
      <c r="Q49" s="77">
        <v>0.99985599999999997</v>
      </c>
      <c r="R49" s="53">
        <v>241</v>
      </c>
      <c r="S49" s="76">
        <v>1.8687005999999999E-2</v>
      </c>
      <c r="T49" s="138">
        <v>0.9999673</v>
      </c>
    </row>
    <row r="50" spans="5:20">
      <c r="E50" s="130">
        <v>2.2388999999999999E-2</v>
      </c>
      <c r="F50" s="77">
        <v>0.85629999999999995</v>
      </c>
      <c r="G50" s="75">
        <v>7.2</v>
      </c>
      <c r="H50" s="88">
        <v>0.99984930000000005</v>
      </c>
      <c r="I50" s="77">
        <v>0.99878290000000003</v>
      </c>
      <c r="J50" s="60">
        <v>64.861000000000004</v>
      </c>
      <c r="O50" s="53">
        <v>242</v>
      </c>
      <c r="P50" s="77">
        <v>0.13445499999999999</v>
      </c>
      <c r="Q50" s="77">
        <v>0.99984499999999998</v>
      </c>
      <c r="R50" s="53">
        <v>242</v>
      </c>
      <c r="S50" s="76">
        <v>1.900319E-2</v>
      </c>
      <c r="T50" s="138">
        <v>0.99996510000000005</v>
      </c>
    </row>
    <row r="51" spans="5:20">
      <c r="E51" s="130">
        <v>2.2796E-2</v>
      </c>
      <c r="F51" s="77">
        <v>0.85831999999999997</v>
      </c>
      <c r="G51" s="75">
        <v>7.3</v>
      </c>
      <c r="H51" s="88">
        <v>0.99984720000000005</v>
      </c>
      <c r="I51" s="77">
        <v>0.99876580000000004</v>
      </c>
      <c r="J51" s="60">
        <v>64.861999999999995</v>
      </c>
      <c r="O51" s="53">
        <v>243</v>
      </c>
      <c r="P51" s="77">
        <v>0.13628100000000001</v>
      </c>
      <c r="Q51" s="77">
        <v>0.999834</v>
      </c>
      <c r="R51" s="53">
        <v>243</v>
      </c>
      <c r="S51" s="76">
        <v>1.9322893000000001E-2</v>
      </c>
      <c r="T51" s="138">
        <v>0.99996269999999998</v>
      </c>
    </row>
    <row r="52" spans="5:20">
      <c r="E52" s="130">
        <v>2.3203999999999999E-2</v>
      </c>
      <c r="F52" s="77">
        <v>0.86028000000000004</v>
      </c>
      <c r="G52" s="75">
        <v>7.4</v>
      </c>
      <c r="H52" s="88">
        <v>0.99984497000000006</v>
      </c>
      <c r="I52" s="77">
        <v>0.99874879999999999</v>
      </c>
      <c r="J52" s="60">
        <v>64.863</v>
      </c>
      <c r="O52" s="53">
        <v>244</v>
      </c>
      <c r="P52" s="77">
        <v>0.138128</v>
      </c>
      <c r="Q52" s="77">
        <v>0.99982199999999999</v>
      </c>
      <c r="R52" s="53">
        <v>244</v>
      </c>
      <c r="S52" s="76">
        <v>1.9646138E-2</v>
      </c>
      <c r="T52" s="138">
        <v>0.99996019999999997</v>
      </c>
    </row>
    <row r="53" spans="5:20">
      <c r="E53" s="130">
        <v>2.3612999999999999E-2</v>
      </c>
      <c r="F53" s="77">
        <v>0.86219000000000001</v>
      </c>
      <c r="G53" s="75">
        <v>7.5</v>
      </c>
      <c r="H53" s="88">
        <v>0.99984276000000005</v>
      </c>
      <c r="I53" s="77">
        <v>0.99873173000000004</v>
      </c>
      <c r="J53" s="60">
        <v>64.864000000000004</v>
      </c>
      <c r="O53" s="53">
        <v>245</v>
      </c>
      <c r="P53" s="77">
        <v>0.13999700000000001</v>
      </c>
      <c r="Q53" s="77">
        <v>0.99980899999999995</v>
      </c>
      <c r="R53" s="53">
        <v>245</v>
      </c>
      <c r="S53" s="76">
        <v>1.9972948000000001E-2</v>
      </c>
      <c r="T53" s="138">
        <v>0.99995756000000002</v>
      </c>
    </row>
    <row r="54" spans="5:20">
      <c r="E54" s="130">
        <v>2.4025000000000001E-2</v>
      </c>
      <c r="F54" s="77">
        <v>0.86404999999999998</v>
      </c>
      <c r="G54" s="75">
        <v>7.6</v>
      </c>
      <c r="H54" s="88">
        <v>0.99984055999999999</v>
      </c>
      <c r="I54" s="77">
        <v>0.99871469999999996</v>
      </c>
      <c r="J54" s="60">
        <v>64.864999999999995</v>
      </c>
      <c r="O54" s="53">
        <v>246</v>
      </c>
      <c r="P54" s="77">
        <v>0.14188700000000001</v>
      </c>
      <c r="Q54" s="77">
        <v>0.99979499999999999</v>
      </c>
      <c r="R54" s="53">
        <v>246</v>
      </c>
      <c r="S54" s="76">
        <v>2.0303350000000001E-2</v>
      </c>
      <c r="T54" s="138">
        <v>0.99995476000000005</v>
      </c>
    </row>
    <row r="55" spans="5:20">
      <c r="E55" s="130">
        <v>2.4437E-2</v>
      </c>
      <c r="F55" s="77">
        <v>0.86585999999999996</v>
      </c>
      <c r="G55" s="75">
        <v>7.7</v>
      </c>
      <c r="H55" s="88">
        <v>0.99983834999999999</v>
      </c>
      <c r="I55" s="77">
        <v>0.99869764000000005</v>
      </c>
      <c r="J55" s="60">
        <v>64.866</v>
      </c>
      <c r="O55" s="53">
        <v>247</v>
      </c>
      <c r="P55" s="77">
        <v>0.14379900000000001</v>
      </c>
      <c r="Q55" s="77">
        <v>0.99978</v>
      </c>
      <c r="R55" s="53">
        <v>247</v>
      </c>
      <c r="S55" s="76">
        <v>2.0637368999999999E-2</v>
      </c>
      <c r="T55" s="138">
        <v>0.99995179999999995</v>
      </c>
    </row>
    <row r="56" spans="5:20">
      <c r="E56" s="130">
        <v>2.4851999999999999E-2</v>
      </c>
      <c r="F56" s="77">
        <v>0.86763000000000001</v>
      </c>
      <c r="G56" s="75">
        <v>7.8</v>
      </c>
      <c r="H56" s="88">
        <v>0.99983615000000003</v>
      </c>
      <c r="I56" s="77">
        <v>0.99868064999999995</v>
      </c>
      <c r="J56" s="60">
        <v>64.867000000000004</v>
      </c>
      <c r="O56" s="53">
        <v>248</v>
      </c>
      <c r="P56" s="77">
        <v>0.145734</v>
      </c>
      <c r="Q56" s="77">
        <v>0.99976399999999999</v>
      </c>
      <c r="R56" s="53">
        <v>248</v>
      </c>
      <c r="S56" s="76">
        <v>2.0975027E-2</v>
      </c>
      <c r="T56" s="138">
        <v>0.99994870000000002</v>
      </c>
    </row>
    <row r="57" spans="5:20">
      <c r="E57" s="130">
        <v>2.5267999999999999E-2</v>
      </c>
      <c r="F57" s="77">
        <v>0.86934999999999996</v>
      </c>
      <c r="G57" s="75">
        <v>7.9</v>
      </c>
      <c r="H57" s="88">
        <v>0.99983394000000003</v>
      </c>
      <c r="I57" s="77">
        <v>0.99866354000000002</v>
      </c>
      <c r="J57" s="60">
        <v>64.867999999999995</v>
      </c>
      <c r="O57" s="53">
        <v>249</v>
      </c>
      <c r="P57" s="77">
        <v>0.14769199999999999</v>
      </c>
      <c r="Q57" s="77">
        <v>0.99974799999999997</v>
      </c>
      <c r="R57" s="53">
        <v>249</v>
      </c>
      <c r="S57" s="76">
        <v>2.1316353E-2</v>
      </c>
      <c r="T57" s="138">
        <v>0.99994534000000002</v>
      </c>
    </row>
    <row r="58" spans="5:20">
      <c r="E58" s="130">
        <v>2.5684999999999999E-2</v>
      </c>
      <c r="F58" s="77">
        <v>0.87102999999999997</v>
      </c>
      <c r="G58" s="75">
        <v>8</v>
      </c>
      <c r="H58" s="88">
        <v>0.99983173999999997</v>
      </c>
      <c r="I58" s="77">
        <v>0.99864649999999999</v>
      </c>
      <c r="J58" s="60">
        <v>64.869</v>
      </c>
      <c r="O58" s="53">
        <v>250</v>
      </c>
      <c r="P58" s="77">
        <v>0.149673</v>
      </c>
      <c r="Q58" s="77">
        <v>0.99973000000000001</v>
      </c>
      <c r="R58" s="53">
        <v>250</v>
      </c>
      <c r="S58" s="76">
        <v>2.1661370999999999E-2</v>
      </c>
      <c r="T58" s="138">
        <v>0.99994179999999999</v>
      </c>
    </row>
    <row r="59" spans="5:20">
      <c r="E59" s="130">
        <v>2.6105E-2</v>
      </c>
      <c r="F59" s="77">
        <v>0.87265999999999999</v>
      </c>
      <c r="G59" s="75">
        <v>8.1</v>
      </c>
      <c r="H59" s="88">
        <v>0.99982952999999997</v>
      </c>
      <c r="I59" s="77">
        <v>0.99862945000000003</v>
      </c>
      <c r="J59" s="60">
        <v>64.87</v>
      </c>
      <c r="O59" s="53">
        <v>251</v>
      </c>
      <c r="P59" s="77">
        <v>0.15167700000000001</v>
      </c>
      <c r="Q59" s="77">
        <v>0.99971100000000002</v>
      </c>
      <c r="R59" s="53">
        <v>251</v>
      </c>
      <c r="S59" s="76">
        <v>2.2010107000000001E-2</v>
      </c>
      <c r="T59" s="138">
        <v>0.99993812999999998</v>
      </c>
    </row>
    <row r="60" spans="5:20">
      <c r="E60" s="130">
        <v>2.6526000000000001E-2</v>
      </c>
      <c r="F60" s="77">
        <v>0.87426000000000004</v>
      </c>
      <c r="G60" s="75">
        <v>8.1999999999999993</v>
      </c>
      <c r="H60" s="88">
        <v>0.99982729999999997</v>
      </c>
      <c r="I60" s="77">
        <v>0.99861239999999996</v>
      </c>
      <c r="J60" s="60">
        <v>64.870999999999995</v>
      </c>
      <c r="O60" s="53">
        <v>252</v>
      </c>
      <c r="P60" s="77">
        <v>0.15370500000000001</v>
      </c>
      <c r="Q60" s="77">
        <v>0.99968999999999997</v>
      </c>
      <c r="R60" s="53">
        <v>252</v>
      </c>
      <c r="S60" s="76">
        <v>2.2362587999999999E-2</v>
      </c>
      <c r="T60" s="138">
        <v>0.9999342</v>
      </c>
    </row>
    <row r="61" spans="5:20">
      <c r="E61" s="130">
        <v>2.6948E-2</v>
      </c>
      <c r="F61" s="77">
        <v>0.87582000000000004</v>
      </c>
      <c r="G61" s="75">
        <v>8.3000000000000007</v>
      </c>
      <c r="H61" s="88">
        <v>0.99982510000000002</v>
      </c>
      <c r="I61" s="77">
        <v>0.99859536000000004</v>
      </c>
      <c r="J61" s="60">
        <v>64.872</v>
      </c>
      <c r="O61" s="53">
        <v>253</v>
      </c>
      <c r="P61" s="77">
        <v>0.15575800000000001</v>
      </c>
      <c r="Q61" s="77">
        <v>0.99966900000000003</v>
      </c>
      <c r="R61" s="53">
        <v>253</v>
      </c>
      <c r="S61" s="76">
        <v>2.2718840000000001E-2</v>
      </c>
      <c r="T61" s="138">
        <v>0.99993010000000004</v>
      </c>
    </row>
    <row r="62" spans="5:20">
      <c r="E62" s="130">
        <v>2.7373000000000001E-2</v>
      </c>
      <c r="F62" s="77">
        <v>0.87734000000000001</v>
      </c>
      <c r="G62" s="75">
        <v>8.4</v>
      </c>
      <c r="H62" s="88">
        <v>0.99982289999999996</v>
      </c>
      <c r="I62" s="77">
        <v>0.99857830000000003</v>
      </c>
      <c r="J62" s="60">
        <v>64.873000000000005</v>
      </c>
      <c r="O62" s="53">
        <v>254</v>
      </c>
      <c r="P62" s="77">
        <v>0.157836</v>
      </c>
      <c r="Q62" s="77">
        <v>0.99964600000000003</v>
      </c>
      <c r="R62" s="53">
        <v>254</v>
      </c>
      <c r="S62" s="76">
        <v>2.3078890000000001E-2</v>
      </c>
      <c r="T62" s="138">
        <v>0.99992572999999996</v>
      </c>
    </row>
    <row r="63" spans="5:20">
      <c r="E63" s="130">
        <v>2.7799000000000001E-2</v>
      </c>
      <c r="F63" s="77">
        <v>0.87883</v>
      </c>
      <c r="G63" s="75">
        <v>8.5</v>
      </c>
      <c r="H63" s="88">
        <v>0.99982070000000001</v>
      </c>
      <c r="I63" s="77">
        <v>0.99856126000000001</v>
      </c>
      <c r="J63" s="60">
        <v>64.873999999999995</v>
      </c>
      <c r="O63" s="53">
        <v>255</v>
      </c>
      <c r="P63" s="77">
        <v>0.159939</v>
      </c>
      <c r="Q63" s="77">
        <v>0.99962099999999998</v>
      </c>
      <c r="R63" s="53">
        <v>255</v>
      </c>
      <c r="S63" s="76">
        <v>2.3442767999999999E-2</v>
      </c>
      <c r="T63" s="138">
        <v>0.99992110000000001</v>
      </c>
    </row>
    <row r="64" spans="5:20">
      <c r="E64" s="130">
        <v>2.8226999999999999E-2</v>
      </c>
      <c r="F64" s="77">
        <v>0.88027999999999995</v>
      </c>
      <c r="G64" s="75">
        <v>8.6</v>
      </c>
      <c r="H64" s="88">
        <v>0.99981843999999997</v>
      </c>
      <c r="I64" s="77">
        <v>0.99854419999999999</v>
      </c>
      <c r="J64" s="60">
        <v>64.875</v>
      </c>
      <c r="O64" s="53">
        <v>256</v>
      </c>
      <c r="P64" s="77">
        <v>0.16206799999999999</v>
      </c>
      <c r="Q64" s="77">
        <v>0.99959500000000001</v>
      </c>
      <c r="R64" s="53">
        <v>256</v>
      </c>
      <c r="S64" s="76">
        <v>2.3810497999999999E-2</v>
      </c>
      <c r="T64" s="138">
        <v>0.99991626</v>
      </c>
    </row>
    <row r="65" spans="5:20">
      <c r="E65" s="130">
        <v>2.8656000000000001E-2</v>
      </c>
      <c r="F65" s="77">
        <v>0.88170000000000004</v>
      </c>
      <c r="G65" s="75">
        <v>8.6999999999999993</v>
      </c>
      <c r="H65" s="88">
        <v>0.99981624000000002</v>
      </c>
      <c r="I65" s="77">
        <v>0.99852717000000002</v>
      </c>
      <c r="J65" s="60">
        <v>64.876000000000005</v>
      </c>
      <c r="O65" s="53">
        <v>257</v>
      </c>
      <c r="P65" s="77">
        <v>0.16422300000000001</v>
      </c>
      <c r="Q65" s="77">
        <v>0.99956699999999998</v>
      </c>
      <c r="R65" s="53">
        <v>257</v>
      </c>
      <c r="S65" s="76">
        <v>2.4182110999999999E-2</v>
      </c>
      <c r="T65" s="138">
        <v>0.99991110000000005</v>
      </c>
    </row>
    <row r="66" spans="5:20">
      <c r="E66" s="130">
        <v>2.9086999999999998E-2</v>
      </c>
      <c r="F66" s="77">
        <v>0.88307999999999998</v>
      </c>
      <c r="G66" s="75">
        <v>8.8000000000000007</v>
      </c>
      <c r="H66" s="88">
        <v>0.99981403000000002</v>
      </c>
      <c r="I66" s="77">
        <v>0.99851009999999996</v>
      </c>
      <c r="J66" s="60">
        <v>64.876999999999995</v>
      </c>
      <c r="O66" s="53">
        <v>258</v>
      </c>
      <c r="P66" s="77">
        <v>0.166405</v>
      </c>
      <c r="Q66" s="77">
        <v>0.99953700000000001</v>
      </c>
      <c r="R66" s="53">
        <v>258</v>
      </c>
      <c r="S66" s="76">
        <v>2.4557631E-2</v>
      </c>
      <c r="T66" s="138">
        <v>0.99990570000000001</v>
      </c>
    </row>
    <row r="67" spans="5:20">
      <c r="E67" s="130">
        <v>2.9520000000000001E-2</v>
      </c>
      <c r="F67" s="77">
        <v>0.88444</v>
      </c>
      <c r="G67" s="75">
        <v>8.9</v>
      </c>
      <c r="H67" s="88">
        <v>0.99981176999999999</v>
      </c>
      <c r="I67" s="77">
        <v>0.99849310000000002</v>
      </c>
      <c r="J67" s="60">
        <v>64.878</v>
      </c>
      <c r="O67" s="53">
        <v>259</v>
      </c>
      <c r="P67" s="77">
        <v>0.16861400000000001</v>
      </c>
      <c r="Q67" s="77">
        <v>0.99950499999999998</v>
      </c>
      <c r="R67" s="53">
        <v>259</v>
      </c>
      <c r="S67" s="76">
        <v>2.4937093E-2</v>
      </c>
      <c r="T67" s="138">
        <v>0.99990003999999999</v>
      </c>
    </row>
    <row r="68" spans="5:20">
      <c r="E68" s="130">
        <v>2.9954999999999999E-2</v>
      </c>
      <c r="F68" s="77">
        <v>0.88575999999999999</v>
      </c>
      <c r="G68" s="75">
        <v>9</v>
      </c>
      <c r="H68" s="88">
        <v>0.99980955999999999</v>
      </c>
      <c r="I68" s="77">
        <v>0.99847596999999999</v>
      </c>
      <c r="J68" s="60">
        <v>64.879000000000005</v>
      </c>
      <c r="O68" s="53">
        <v>260</v>
      </c>
      <c r="P68" s="77">
        <v>0.170851</v>
      </c>
      <c r="Q68" s="77">
        <v>0.99947200000000003</v>
      </c>
      <c r="R68" s="53">
        <v>260</v>
      </c>
      <c r="S68" s="76">
        <v>2.5320519999999999E-2</v>
      </c>
      <c r="T68" s="138">
        <v>0.99989399999999995</v>
      </c>
    </row>
    <row r="69" spans="5:20">
      <c r="E69" s="130">
        <v>3.0391999999999999E-2</v>
      </c>
      <c r="F69" s="77">
        <v>0.88705999999999996</v>
      </c>
      <c r="G69" s="75">
        <v>9.1</v>
      </c>
      <c r="H69" s="88">
        <v>0.99980736000000003</v>
      </c>
      <c r="I69" s="77">
        <v>0.99845890000000004</v>
      </c>
      <c r="J69" s="60">
        <v>64.88</v>
      </c>
      <c r="O69" s="53">
        <v>261</v>
      </c>
      <c r="P69" s="77">
        <v>0.17311699999999999</v>
      </c>
      <c r="Q69" s="77">
        <v>0.99943599999999999</v>
      </c>
      <c r="R69" s="53">
        <v>261</v>
      </c>
      <c r="S69" s="76">
        <v>2.5707946999999998E-2</v>
      </c>
      <c r="T69" s="138">
        <v>0.99988770000000005</v>
      </c>
    </row>
    <row r="70" spans="5:20">
      <c r="E70" s="130">
        <v>3.083E-2</v>
      </c>
      <c r="F70" s="77">
        <v>0.88832999999999995</v>
      </c>
      <c r="G70" s="75">
        <v>9.1999999999999993</v>
      </c>
      <c r="H70" s="88">
        <v>0.9998051</v>
      </c>
      <c r="I70" s="77">
        <v>0.99844189999999999</v>
      </c>
      <c r="J70" s="60">
        <v>64.881</v>
      </c>
      <c r="O70" s="53">
        <v>262</v>
      </c>
      <c r="P70" s="77">
        <v>0.17541100000000001</v>
      </c>
      <c r="Q70" s="77">
        <v>0.99939699999999998</v>
      </c>
      <c r="R70" s="53">
        <v>262</v>
      </c>
      <c r="S70" s="76">
        <v>2.6099399999999998E-2</v>
      </c>
      <c r="T70" s="138">
        <v>0.99988100000000002</v>
      </c>
    </row>
    <row r="71" spans="5:20">
      <c r="E71" s="130">
        <v>3.1271E-2</v>
      </c>
      <c r="F71" s="77">
        <v>0.88956999999999997</v>
      </c>
      <c r="G71" s="75">
        <v>9.3000000000000007</v>
      </c>
      <c r="H71" s="88">
        <v>0.99980290000000005</v>
      </c>
      <c r="I71" s="77">
        <v>0.9984248</v>
      </c>
      <c r="J71" s="60">
        <v>64.882000000000005</v>
      </c>
      <c r="O71" s="53">
        <v>263</v>
      </c>
      <c r="P71" s="77">
        <v>0.177735</v>
      </c>
      <c r="Q71" s="77">
        <v>0.99935700000000005</v>
      </c>
      <c r="R71" s="53">
        <v>263</v>
      </c>
      <c r="S71" s="76">
        <v>2.6494910999999999E-2</v>
      </c>
      <c r="T71" s="138">
        <v>0.99987406000000001</v>
      </c>
    </row>
    <row r="72" spans="5:20">
      <c r="E72" s="130">
        <v>3.1712999999999998E-2</v>
      </c>
      <c r="F72" s="77">
        <v>0.89078999999999997</v>
      </c>
      <c r="G72" s="75">
        <v>9.4</v>
      </c>
      <c r="H72" s="88">
        <v>0.99980060000000004</v>
      </c>
      <c r="I72" s="77">
        <v>0.99840779999999996</v>
      </c>
      <c r="J72" s="60">
        <v>64.882999999999996</v>
      </c>
      <c r="O72" s="53">
        <v>264</v>
      </c>
      <c r="P72" s="77">
        <v>0.180089</v>
      </c>
      <c r="Q72" s="77">
        <v>0.99931300000000001</v>
      </c>
      <c r="R72" s="53">
        <v>264</v>
      </c>
      <c r="S72" s="76">
        <v>2.689451E-2</v>
      </c>
      <c r="T72" s="138">
        <v>0.99986666000000002</v>
      </c>
    </row>
    <row r="73" spans="5:20">
      <c r="E73" s="130">
        <v>3.2156999999999998E-2</v>
      </c>
      <c r="F73" s="77">
        <v>0.89197000000000004</v>
      </c>
      <c r="G73" s="75">
        <v>9.5</v>
      </c>
      <c r="H73" s="88">
        <v>0.99979836</v>
      </c>
      <c r="I73" s="77">
        <v>0.99839069999999996</v>
      </c>
      <c r="J73" s="60">
        <v>64.884</v>
      </c>
      <c r="O73" s="53">
        <v>265</v>
      </c>
      <c r="P73" s="77">
        <v>0.182473</v>
      </c>
      <c r="Q73" s="77">
        <v>0.99926700000000002</v>
      </c>
      <c r="R73" s="53">
        <v>265</v>
      </c>
      <c r="S73" s="76">
        <v>2.7298229E-2</v>
      </c>
      <c r="T73" s="138">
        <v>0.99985889999999999</v>
      </c>
    </row>
    <row r="74" spans="5:20">
      <c r="E74" s="130">
        <v>3.2601999999999999E-2</v>
      </c>
      <c r="F74" s="77">
        <v>0.89314000000000004</v>
      </c>
      <c r="G74" s="75">
        <v>9.6</v>
      </c>
      <c r="H74" s="88">
        <v>0.99979614999999999</v>
      </c>
      <c r="I74" s="77">
        <v>0.99837359999999997</v>
      </c>
      <c r="J74" s="60">
        <v>64.885000000000005</v>
      </c>
      <c r="O74" s="53">
        <v>266</v>
      </c>
      <c r="P74" s="77">
        <v>0.184889</v>
      </c>
      <c r="Q74" s="77">
        <v>0.99921800000000005</v>
      </c>
      <c r="R74" s="53">
        <v>266</v>
      </c>
      <c r="S74" s="76">
        <v>2.7706100000000001E-2</v>
      </c>
      <c r="T74" s="138">
        <v>0.99985080000000004</v>
      </c>
    </row>
    <row r="75" spans="5:20">
      <c r="E75" s="130">
        <v>3.3050000000000003E-2</v>
      </c>
      <c r="F75" s="77">
        <v>0.89427999999999996</v>
      </c>
      <c r="G75" s="75">
        <v>9.6999999999999993</v>
      </c>
      <c r="H75" s="88">
        <v>0.99979390000000001</v>
      </c>
      <c r="I75" s="77">
        <v>0.99835660000000004</v>
      </c>
      <c r="J75" s="60">
        <v>64.885999999999996</v>
      </c>
      <c r="O75" s="53">
        <v>267</v>
      </c>
      <c r="P75" s="77">
        <v>0.187337</v>
      </c>
      <c r="Q75" s="77">
        <v>0.999166</v>
      </c>
      <c r="R75" s="53">
        <v>267</v>
      </c>
      <c r="S75" s="76">
        <v>2.8118152E-2</v>
      </c>
      <c r="T75" s="138">
        <v>0.99984220000000001</v>
      </c>
    </row>
    <row r="76" spans="5:20">
      <c r="E76" s="130">
        <v>3.3500000000000002E-2</v>
      </c>
      <c r="F76" s="77">
        <v>0.89539999999999997</v>
      </c>
      <c r="G76" s="75">
        <v>9.8000000000000007</v>
      </c>
      <c r="H76" s="88">
        <v>0.9997916</v>
      </c>
      <c r="I76" s="77">
        <v>0.99833950000000005</v>
      </c>
      <c r="J76" s="60">
        <v>64.887</v>
      </c>
      <c r="O76" s="53">
        <v>268</v>
      </c>
      <c r="P76" s="77">
        <v>0.18981700000000001</v>
      </c>
      <c r="Q76" s="77">
        <v>0.99911000000000005</v>
      </c>
      <c r="R76" s="53">
        <v>268</v>
      </c>
      <c r="S76" s="76">
        <v>2.8534420000000001E-2</v>
      </c>
      <c r="T76" s="138">
        <v>0.99983319999999998</v>
      </c>
    </row>
    <row r="77" spans="5:20">
      <c r="E77" s="130">
        <v>3.3951000000000002E-2</v>
      </c>
      <c r="F77" s="77">
        <v>0.89649000000000001</v>
      </c>
      <c r="G77" s="75">
        <v>9.9</v>
      </c>
      <c r="H77" s="88">
        <v>0.99978940000000005</v>
      </c>
      <c r="I77" s="77">
        <v>0.99832240000000005</v>
      </c>
      <c r="J77" s="60">
        <v>64.888000000000005</v>
      </c>
      <c r="O77" s="53">
        <v>269</v>
      </c>
      <c r="P77" s="77">
        <v>0.192331</v>
      </c>
      <c r="Q77" s="77">
        <v>0.99905100000000002</v>
      </c>
      <c r="R77" s="53">
        <v>269</v>
      </c>
      <c r="S77" s="76">
        <v>2.8954938E-2</v>
      </c>
      <c r="T77" s="138">
        <v>0.99982375000000001</v>
      </c>
    </row>
    <row r="78" spans="5:20">
      <c r="E78" s="130">
        <v>3.4404999999999998E-2</v>
      </c>
      <c r="F78" s="77">
        <v>0.89756999999999998</v>
      </c>
      <c r="G78" s="75">
        <v>10</v>
      </c>
      <c r="H78" s="88">
        <v>0.99978714999999996</v>
      </c>
      <c r="I78" s="77">
        <v>0.99830540000000001</v>
      </c>
      <c r="J78" s="60">
        <v>64.888999999999996</v>
      </c>
      <c r="O78" s="53">
        <v>270</v>
      </c>
      <c r="P78" s="77">
        <v>0.19488</v>
      </c>
      <c r="Q78" s="77">
        <v>0.99898799999999999</v>
      </c>
      <c r="R78" s="53">
        <v>270</v>
      </c>
      <c r="S78" s="76">
        <v>2.9379737E-2</v>
      </c>
      <c r="T78" s="138">
        <v>0.99981379999999997</v>
      </c>
    </row>
    <row r="79" spans="5:20">
      <c r="E79" s="130">
        <v>3.4860000000000002E-2</v>
      </c>
      <c r="F79" s="77">
        <v>0.89861999999999997</v>
      </c>
      <c r="G79" s="75">
        <v>10.1</v>
      </c>
      <c r="H79" s="88">
        <v>0.99978489999999998</v>
      </c>
      <c r="I79" s="77">
        <v>0.99828830000000002</v>
      </c>
      <c r="J79" s="60">
        <v>64.89</v>
      </c>
      <c r="O79" s="53">
        <v>271</v>
      </c>
      <c r="P79" s="77">
        <v>0.197463</v>
      </c>
      <c r="Q79" s="77">
        <v>0.99892099999999995</v>
      </c>
      <c r="R79" s="53">
        <v>271</v>
      </c>
      <c r="S79" s="76">
        <v>2.9808851000000001E-2</v>
      </c>
      <c r="T79" s="138">
        <v>0.99980336000000003</v>
      </c>
    </row>
    <row r="80" spans="5:20">
      <c r="E80" s="130">
        <v>3.5317000000000001E-2</v>
      </c>
      <c r="F80" s="77">
        <v>0.89964999999999995</v>
      </c>
      <c r="G80" s="75">
        <v>10.199999999999999</v>
      </c>
      <c r="H80" s="88">
        <v>0.99978259999999997</v>
      </c>
      <c r="I80" s="77">
        <v>0.99827120000000003</v>
      </c>
      <c r="J80" s="60">
        <v>64.891000000000005</v>
      </c>
      <c r="O80" s="53">
        <v>272</v>
      </c>
      <c r="P80" s="77">
        <v>0.20008200000000001</v>
      </c>
      <c r="Q80" s="77">
        <v>0.99884899999999999</v>
      </c>
      <c r="R80" s="53">
        <v>272</v>
      </c>
      <c r="S80" s="76">
        <v>3.0242314999999999E-2</v>
      </c>
      <c r="T80" s="138">
        <v>0.99979245999999999</v>
      </c>
    </row>
    <row r="81" spans="5:20">
      <c r="E81" s="130">
        <v>3.5776000000000002E-2</v>
      </c>
      <c r="F81" s="77">
        <v>0.90066000000000002</v>
      </c>
      <c r="G81" s="75">
        <v>10.3</v>
      </c>
      <c r="H81" s="88">
        <v>0.99978036000000003</v>
      </c>
      <c r="I81" s="77">
        <v>0.99825419999999998</v>
      </c>
      <c r="J81" s="60">
        <v>64.891999999999996</v>
      </c>
      <c r="O81" s="53">
        <v>273</v>
      </c>
      <c r="P81" s="77">
        <v>0.202737</v>
      </c>
      <c r="Q81" s="77">
        <v>0.99877300000000002</v>
      </c>
      <c r="R81" s="53">
        <v>273</v>
      </c>
      <c r="S81" s="76">
        <v>3.0680164999999999E-2</v>
      </c>
      <c r="T81" s="138">
        <v>0.99978095</v>
      </c>
    </row>
    <row r="82" spans="5:20">
      <c r="E82" s="130">
        <v>3.6237999999999999E-2</v>
      </c>
      <c r="F82" s="77">
        <v>0.90164999999999995</v>
      </c>
      <c r="G82" s="75">
        <v>10.4</v>
      </c>
      <c r="H82" s="88">
        <v>0.9997781</v>
      </c>
      <c r="I82" s="77">
        <v>0.99823709999999999</v>
      </c>
      <c r="J82" s="60">
        <v>64.893000000000001</v>
      </c>
      <c r="O82" s="53">
        <v>274</v>
      </c>
      <c r="P82" s="77">
        <v>0.20543</v>
      </c>
      <c r="Q82" s="77">
        <v>0.99869200000000002</v>
      </c>
      <c r="R82" s="53">
        <v>274</v>
      </c>
      <c r="S82" s="76">
        <v>3.1122433000000001E-2</v>
      </c>
      <c r="T82" s="138">
        <v>0.99976885000000004</v>
      </c>
    </row>
    <row r="83" spans="5:20">
      <c r="E83" s="130">
        <v>3.6700999999999998E-2</v>
      </c>
      <c r="F83" s="77">
        <v>0.90263000000000004</v>
      </c>
      <c r="G83" s="75">
        <v>10.5</v>
      </c>
      <c r="H83" s="88">
        <v>0.99977579999999999</v>
      </c>
      <c r="I83" s="77">
        <v>0.99822</v>
      </c>
      <c r="J83" s="60">
        <v>64.894000000000005</v>
      </c>
      <c r="O83" s="53">
        <v>275</v>
      </c>
      <c r="P83" s="77">
        <v>0.20816100000000001</v>
      </c>
      <c r="Q83" s="77">
        <v>0.99860599999999999</v>
      </c>
      <c r="R83" s="53">
        <v>275</v>
      </c>
      <c r="S83" s="76">
        <v>3.1569157E-2</v>
      </c>
      <c r="T83" s="138">
        <v>0.99975619999999998</v>
      </c>
    </row>
    <row r="84" spans="5:20">
      <c r="E84" s="130">
        <v>3.7165999999999998E-2</v>
      </c>
      <c r="F84" s="77">
        <v>0.90358000000000005</v>
      </c>
      <c r="G84" s="75">
        <v>10.6</v>
      </c>
      <c r="H84" s="88">
        <v>0.99977355999999995</v>
      </c>
      <c r="I84" s="77">
        <v>0.9982029</v>
      </c>
      <c r="J84" s="60">
        <v>64.894999999999996</v>
      </c>
      <c r="O84" s="53">
        <v>276</v>
      </c>
      <c r="P84" s="77">
        <v>0.21093200000000001</v>
      </c>
      <c r="Q84" s="77">
        <v>0.99851500000000004</v>
      </c>
      <c r="R84" s="53">
        <v>276</v>
      </c>
      <c r="S84" s="76">
        <v>3.2020374999999997E-2</v>
      </c>
      <c r="T84" s="138">
        <v>0.99974300000000005</v>
      </c>
    </row>
    <row r="85" spans="5:20">
      <c r="E85" s="130">
        <v>3.7634000000000001E-2</v>
      </c>
      <c r="F85" s="77">
        <v>0.90451999999999999</v>
      </c>
      <c r="G85" s="75">
        <v>10.7</v>
      </c>
      <c r="H85" s="88">
        <v>0.99977130000000003</v>
      </c>
      <c r="I85" s="77">
        <v>0.99818589999999996</v>
      </c>
      <c r="J85" s="60">
        <v>64.896000000000001</v>
      </c>
      <c r="O85" s="53">
        <v>277</v>
      </c>
      <c r="P85" s="77">
        <v>0.21374299999999999</v>
      </c>
      <c r="Q85" s="77">
        <v>0.998417</v>
      </c>
      <c r="R85" s="53">
        <v>277</v>
      </c>
      <c r="S85" s="76">
        <v>3.2476123000000003E-2</v>
      </c>
      <c r="T85" s="138">
        <v>0.99972910000000004</v>
      </c>
    </row>
    <row r="86" spans="5:20">
      <c r="E86" s="130">
        <v>3.8102999999999998E-2</v>
      </c>
      <c r="F86" s="77">
        <v>0.90544000000000002</v>
      </c>
      <c r="G86" s="75">
        <v>10.8</v>
      </c>
      <c r="H86" s="88">
        <v>0.99976902999999995</v>
      </c>
      <c r="I86" s="77">
        <v>0.99816879999999997</v>
      </c>
      <c r="J86" s="60">
        <v>64.897000000000006</v>
      </c>
      <c r="O86" s="53">
        <v>278</v>
      </c>
      <c r="P86" s="77">
        <v>0.21659500000000001</v>
      </c>
      <c r="Q86" s="77">
        <v>0.99831300000000001</v>
      </c>
      <c r="R86" s="53">
        <v>278</v>
      </c>
      <c r="S86" s="76">
        <v>3.2936439999999997E-2</v>
      </c>
      <c r="T86" s="138">
        <v>0.99971449999999995</v>
      </c>
    </row>
    <row r="87" spans="5:20">
      <c r="E87" s="130">
        <v>3.8574999999999998E-2</v>
      </c>
      <c r="F87" s="77">
        <v>0.90634000000000003</v>
      </c>
      <c r="G87" s="75">
        <v>10.9</v>
      </c>
      <c r="H87" s="88">
        <v>0.99976670000000001</v>
      </c>
      <c r="I87" s="77">
        <v>0.99815169999999998</v>
      </c>
      <c r="J87" s="60">
        <v>64.897999999999996</v>
      </c>
      <c r="O87" s="53">
        <v>279</v>
      </c>
      <c r="P87" s="77">
        <v>0.21948899999999999</v>
      </c>
      <c r="Q87" s="77">
        <v>0.99820200000000003</v>
      </c>
      <c r="R87" s="53">
        <v>279</v>
      </c>
      <c r="S87" s="76">
        <v>3.3401359999999998E-2</v>
      </c>
      <c r="T87" s="138">
        <v>0.99969923000000005</v>
      </c>
    </row>
    <row r="88" spans="5:20">
      <c r="E88" s="130">
        <v>3.9047999999999999E-2</v>
      </c>
      <c r="F88" s="77">
        <v>0.90722999999999998</v>
      </c>
      <c r="G88" s="75">
        <v>11</v>
      </c>
      <c r="H88" s="88">
        <v>0.99976443999999998</v>
      </c>
      <c r="I88" s="77">
        <v>0.99813470000000004</v>
      </c>
      <c r="J88" s="60">
        <v>64.899000000000001</v>
      </c>
      <c r="O88" s="53">
        <v>280</v>
      </c>
      <c r="P88" s="77">
        <v>0.22242700000000001</v>
      </c>
      <c r="Q88" s="77">
        <v>0.99808399999999997</v>
      </c>
      <c r="R88" s="53">
        <v>280</v>
      </c>
      <c r="S88" s="76">
        <v>3.3870919999999999E-2</v>
      </c>
      <c r="T88" s="138">
        <v>0.99968325999999996</v>
      </c>
    </row>
    <row r="89" spans="5:20">
      <c r="E89" s="130">
        <v>3.9523999999999997E-2</v>
      </c>
      <c r="F89" s="77">
        <v>0.90810000000000002</v>
      </c>
      <c r="G89" s="75">
        <v>11.1</v>
      </c>
      <c r="H89" s="88">
        <v>0.99976220000000005</v>
      </c>
      <c r="I89" s="77">
        <v>0.99811757000000001</v>
      </c>
      <c r="J89" s="60">
        <v>64.900000000000006</v>
      </c>
      <c r="O89" s="53">
        <v>281</v>
      </c>
      <c r="P89" s="77">
        <v>0.22541</v>
      </c>
      <c r="Q89" s="77">
        <v>0.99795699999999998</v>
      </c>
      <c r="R89" s="53">
        <v>281</v>
      </c>
      <c r="S89" s="76">
        <v>3.4345170000000001E-2</v>
      </c>
      <c r="T89" s="138">
        <v>0.99966650000000001</v>
      </c>
    </row>
    <row r="90" spans="5:20">
      <c r="E90" s="130">
        <v>4.0002000000000003E-2</v>
      </c>
      <c r="F90" s="77">
        <v>0.90895999999999999</v>
      </c>
      <c r="G90" s="75">
        <v>11.2</v>
      </c>
      <c r="H90" s="88">
        <v>0.99975985000000001</v>
      </c>
      <c r="I90" s="77">
        <v>0.99810049999999995</v>
      </c>
      <c r="J90" s="60">
        <v>64.900999999999996</v>
      </c>
      <c r="O90" s="53">
        <v>282</v>
      </c>
      <c r="P90" s="77">
        <v>0.228439</v>
      </c>
      <c r="Q90" s="77">
        <v>0.99782300000000002</v>
      </c>
      <c r="R90" s="53">
        <v>282</v>
      </c>
      <c r="S90" s="76">
        <v>3.4824136999999998E-2</v>
      </c>
      <c r="T90" s="138">
        <v>0.99964900000000001</v>
      </c>
    </row>
    <row r="91" spans="5:20">
      <c r="E91" s="130">
        <v>4.0481999999999997E-2</v>
      </c>
      <c r="F91" s="77">
        <v>0.90980000000000005</v>
      </c>
      <c r="G91" s="75">
        <v>11.3</v>
      </c>
      <c r="H91" s="88">
        <v>0.99975760000000002</v>
      </c>
      <c r="I91" s="77">
        <v>0.99808339999999995</v>
      </c>
      <c r="J91" s="60">
        <v>64.902000000000001</v>
      </c>
      <c r="O91" s="53">
        <v>283</v>
      </c>
      <c r="P91" s="77">
        <v>0.231514</v>
      </c>
      <c r="Q91" s="77">
        <v>0.99768000000000001</v>
      </c>
      <c r="R91" s="53">
        <v>283</v>
      </c>
      <c r="S91" s="76">
        <v>3.5307869999999998E-2</v>
      </c>
      <c r="T91" s="138">
        <v>0.99963062999999996</v>
      </c>
    </row>
    <row r="92" spans="5:20">
      <c r="E92" s="130">
        <v>4.0964E-2</v>
      </c>
      <c r="F92" s="77">
        <v>0.91061999999999999</v>
      </c>
      <c r="G92" s="75">
        <v>11.4</v>
      </c>
      <c r="H92" s="88">
        <v>0.99975530000000001</v>
      </c>
      <c r="I92" s="77">
        <v>0.99806636999999998</v>
      </c>
      <c r="J92" s="60">
        <v>64.903000000000006</v>
      </c>
      <c r="O92" s="53">
        <v>284</v>
      </c>
      <c r="P92" s="77">
        <v>0.23463899999999999</v>
      </c>
      <c r="Q92" s="77">
        <v>0.99752700000000005</v>
      </c>
      <c r="R92" s="53">
        <v>284</v>
      </c>
      <c r="S92" s="76">
        <v>3.5796408000000002E-2</v>
      </c>
      <c r="T92" s="138">
        <v>0.99961144000000002</v>
      </c>
    </row>
    <row r="93" spans="5:20">
      <c r="E93" s="130">
        <v>4.1447999999999999E-2</v>
      </c>
      <c r="F93" s="77">
        <v>0.91144000000000003</v>
      </c>
      <c r="G93" s="75">
        <v>11.5</v>
      </c>
      <c r="H93" s="88">
        <v>0.999753</v>
      </c>
      <c r="I93" s="77">
        <v>0.99804926000000005</v>
      </c>
      <c r="J93" s="60">
        <v>64.903999999999996</v>
      </c>
      <c r="O93" s="53">
        <v>285</v>
      </c>
      <c r="P93" s="77">
        <v>0.237813</v>
      </c>
      <c r="Q93" s="77">
        <v>0.99736400000000003</v>
      </c>
      <c r="R93" s="53">
        <v>285</v>
      </c>
      <c r="S93" s="76">
        <v>3.6289793000000001E-2</v>
      </c>
      <c r="T93" s="138">
        <v>0.99959134999999999</v>
      </c>
    </row>
    <row r="94" spans="5:20">
      <c r="E94" s="130">
        <v>4.1935E-2</v>
      </c>
      <c r="F94" s="77">
        <v>0.91222999999999999</v>
      </c>
      <c r="G94" s="75">
        <v>11.6</v>
      </c>
      <c r="H94" s="88">
        <v>0.99975073000000003</v>
      </c>
      <c r="I94" s="77">
        <v>0.99803215000000001</v>
      </c>
      <c r="J94" s="60">
        <v>64.905000000000001</v>
      </c>
      <c r="O94" s="53">
        <v>286</v>
      </c>
      <c r="P94" s="77">
        <v>0.241038</v>
      </c>
      <c r="Q94" s="77">
        <v>0.99719000000000002</v>
      </c>
      <c r="R94" s="53">
        <v>286</v>
      </c>
      <c r="S94" s="76">
        <v>3.6788065000000002E-2</v>
      </c>
      <c r="T94" s="138">
        <v>0.99957037000000004</v>
      </c>
    </row>
    <row r="95" spans="5:20">
      <c r="E95" s="130">
        <v>4.2424000000000003E-2</v>
      </c>
      <c r="F95" s="77">
        <v>0.91302000000000005</v>
      </c>
      <c r="G95" s="75">
        <v>11.7</v>
      </c>
      <c r="H95" s="88">
        <v>0.99974839999999998</v>
      </c>
      <c r="I95" s="77">
        <v>0.99801510000000004</v>
      </c>
      <c r="J95" s="60">
        <v>64.906000000000006</v>
      </c>
      <c r="O95" s="53">
        <v>287</v>
      </c>
      <c r="P95" s="77">
        <v>0.24431600000000001</v>
      </c>
      <c r="Q95" s="77">
        <v>0.997004</v>
      </c>
      <c r="R95" s="53">
        <v>287</v>
      </c>
      <c r="S95" s="76">
        <v>3.7291273E-2</v>
      </c>
      <c r="T95" s="138">
        <v>0.9995484</v>
      </c>
    </row>
    <row r="96" spans="5:20">
      <c r="E96" s="130">
        <v>4.2915000000000002E-2</v>
      </c>
      <c r="F96" s="77">
        <v>0.91378999999999999</v>
      </c>
      <c r="G96" s="75">
        <v>11.8</v>
      </c>
      <c r="H96" s="88">
        <v>0.99974613999999995</v>
      </c>
      <c r="I96" s="77">
        <v>0.99799800000000005</v>
      </c>
      <c r="J96" s="60">
        <v>64.906999999999996</v>
      </c>
      <c r="O96" s="53">
        <v>288</v>
      </c>
      <c r="P96" s="77">
        <v>0.24764900000000001</v>
      </c>
      <c r="Q96" s="77">
        <v>0.99680500000000005</v>
      </c>
      <c r="R96" s="53">
        <v>288</v>
      </c>
      <c r="S96" s="76">
        <v>3.7799455000000003E-2</v>
      </c>
      <c r="T96" s="138">
        <v>0.99952540000000001</v>
      </c>
    </row>
    <row r="97" spans="5:20">
      <c r="E97" s="130">
        <v>4.3408000000000002E-2</v>
      </c>
      <c r="F97" s="77">
        <v>0.91454999999999997</v>
      </c>
      <c r="G97" s="75">
        <v>11.9</v>
      </c>
      <c r="H97" s="88">
        <v>0.99974379999999996</v>
      </c>
      <c r="I97" s="77">
        <v>0.99798094999999998</v>
      </c>
      <c r="J97" s="60">
        <v>64.908000000000001</v>
      </c>
      <c r="O97" s="53">
        <v>289</v>
      </c>
      <c r="P97" s="77">
        <v>0.25103799999999998</v>
      </c>
      <c r="Q97" s="77">
        <v>0.99659299999999995</v>
      </c>
      <c r="R97" s="53">
        <v>289</v>
      </c>
      <c r="S97" s="76">
        <v>3.8312659999999998E-2</v>
      </c>
      <c r="T97" s="138">
        <v>0.99950139999999998</v>
      </c>
    </row>
    <row r="98" spans="5:20">
      <c r="E98" s="130">
        <v>4.3902999999999998E-2</v>
      </c>
      <c r="F98" s="77">
        <v>0.91529000000000005</v>
      </c>
      <c r="G98" s="75">
        <v>12</v>
      </c>
      <c r="H98" s="88">
        <v>0.99974149999999995</v>
      </c>
      <c r="I98" s="77">
        <v>0.99796384999999999</v>
      </c>
      <c r="J98" s="60">
        <v>64.909000000000006</v>
      </c>
      <c r="O98" s="53">
        <v>290</v>
      </c>
      <c r="P98" s="77">
        <v>0.25448500000000002</v>
      </c>
      <c r="Q98" s="77">
        <v>0.99636599999999997</v>
      </c>
      <c r="R98" s="53">
        <v>290</v>
      </c>
      <c r="S98" s="76">
        <v>3.883093E-2</v>
      </c>
      <c r="T98" s="138">
        <v>0.99947640000000004</v>
      </c>
    </row>
    <row r="99" spans="5:20">
      <c r="E99" s="130">
        <v>4.4401000000000003E-2</v>
      </c>
      <c r="F99" s="77">
        <v>0.91603000000000001</v>
      </c>
      <c r="G99" s="75">
        <v>12.1</v>
      </c>
      <c r="H99" s="88">
        <v>0.99973920000000005</v>
      </c>
      <c r="I99" s="77">
        <v>0.99794674000000005</v>
      </c>
      <c r="J99" s="60">
        <v>64.91</v>
      </c>
      <c r="O99" s="53">
        <v>291</v>
      </c>
      <c r="P99" s="77">
        <v>0.257992</v>
      </c>
      <c r="Q99" s="77">
        <v>0.99612299999999998</v>
      </c>
      <c r="R99" s="53">
        <v>291</v>
      </c>
      <c r="S99" s="76">
        <v>3.9354313000000002E-2</v>
      </c>
      <c r="T99" s="138">
        <v>0.99945015000000004</v>
      </c>
    </row>
    <row r="100" spans="5:20">
      <c r="E100" s="130">
        <v>4.4901999999999997E-2</v>
      </c>
      <c r="F100" s="77">
        <v>0.91674999999999995</v>
      </c>
      <c r="G100" s="75">
        <v>12.2</v>
      </c>
      <c r="H100" s="88">
        <v>0.99973690000000004</v>
      </c>
      <c r="I100" s="77">
        <v>0.99792970000000003</v>
      </c>
      <c r="J100" s="60">
        <v>64.911000000000001</v>
      </c>
      <c r="O100" s="53">
        <v>292</v>
      </c>
      <c r="P100" s="77">
        <v>0.26156099999999999</v>
      </c>
      <c r="Q100" s="77">
        <v>0.99586300000000005</v>
      </c>
      <c r="R100" s="53">
        <v>292</v>
      </c>
      <c r="S100" s="76">
        <v>3.9882857000000001E-2</v>
      </c>
      <c r="T100" s="138">
        <v>0.99942279999999994</v>
      </c>
    </row>
    <row r="101" spans="5:20">
      <c r="E101" s="130">
        <v>4.5404E-2</v>
      </c>
      <c r="F101" s="77">
        <v>0.91746000000000005</v>
      </c>
      <c r="G101" s="75">
        <v>12.3</v>
      </c>
      <c r="H101" s="88">
        <v>0.99973460000000003</v>
      </c>
      <c r="I101" s="77">
        <v>0.99791260000000004</v>
      </c>
      <c r="J101" s="60">
        <v>64.912000000000006</v>
      </c>
      <c r="O101" s="53">
        <v>293</v>
      </c>
      <c r="P101" s="77">
        <v>0.26519399999999999</v>
      </c>
      <c r="Q101" s="77">
        <v>0.99558400000000002</v>
      </c>
      <c r="R101" s="53">
        <v>293</v>
      </c>
      <c r="S101" s="76">
        <v>4.0416606000000001E-2</v>
      </c>
      <c r="T101" s="138">
        <v>0.99939423999999999</v>
      </c>
    </row>
    <row r="102" spans="5:20">
      <c r="E102" s="130">
        <v>4.5908999999999998E-2</v>
      </c>
      <c r="F102" s="77">
        <v>0.91815999999999998</v>
      </c>
      <c r="G102" s="75">
        <v>12.4</v>
      </c>
      <c r="H102" s="88">
        <v>0.99973226000000004</v>
      </c>
      <c r="I102" s="77">
        <v>0.99789550000000005</v>
      </c>
      <c r="J102" s="60">
        <v>64.912999999999997</v>
      </c>
      <c r="O102" s="53">
        <v>294</v>
      </c>
      <c r="P102" s="77">
        <v>0.26889299999999999</v>
      </c>
      <c r="Q102" s="77">
        <v>0.995286</v>
      </c>
      <c r="R102" s="53">
        <v>294</v>
      </c>
      <c r="S102" s="76">
        <v>4.0955614000000001E-2</v>
      </c>
      <c r="T102" s="138">
        <v>0.99936440000000004</v>
      </c>
    </row>
    <row r="103" spans="5:20">
      <c r="E103" s="130">
        <v>4.6415999999999999E-2</v>
      </c>
      <c r="F103" s="77">
        <v>0.91884999999999994</v>
      </c>
      <c r="G103" s="75">
        <v>12.5</v>
      </c>
      <c r="H103" s="88">
        <v>0.99972992999999999</v>
      </c>
      <c r="I103" s="77">
        <v>0.99787840000000005</v>
      </c>
      <c r="J103" s="60">
        <v>64.914000000000001</v>
      </c>
      <c r="O103" s="53">
        <v>295</v>
      </c>
      <c r="P103" s="77">
        <v>0.27266099999999999</v>
      </c>
      <c r="Q103" s="77">
        <v>0.99496499999999999</v>
      </c>
      <c r="R103" s="53">
        <v>295</v>
      </c>
      <c r="S103" s="76">
        <v>4.1499927999999998E-2</v>
      </c>
      <c r="T103" s="138">
        <v>0.99933326</v>
      </c>
    </row>
    <row r="104" spans="5:20">
      <c r="E104" s="130">
        <v>4.6926000000000002E-2</v>
      </c>
      <c r="F104" s="77">
        <v>0.91952</v>
      </c>
      <c r="G104" s="75">
        <v>12.6</v>
      </c>
      <c r="H104" s="88">
        <v>0.99972760000000005</v>
      </c>
      <c r="I104" s="77">
        <v>0.99786129999999995</v>
      </c>
      <c r="J104" s="60">
        <v>64.915000000000006</v>
      </c>
      <c r="O104" s="53">
        <v>296</v>
      </c>
      <c r="P104" s="77">
        <v>0.27650000000000002</v>
      </c>
      <c r="Q104" s="77">
        <v>0.99462099999999998</v>
      </c>
      <c r="R104" s="53">
        <v>296</v>
      </c>
      <c r="S104" s="76">
        <v>4.2049594000000003E-2</v>
      </c>
      <c r="T104" s="138">
        <v>0.99930079999999999</v>
      </c>
    </row>
    <row r="105" spans="5:20">
      <c r="E105" s="130">
        <v>4.7438000000000001E-2</v>
      </c>
      <c r="F105" s="77">
        <v>0.92018999999999995</v>
      </c>
      <c r="G105" s="75">
        <v>12.7</v>
      </c>
      <c r="H105" s="88">
        <v>0.99972530000000004</v>
      </c>
      <c r="I105" s="77">
        <v>0.99784419999999996</v>
      </c>
      <c r="J105" s="60">
        <v>64.915999999999997</v>
      </c>
      <c r="O105" s="53">
        <v>297</v>
      </c>
      <c r="P105" s="77">
        <v>0.28041300000000002</v>
      </c>
      <c r="Q105" s="77">
        <v>0.994251</v>
      </c>
      <c r="R105" s="53">
        <v>297</v>
      </c>
      <c r="S105" s="76">
        <v>4.2604674000000002E-2</v>
      </c>
      <c r="T105" s="138">
        <v>0.99926685999999998</v>
      </c>
    </row>
    <row r="106" spans="5:20">
      <c r="E106" s="130">
        <v>4.7953000000000003E-2</v>
      </c>
      <c r="F106" s="77">
        <v>0.92083999999999999</v>
      </c>
      <c r="G106" s="75">
        <v>12.8</v>
      </c>
      <c r="H106" s="88">
        <v>0.99972296000000005</v>
      </c>
      <c r="I106" s="77">
        <v>0.99782709999999997</v>
      </c>
      <c r="J106" s="60">
        <v>64.917000000000002</v>
      </c>
      <c r="O106" s="53">
        <v>298</v>
      </c>
      <c r="P106" s="77">
        <v>0.28440300000000002</v>
      </c>
      <c r="Q106" s="77">
        <v>0.99385299999999999</v>
      </c>
      <c r="R106" s="53">
        <v>298</v>
      </c>
      <c r="S106" s="76">
        <v>4.3165206999999997E-2</v>
      </c>
      <c r="T106" s="138">
        <v>0.99923150000000005</v>
      </c>
    </row>
    <row r="107" spans="5:20">
      <c r="E107" s="130">
        <v>4.8469999999999999E-2</v>
      </c>
      <c r="F107" s="77">
        <v>0.92149000000000003</v>
      </c>
      <c r="G107" s="75">
        <v>12.9</v>
      </c>
      <c r="H107" s="88">
        <v>0.99972063</v>
      </c>
      <c r="I107" s="77">
        <v>0.99780999999999997</v>
      </c>
      <c r="J107" s="60">
        <v>64.918000000000006</v>
      </c>
      <c r="O107" s="53">
        <v>299</v>
      </c>
      <c r="P107" s="77">
        <v>0.28847200000000001</v>
      </c>
      <c r="Q107" s="77">
        <v>0.993425</v>
      </c>
      <c r="R107" s="53">
        <v>299</v>
      </c>
      <c r="S107" s="76">
        <v>4.3731257000000003E-2</v>
      </c>
      <c r="T107" s="138">
        <v>0.99919460000000004</v>
      </c>
    </row>
    <row r="108" spans="5:20">
      <c r="E108" s="130">
        <v>4.8989999999999999E-2</v>
      </c>
      <c r="F108" s="77">
        <v>0.92213000000000001</v>
      </c>
      <c r="G108" s="75">
        <v>13</v>
      </c>
      <c r="H108" s="88">
        <v>0.99971829999999995</v>
      </c>
      <c r="I108" s="77">
        <v>0.99779295999999995</v>
      </c>
      <c r="J108" s="60">
        <v>64.918999999999997</v>
      </c>
      <c r="O108" s="53">
        <v>300</v>
      </c>
      <c r="P108" s="77">
        <v>0.29262500000000002</v>
      </c>
      <c r="Q108" s="77">
        <v>0.99296300000000004</v>
      </c>
      <c r="R108" s="53">
        <v>300</v>
      </c>
      <c r="S108" s="76">
        <v>4.4302873E-2</v>
      </c>
      <c r="T108" s="138">
        <v>0.99915620000000005</v>
      </c>
    </row>
    <row r="109" spans="5:20">
      <c r="E109" s="130">
        <v>4.9512E-2</v>
      </c>
      <c r="F109" s="77">
        <v>0.92274999999999996</v>
      </c>
      <c r="G109" s="75">
        <v>13.1</v>
      </c>
      <c r="H109" s="88">
        <v>0.99971600000000005</v>
      </c>
      <c r="I109" s="77">
        <v>0.99777585000000002</v>
      </c>
      <c r="J109" s="60">
        <v>64.92</v>
      </c>
      <c r="O109" s="53">
        <v>301</v>
      </c>
      <c r="P109" s="77">
        <v>0.29686299999999999</v>
      </c>
      <c r="Q109" s="77">
        <v>0.99246500000000004</v>
      </c>
      <c r="R109" s="53">
        <v>301</v>
      </c>
      <c r="S109" s="76">
        <v>4.4880107000000002E-2</v>
      </c>
      <c r="T109" s="138">
        <v>0.99911609999999995</v>
      </c>
    </row>
    <row r="110" spans="5:20">
      <c r="E110" s="130">
        <v>5.0036999999999998E-2</v>
      </c>
      <c r="F110" s="77">
        <v>0.92337000000000002</v>
      </c>
      <c r="G110" s="75">
        <v>13.2</v>
      </c>
      <c r="H110" s="88">
        <v>0.99971365999999995</v>
      </c>
      <c r="I110" s="77">
        <v>0.99775875000000003</v>
      </c>
      <c r="J110" s="60">
        <v>64.921000000000006</v>
      </c>
      <c r="O110" s="53">
        <v>302</v>
      </c>
      <c r="P110" s="77">
        <v>0.30119200000000002</v>
      </c>
      <c r="Q110" s="77">
        <v>0.991927</v>
      </c>
      <c r="R110" s="53">
        <v>302</v>
      </c>
      <c r="S110" s="76">
        <v>4.546302E-2</v>
      </c>
      <c r="T110" s="138">
        <v>0.99907433999999995</v>
      </c>
    </row>
    <row r="111" spans="5:20">
      <c r="E111" s="130">
        <v>5.0563999999999998E-2</v>
      </c>
      <c r="F111" s="77">
        <v>0.92398000000000002</v>
      </c>
      <c r="G111" s="75">
        <v>13.3</v>
      </c>
      <c r="H111" s="88">
        <v>0.99971133000000001</v>
      </c>
      <c r="I111" s="77">
        <v>0.99774163999999999</v>
      </c>
      <c r="J111" s="60">
        <v>64.921999999999997</v>
      </c>
      <c r="O111" s="53">
        <v>303</v>
      </c>
      <c r="P111" s="77">
        <v>0.30561500000000003</v>
      </c>
      <c r="Q111" s="77">
        <v>0.991344</v>
      </c>
      <c r="R111" s="53">
        <v>303</v>
      </c>
      <c r="S111" s="76">
        <v>4.6051674000000001E-2</v>
      </c>
      <c r="T111" s="138">
        <v>0.99903076999999996</v>
      </c>
    </row>
    <row r="112" spans="5:20">
      <c r="E112" s="130">
        <v>5.1094000000000001E-2</v>
      </c>
      <c r="F112" s="77">
        <v>0.92457</v>
      </c>
      <c r="G112" s="75">
        <v>13.4</v>
      </c>
      <c r="H112" s="88">
        <v>0.99970895000000004</v>
      </c>
      <c r="I112" s="77">
        <v>0.99772453000000005</v>
      </c>
      <c r="J112" s="60">
        <v>64.923000000000002</v>
      </c>
      <c r="O112" s="53">
        <v>304</v>
      </c>
      <c r="P112" s="77">
        <v>0.310137</v>
      </c>
      <c r="Q112" s="77">
        <v>0.99071299999999995</v>
      </c>
      <c r="R112" s="53">
        <v>304</v>
      </c>
      <c r="S112" s="76">
        <v>4.6646114000000002E-2</v>
      </c>
      <c r="T112" s="138">
        <v>0.99898540000000002</v>
      </c>
    </row>
    <row r="113" spans="5:20">
      <c r="E113" s="130">
        <v>5.1626999999999999E-2</v>
      </c>
      <c r="F113" s="77">
        <v>0.92515999999999998</v>
      </c>
      <c r="G113" s="75">
        <v>13.5</v>
      </c>
      <c r="H113" s="88">
        <v>0.9997066</v>
      </c>
      <c r="I113" s="77">
        <v>0.99770740000000002</v>
      </c>
      <c r="J113" s="60">
        <v>64.924000000000007</v>
      </c>
      <c r="O113" s="53">
        <v>305</v>
      </c>
      <c r="P113" s="77">
        <v>0.31476100000000001</v>
      </c>
      <c r="Q113" s="77">
        <v>0.99002800000000002</v>
      </c>
      <c r="R113" s="53">
        <v>305</v>
      </c>
      <c r="S113" s="76">
        <v>4.7246410000000003E-2</v>
      </c>
      <c r="T113" s="138">
        <v>0.99893814000000003</v>
      </c>
    </row>
    <row r="114" spans="5:20">
      <c r="E114" s="130">
        <v>5.2162E-2</v>
      </c>
      <c r="F114" s="77">
        <v>0.92574999999999996</v>
      </c>
      <c r="G114" s="75">
        <v>13.6</v>
      </c>
      <c r="H114" s="88">
        <v>0.99970429999999999</v>
      </c>
      <c r="I114" s="77">
        <v>0.99769030000000003</v>
      </c>
      <c r="J114" s="60">
        <v>64.924999999999997</v>
      </c>
      <c r="O114" s="53">
        <v>306</v>
      </c>
      <c r="P114" s="77">
        <v>0.31949300000000003</v>
      </c>
      <c r="Q114" s="77">
        <v>0.98928400000000005</v>
      </c>
      <c r="R114" s="53">
        <v>306</v>
      </c>
      <c r="S114" s="76">
        <v>4.7852617E-2</v>
      </c>
      <c r="T114" s="138">
        <v>0.99888889999999997</v>
      </c>
    </row>
    <row r="115" spans="5:20">
      <c r="E115" s="130">
        <v>5.2699999999999997E-2</v>
      </c>
      <c r="F115" s="77">
        <v>0.92632000000000003</v>
      </c>
      <c r="G115" s="75">
        <v>13.7</v>
      </c>
      <c r="H115" s="88">
        <v>0.99970190000000003</v>
      </c>
      <c r="I115" s="77">
        <v>0.99767320000000004</v>
      </c>
      <c r="J115" s="60">
        <v>64.926000000000002</v>
      </c>
      <c r="O115" s="53">
        <v>307</v>
      </c>
      <c r="P115" s="77">
        <v>0.32433899999999999</v>
      </c>
      <c r="Q115" s="77">
        <v>0.98847300000000005</v>
      </c>
      <c r="R115" s="53">
        <v>307</v>
      </c>
      <c r="S115" s="76">
        <v>4.8464800000000002E-2</v>
      </c>
      <c r="T115" s="138">
        <v>0.99883765000000002</v>
      </c>
    </row>
    <row r="116" spans="5:20">
      <c r="E116" s="130">
        <v>5.3240999999999997E-2</v>
      </c>
      <c r="F116" s="77">
        <v>0.92688000000000004</v>
      </c>
      <c r="G116" s="75">
        <v>13.8</v>
      </c>
      <c r="H116" s="88">
        <v>0.99969960000000002</v>
      </c>
      <c r="I116" s="77">
        <v>0.99765610000000005</v>
      </c>
      <c r="J116" s="60">
        <v>64.927000000000007</v>
      </c>
      <c r="O116" s="53">
        <v>308</v>
      </c>
      <c r="P116" s="77">
        <v>0.32930300000000001</v>
      </c>
      <c r="Q116" s="77">
        <v>0.98758800000000002</v>
      </c>
      <c r="R116" s="53">
        <v>308</v>
      </c>
      <c r="S116" s="76">
        <v>4.9083017E-2</v>
      </c>
      <c r="T116" s="138">
        <v>0.99878429999999996</v>
      </c>
    </row>
    <row r="117" spans="5:20">
      <c r="E117" s="130">
        <v>5.3783999999999998E-2</v>
      </c>
      <c r="F117" s="77">
        <v>0.92744000000000004</v>
      </c>
      <c r="G117" s="75">
        <v>13.9</v>
      </c>
      <c r="H117" s="88">
        <v>0.99969719999999995</v>
      </c>
      <c r="I117" s="77">
        <v>0.99763906000000002</v>
      </c>
      <c r="J117" s="60">
        <v>64.927999999999997</v>
      </c>
      <c r="O117" s="53">
        <v>309</v>
      </c>
      <c r="P117" s="77">
        <v>0.33439400000000002</v>
      </c>
      <c r="Q117" s="77">
        <v>0.98662000000000005</v>
      </c>
      <c r="R117" s="53">
        <v>309</v>
      </c>
      <c r="S117" s="76">
        <v>4.9707340000000003E-2</v>
      </c>
      <c r="T117" s="138">
        <v>0.99872875000000005</v>
      </c>
    </row>
    <row r="118" spans="5:20">
      <c r="E118" s="130">
        <v>5.4330000000000003E-2</v>
      </c>
      <c r="F118" s="77">
        <v>0.92798999999999998</v>
      </c>
      <c r="G118" s="75">
        <v>14</v>
      </c>
      <c r="H118" s="88">
        <v>0.99969490000000005</v>
      </c>
      <c r="I118" s="77">
        <v>0.99762194999999998</v>
      </c>
      <c r="J118" s="60">
        <v>64.929000000000002</v>
      </c>
      <c r="O118" s="53">
        <v>310</v>
      </c>
      <c r="P118" s="77">
        <v>0.33961599999999997</v>
      </c>
      <c r="Q118" s="77">
        <v>0.98555899999999996</v>
      </c>
      <c r="R118" s="53">
        <v>310</v>
      </c>
      <c r="S118" s="76">
        <v>5.0337825000000003E-2</v>
      </c>
      <c r="T118" s="138">
        <v>0.99867099999999998</v>
      </c>
    </row>
    <row r="119" spans="5:20">
      <c r="E119" s="130">
        <v>5.4878999999999997E-2</v>
      </c>
      <c r="F119" s="77">
        <v>0.92852999999999997</v>
      </c>
      <c r="G119" s="75">
        <v>14.1</v>
      </c>
      <c r="H119" s="88">
        <v>0.99969249999999998</v>
      </c>
      <c r="I119" s="77">
        <v>0.99760484999999999</v>
      </c>
      <c r="J119" s="60">
        <v>64.930000000000007</v>
      </c>
      <c r="O119" s="53">
        <v>311</v>
      </c>
      <c r="P119" s="77">
        <v>0.34497800000000001</v>
      </c>
      <c r="Q119" s="77">
        <v>0.98439299999999996</v>
      </c>
      <c r="R119" s="53">
        <v>311</v>
      </c>
      <c r="S119" s="76">
        <v>5.0974539999999999E-2</v>
      </c>
      <c r="T119" s="138">
        <v>0.99861080000000002</v>
      </c>
    </row>
    <row r="120" spans="5:20">
      <c r="E120" s="130">
        <v>5.5431000000000001E-2</v>
      </c>
      <c r="F120" s="77">
        <v>0.92906</v>
      </c>
      <c r="G120" s="75">
        <v>14.2</v>
      </c>
      <c r="H120" s="88">
        <v>0.99969010000000003</v>
      </c>
      <c r="I120" s="77">
        <v>0.99758773999999995</v>
      </c>
      <c r="J120" s="60">
        <v>64.930999999999997</v>
      </c>
      <c r="O120" s="53">
        <v>312</v>
      </c>
      <c r="P120" s="77">
        <v>0.35048800000000002</v>
      </c>
      <c r="Q120" s="77">
        <v>0.98310799999999998</v>
      </c>
      <c r="R120" s="53">
        <v>312</v>
      </c>
      <c r="S120" s="76">
        <v>5.161756E-2</v>
      </c>
      <c r="T120" s="138">
        <v>0.9985482</v>
      </c>
    </row>
    <row r="121" spans="5:20">
      <c r="E121" s="130">
        <v>5.5985E-2</v>
      </c>
      <c r="F121" s="77">
        <v>0.92959000000000003</v>
      </c>
      <c r="G121" s="75">
        <v>14.3</v>
      </c>
      <c r="H121" s="88">
        <v>0.99968780000000002</v>
      </c>
      <c r="I121" s="77">
        <v>0.99757063000000001</v>
      </c>
      <c r="J121" s="60">
        <v>64.932000000000002</v>
      </c>
      <c r="O121" s="53">
        <v>313</v>
      </c>
      <c r="P121" s="77">
        <v>0.35615599999999997</v>
      </c>
      <c r="Q121" s="77">
        <v>0.98168900000000003</v>
      </c>
      <c r="R121" s="53">
        <v>313</v>
      </c>
      <c r="S121" s="76">
        <v>5.2266948000000001E-2</v>
      </c>
      <c r="T121" s="138">
        <v>0.99848309999999996</v>
      </c>
    </row>
    <row r="122" spans="5:20">
      <c r="E122" s="130">
        <v>5.6543000000000003E-2</v>
      </c>
      <c r="F122" s="77">
        <v>0.93010999999999999</v>
      </c>
      <c r="G122" s="75">
        <v>14.4</v>
      </c>
      <c r="H122" s="88">
        <v>0.99968539999999995</v>
      </c>
      <c r="I122" s="77">
        <v>0.99755347000000005</v>
      </c>
      <c r="J122" s="60">
        <v>64.933000000000007</v>
      </c>
      <c r="O122" s="53">
        <v>314</v>
      </c>
      <c r="P122" s="77">
        <v>0.36198999999999998</v>
      </c>
      <c r="Q122" s="77">
        <v>0.98011700000000002</v>
      </c>
      <c r="R122" s="53">
        <v>314</v>
      </c>
      <c r="S122" s="76">
        <v>5.2922773999999999E-2</v>
      </c>
      <c r="T122" s="138">
        <v>0.99841539999999995</v>
      </c>
    </row>
    <row r="123" spans="5:20">
      <c r="E123" s="130">
        <v>5.7103000000000001E-2</v>
      </c>
      <c r="F123" s="77">
        <v>0.93062</v>
      </c>
      <c r="G123" s="75">
        <v>14.5</v>
      </c>
      <c r="H123" s="88">
        <v>0.99968299999999999</v>
      </c>
      <c r="I123" s="77">
        <v>0.99753636000000001</v>
      </c>
      <c r="J123" s="60">
        <v>64.933999999999997</v>
      </c>
      <c r="O123" s="53">
        <v>315</v>
      </c>
      <c r="P123" s="77">
        <v>0.368002</v>
      </c>
      <c r="Q123" s="77">
        <v>0.97836900000000004</v>
      </c>
      <c r="R123" s="53">
        <v>315</v>
      </c>
      <c r="S123" s="76">
        <v>5.3585111999999997E-2</v>
      </c>
      <c r="T123" s="138">
        <v>0.99834500000000004</v>
      </c>
    </row>
    <row r="124" spans="5:20">
      <c r="E124" s="130">
        <v>5.7666000000000002E-2</v>
      </c>
      <c r="F124" s="77">
        <v>0.93113000000000001</v>
      </c>
      <c r="G124" s="75">
        <v>14.6</v>
      </c>
      <c r="H124" s="88">
        <v>0.99968064000000001</v>
      </c>
      <c r="I124" s="77">
        <v>0.99751924999999997</v>
      </c>
      <c r="J124" s="60">
        <v>64.935000000000002</v>
      </c>
      <c r="O124" s="53">
        <v>316</v>
      </c>
      <c r="P124" s="77">
        <v>0.37420500000000001</v>
      </c>
      <c r="Q124" s="77">
        <v>0.97641900000000004</v>
      </c>
      <c r="R124" s="53">
        <v>316</v>
      </c>
      <c r="S124" s="76">
        <v>5.4254035999999999E-2</v>
      </c>
      <c r="T124" s="138">
        <v>0.99827180000000004</v>
      </c>
    </row>
    <row r="125" spans="5:20">
      <c r="E125" s="130">
        <v>5.8233E-2</v>
      </c>
      <c r="F125" s="77">
        <v>0.93162</v>
      </c>
      <c r="G125" s="75">
        <v>14.7</v>
      </c>
      <c r="H125" s="88">
        <v>0.99967830000000002</v>
      </c>
      <c r="I125" s="77">
        <v>0.99750214999999998</v>
      </c>
      <c r="J125" s="60">
        <v>64.936000000000007</v>
      </c>
      <c r="O125" s="53">
        <v>317</v>
      </c>
      <c r="P125" s="77">
        <v>0.38061099999999998</v>
      </c>
      <c r="Q125" s="77">
        <v>0.97423800000000005</v>
      </c>
      <c r="R125" s="53">
        <v>317</v>
      </c>
      <c r="S125" s="76">
        <v>5.4929618E-2</v>
      </c>
      <c r="T125" s="138">
        <v>0.99819577000000004</v>
      </c>
    </row>
    <row r="126" spans="5:20">
      <c r="E126" s="130">
        <v>5.8802E-2</v>
      </c>
      <c r="F126" s="77">
        <v>0.93211999999999995</v>
      </c>
      <c r="G126" s="75">
        <v>14.8</v>
      </c>
      <c r="H126" s="88">
        <v>0.99967589999999995</v>
      </c>
      <c r="I126" s="77">
        <v>0.99748504000000004</v>
      </c>
      <c r="J126" s="60">
        <v>64.936999999999998</v>
      </c>
      <c r="O126" s="53">
        <v>318</v>
      </c>
      <c r="P126" s="77">
        <v>0.38723600000000002</v>
      </c>
      <c r="Q126" s="77">
        <v>0.97179000000000004</v>
      </c>
      <c r="R126" s="53">
        <v>318</v>
      </c>
      <c r="S126" s="76">
        <v>5.5611939999999999E-2</v>
      </c>
      <c r="T126" s="138">
        <v>0.99811669999999997</v>
      </c>
    </row>
    <row r="127" spans="5:20">
      <c r="E127" s="130">
        <v>5.9374000000000003E-2</v>
      </c>
      <c r="F127" s="77">
        <v>0.93259999999999998</v>
      </c>
      <c r="G127" s="75">
        <v>14.9</v>
      </c>
      <c r="H127" s="88">
        <v>0.99967355000000002</v>
      </c>
      <c r="I127" s="77">
        <v>0.99746794000000005</v>
      </c>
      <c r="J127" s="60">
        <v>64.938000000000002</v>
      </c>
      <c r="O127" s="53">
        <v>319</v>
      </c>
      <c r="P127" s="77">
        <v>0.39409699999999998</v>
      </c>
      <c r="Q127" s="77">
        <v>0.969032</v>
      </c>
      <c r="R127" s="53">
        <v>319</v>
      </c>
      <c r="S127" s="76">
        <v>5.6301072000000001E-2</v>
      </c>
      <c r="T127" s="138">
        <v>0.99803450000000005</v>
      </c>
    </row>
    <row r="128" spans="5:20">
      <c r="E128" s="130">
        <v>5.9949000000000002E-2</v>
      </c>
      <c r="F128" s="77">
        <v>0.93308000000000002</v>
      </c>
      <c r="G128" s="75">
        <v>15</v>
      </c>
      <c r="H128" s="88">
        <v>0.99967116</v>
      </c>
      <c r="I128" s="77">
        <v>0.99745079999999997</v>
      </c>
      <c r="J128" s="60">
        <v>64.938999999999993</v>
      </c>
      <c r="O128" s="53">
        <v>320</v>
      </c>
      <c r="P128" s="77">
        <v>0.40121299999999999</v>
      </c>
      <c r="Q128" s="77">
        <v>0.965916</v>
      </c>
      <c r="R128" s="53">
        <v>320</v>
      </c>
      <c r="S128" s="76">
        <v>5.6997100000000002E-2</v>
      </c>
      <c r="T128" s="138">
        <v>0.99794910000000003</v>
      </c>
    </row>
    <row r="129" spans="5:20">
      <c r="E129" s="130">
        <v>6.0527999999999998E-2</v>
      </c>
      <c r="F129" s="77">
        <v>0.93354999999999999</v>
      </c>
      <c r="G129" s="75">
        <v>15.1</v>
      </c>
      <c r="H129" s="88">
        <v>0.99966880000000002</v>
      </c>
      <c r="I129" s="77">
        <v>0.99743369999999998</v>
      </c>
      <c r="J129" s="60">
        <v>64.94</v>
      </c>
      <c r="O129" s="53">
        <v>321</v>
      </c>
      <c r="P129" s="77">
        <v>0.40860600000000002</v>
      </c>
      <c r="Q129" s="77">
        <v>0.96238800000000002</v>
      </c>
      <c r="R129" s="53">
        <v>321</v>
      </c>
      <c r="S129" s="76">
        <v>5.7700105000000002E-2</v>
      </c>
      <c r="T129" s="138">
        <v>0.99786039999999998</v>
      </c>
    </row>
    <row r="130" spans="5:20">
      <c r="E130" s="130">
        <v>6.1108999999999997E-2</v>
      </c>
      <c r="F130" s="77">
        <v>0.93401999999999996</v>
      </c>
      <c r="G130" s="75">
        <v>15.2</v>
      </c>
      <c r="H130" s="88">
        <v>0.99966639999999996</v>
      </c>
      <c r="I130" s="77">
        <v>0.99741659999999999</v>
      </c>
      <c r="J130" s="60">
        <v>64.941000000000003</v>
      </c>
      <c r="O130" s="53">
        <v>322</v>
      </c>
      <c r="P130" s="77">
        <v>0.41630099999999998</v>
      </c>
      <c r="Q130" s="77">
        <v>0.95838299999999998</v>
      </c>
      <c r="R130" s="53">
        <v>322</v>
      </c>
      <c r="S130" s="76">
        <v>5.8410164000000001E-2</v>
      </c>
      <c r="T130" s="138">
        <v>0.99776830000000005</v>
      </c>
    </row>
    <row r="131" spans="5:20">
      <c r="E131" s="130">
        <v>6.1693999999999999E-2</v>
      </c>
      <c r="F131" s="77">
        <v>0.93447999999999998</v>
      </c>
      <c r="G131" s="75">
        <v>15.3</v>
      </c>
      <c r="H131" s="88">
        <v>0.99966394999999997</v>
      </c>
      <c r="I131" s="77">
        <v>0.99739944999999997</v>
      </c>
      <c r="J131" s="60">
        <v>64.941999999999993</v>
      </c>
      <c r="O131" s="53">
        <v>323</v>
      </c>
      <c r="P131" s="77">
        <v>0.42432599999999998</v>
      </c>
      <c r="Q131" s="77">
        <v>0.95383200000000001</v>
      </c>
      <c r="R131" s="53">
        <v>323</v>
      </c>
      <c r="S131" s="76">
        <v>5.9127369999999999E-2</v>
      </c>
      <c r="T131" s="138">
        <v>0.99767256000000004</v>
      </c>
    </row>
    <row r="132" spans="5:20">
      <c r="E132" s="130">
        <v>6.2281999999999997E-2</v>
      </c>
      <c r="F132" s="77">
        <v>0.93493000000000004</v>
      </c>
      <c r="G132" s="75">
        <v>15.4</v>
      </c>
      <c r="H132" s="88">
        <v>0.99966155999999995</v>
      </c>
      <c r="I132" s="77">
        <v>0.99738234000000003</v>
      </c>
      <c r="J132" s="60">
        <v>64.942999999999998</v>
      </c>
      <c r="O132" s="53">
        <v>324</v>
      </c>
      <c r="P132" s="77">
        <v>0.43271599999999999</v>
      </c>
      <c r="Q132" s="77">
        <v>0.94865999999999995</v>
      </c>
      <c r="R132" s="53">
        <v>324</v>
      </c>
      <c r="S132" s="76">
        <v>5.9851803000000002E-2</v>
      </c>
      <c r="T132" s="138">
        <v>0.99757320000000005</v>
      </c>
    </row>
    <row r="133" spans="5:20">
      <c r="E133" s="130">
        <v>6.2872999999999998E-2</v>
      </c>
      <c r="F133" s="77">
        <v>0.93537999999999999</v>
      </c>
      <c r="G133" s="75">
        <v>15.5</v>
      </c>
      <c r="H133" s="88">
        <v>0.99965919999999997</v>
      </c>
      <c r="I133" s="77">
        <v>0.99736524000000004</v>
      </c>
      <c r="J133" s="60">
        <v>64.944000000000003</v>
      </c>
      <c r="O133" s="53">
        <v>325</v>
      </c>
      <c r="P133" s="77">
        <v>0.44150699999999998</v>
      </c>
      <c r="Q133" s="77">
        <v>0.94278600000000001</v>
      </c>
      <c r="R133" s="53">
        <v>325</v>
      </c>
      <c r="S133" s="76">
        <v>6.0583558000000003E-2</v>
      </c>
      <c r="T133" s="138">
        <v>0.99746999999999997</v>
      </c>
    </row>
    <row r="134" spans="5:20">
      <c r="E134" s="130">
        <v>6.3466999999999996E-2</v>
      </c>
      <c r="F134" s="77">
        <v>0.93581999999999999</v>
      </c>
      <c r="G134" s="75">
        <v>15.6</v>
      </c>
      <c r="H134" s="88">
        <v>0.99965680000000001</v>
      </c>
      <c r="I134" s="77">
        <v>0.99734809999999996</v>
      </c>
      <c r="J134" s="60">
        <v>64.944999999999993</v>
      </c>
      <c r="O134" s="53">
        <v>326</v>
      </c>
      <c r="P134" s="77">
        <v>0.45074799999999998</v>
      </c>
      <c r="Q134" s="77">
        <v>0.93613000000000002</v>
      </c>
      <c r="R134" s="53">
        <v>326</v>
      </c>
      <c r="S134" s="76">
        <v>6.1322719999999997E-2</v>
      </c>
      <c r="T134" s="138">
        <v>0.997363</v>
      </c>
    </row>
    <row r="135" spans="5:20">
      <c r="E135" s="130">
        <v>6.4064999999999997E-2</v>
      </c>
      <c r="F135" s="77">
        <v>0.93625999999999998</v>
      </c>
      <c r="G135" s="75">
        <v>15.7</v>
      </c>
      <c r="H135" s="88">
        <v>0.99965435000000002</v>
      </c>
      <c r="I135" s="77">
        <v>0.99733095999999999</v>
      </c>
      <c r="J135" s="60">
        <v>64.945999999999998</v>
      </c>
      <c r="O135" s="53">
        <v>327</v>
      </c>
      <c r="P135" s="77">
        <v>0.46049299999999999</v>
      </c>
      <c r="Q135" s="77">
        <v>0.92860900000000002</v>
      </c>
      <c r="R135" s="53">
        <v>327</v>
      </c>
      <c r="S135" s="76">
        <v>6.206938E-2</v>
      </c>
      <c r="T135" s="138">
        <v>0.99725180000000002</v>
      </c>
    </row>
    <row r="136" spans="5:20">
      <c r="E136" s="130">
        <v>6.4666000000000001E-2</v>
      </c>
      <c r="F136" s="77">
        <v>0.93669000000000002</v>
      </c>
      <c r="G136" s="75">
        <v>15.8</v>
      </c>
      <c r="H136" s="88">
        <v>0.99965196999999995</v>
      </c>
      <c r="I136" s="77">
        <v>0.99731386</v>
      </c>
      <c r="J136" s="60">
        <v>64.947000000000003</v>
      </c>
      <c r="O136" s="53">
        <v>328</v>
      </c>
      <c r="P136" s="77">
        <v>0.47081200000000001</v>
      </c>
      <c r="Q136" s="77">
        <v>0.92013999999999996</v>
      </c>
      <c r="R136" s="53">
        <v>328</v>
      </c>
      <c r="S136" s="76">
        <v>6.282364E-2</v>
      </c>
      <c r="T136" s="138">
        <v>0.99713640000000003</v>
      </c>
    </row>
    <row r="137" spans="5:20">
      <c r="E137" s="130">
        <v>6.5269999999999995E-2</v>
      </c>
      <c r="F137" s="77">
        <v>0.93711999999999995</v>
      </c>
      <c r="G137" s="75">
        <v>15.9</v>
      </c>
      <c r="H137" s="88">
        <v>0.99964960000000003</v>
      </c>
      <c r="I137" s="77">
        <v>0.99729674999999995</v>
      </c>
      <c r="J137" s="60">
        <v>64.947999999999993</v>
      </c>
      <c r="O137" s="53">
        <v>329</v>
      </c>
      <c r="P137" s="77">
        <v>0.48179100000000002</v>
      </c>
      <c r="Q137" s="77">
        <v>0.91063400000000005</v>
      </c>
      <c r="R137" s="53">
        <v>329</v>
      </c>
      <c r="S137" s="76">
        <v>6.3585589999999997E-2</v>
      </c>
      <c r="T137" s="138">
        <v>0.99701669999999998</v>
      </c>
    </row>
    <row r="138" spans="5:20">
      <c r="E138" s="130">
        <v>6.5878000000000006E-2</v>
      </c>
      <c r="F138" s="77">
        <v>0.93754000000000004</v>
      </c>
      <c r="G138" s="75">
        <v>16</v>
      </c>
      <c r="H138" s="88">
        <v>0.99964713999999999</v>
      </c>
      <c r="I138" s="77">
        <v>0.99727964000000002</v>
      </c>
      <c r="J138" s="60">
        <v>64.948999999999998</v>
      </c>
      <c r="O138" s="53">
        <v>330</v>
      </c>
      <c r="P138" s="77">
        <v>0.49354100000000001</v>
      </c>
      <c r="Q138" s="77">
        <v>0.89999300000000004</v>
      </c>
      <c r="R138" s="53">
        <v>330</v>
      </c>
      <c r="S138" s="76">
        <v>6.4355330000000002E-2</v>
      </c>
      <c r="T138" s="138">
        <v>0.99689260000000002</v>
      </c>
    </row>
    <row r="139" spans="5:20">
      <c r="E139" s="130">
        <v>6.6489000000000006E-2</v>
      </c>
      <c r="F139" s="77">
        <v>0.93796000000000002</v>
      </c>
      <c r="G139" s="75">
        <v>16.100000000000001</v>
      </c>
      <c r="H139" s="88">
        <v>0.99964476000000002</v>
      </c>
      <c r="I139" s="77">
        <v>0.99726250000000005</v>
      </c>
      <c r="J139" s="60">
        <v>64.95</v>
      </c>
      <c r="O139" s="53">
        <v>331</v>
      </c>
      <c r="P139" s="77">
        <v>0.50621099999999997</v>
      </c>
      <c r="Q139" s="77">
        <v>0.88808900000000002</v>
      </c>
      <c r="R139" s="53">
        <v>331</v>
      </c>
      <c r="S139" s="76">
        <v>6.5132960000000004E-2</v>
      </c>
      <c r="T139" s="138">
        <v>0.99676370000000003</v>
      </c>
    </row>
    <row r="140" spans="5:20">
      <c r="E140" s="130">
        <v>6.7103999999999997E-2</v>
      </c>
      <c r="F140" s="77">
        <v>0.93837000000000004</v>
      </c>
      <c r="G140" s="75">
        <v>16.2</v>
      </c>
      <c r="H140" s="88">
        <v>0.99964229999999998</v>
      </c>
      <c r="I140" s="77">
        <v>0.99724539999999995</v>
      </c>
      <c r="J140" s="60">
        <v>64.950999999999993</v>
      </c>
      <c r="O140" s="53">
        <v>332</v>
      </c>
      <c r="P140" s="77">
        <v>0.52000400000000002</v>
      </c>
      <c r="Q140" s="77">
        <v>0.87474499999999999</v>
      </c>
      <c r="R140" s="53">
        <v>332</v>
      </c>
      <c r="S140" s="76">
        <v>6.5918589999999999E-2</v>
      </c>
      <c r="T140" s="138">
        <v>0.99663013</v>
      </c>
    </row>
    <row r="141" spans="5:20">
      <c r="E141" s="130">
        <v>6.7722000000000004E-2</v>
      </c>
      <c r="F141" s="77">
        <v>0.93876999999999999</v>
      </c>
      <c r="G141" s="75">
        <v>16.3</v>
      </c>
      <c r="H141" s="88">
        <v>0.99963986999999999</v>
      </c>
      <c r="I141" s="77">
        <v>0.99722825999999998</v>
      </c>
      <c r="J141" s="60">
        <v>64.951999999999998</v>
      </c>
      <c r="O141" s="53">
        <v>333</v>
      </c>
      <c r="P141" s="77">
        <v>0.53521700000000005</v>
      </c>
      <c r="Q141" s="77">
        <v>0.85969499999999999</v>
      </c>
      <c r="R141" s="53">
        <v>333</v>
      </c>
      <c r="S141" s="76">
        <v>6.6712309999999997E-2</v>
      </c>
      <c r="T141" s="138">
        <v>0.99649155</v>
      </c>
    </row>
    <row r="142" spans="5:20">
      <c r="E142" s="130">
        <v>6.8343000000000001E-2</v>
      </c>
      <c r="F142" s="77">
        <v>0.93916999999999995</v>
      </c>
      <c r="G142" s="75">
        <v>16.399999999999999</v>
      </c>
      <c r="H142" s="88">
        <v>0.99963749999999996</v>
      </c>
      <c r="I142" s="77">
        <v>0.99721110000000002</v>
      </c>
      <c r="J142" s="60">
        <v>64.953000000000003</v>
      </c>
      <c r="O142" s="53">
        <v>334</v>
      </c>
      <c r="P142" s="77">
        <v>0.55231300000000005</v>
      </c>
      <c r="Q142" s="77">
        <v>0.84250999999999998</v>
      </c>
      <c r="R142" s="53">
        <v>334</v>
      </c>
      <c r="S142" s="76">
        <v>6.7514249999999998E-2</v>
      </c>
      <c r="T142" s="138">
        <v>0.99634783999999998</v>
      </c>
    </row>
    <row r="143" spans="5:20">
      <c r="E143" s="130">
        <v>6.8969000000000003E-2</v>
      </c>
      <c r="F143" s="77">
        <v>0.93957000000000002</v>
      </c>
      <c r="G143" s="75">
        <v>16.5</v>
      </c>
      <c r="H143" s="88">
        <v>0.99963504000000003</v>
      </c>
      <c r="I143" s="77">
        <v>0.99719400000000002</v>
      </c>
      <c r="J143" s="60">
        <v>64.953999999999994</v>
      </c>
      <c r="O143" s="53">
        <v>335</v>
      </c>
      <c r="P143" s="77">
        <v>0.57208499999999995</v>
      </c>
      <c r="Q143" s="77">
        <v>0.82242700000000002</v>
      </c>
      <c r="R143" s="53">
        <v>335</v>
      </c>
      <c r="S143" s="76">
        <v>6.8324499999999996E-2</v>
      </c>
      <c r="T143" s="138">
        <v>0.99619882999999998</v>
      </c>
    </row>
    <row r="144" spans="5:20">
      <c r="E144" s="130">
        <v>6.9597999999999993E-2</v>
      </c>
      <c r="F144" s="77">
        <v>0.93996000000000002</v>
      </c>
      <c r="G144" s="75">
        <v>16.600000000000001</v>
      </c>
      <c r="H144" s="88">
        <v>0.99963259999999998</v>
      </c>
      <c r="I144" s="77">
        <v>0.99717679999999997</v>
      </c>
      <c r="J144" s="60">
        <v>64.954999999999998</v>
      </c>
      <c r="O144" s="53">
        <v>336</v>
      </c>
      <c r="P144" s="77">
        <v>0.59613799999999995</v>
      </c>
      <c r="Q144" s="77">
        <v>0.79786699999999999</v>
      </c>
      <c r="R144" s="53">
        <v>336</v>
      </c>
      <c r="S144" s="76">
        <v>6.9143179999999999E-2</v>
      </c>
      <c r="T144" s="138">
        <v>0.99604440000000005</v>
      </c>
    </row>
    <row r="145" spans="5:20">
      <c r="E145" s="130">
        <v>7.0230000000000001E-2</v>
      </c>
      <c r="F145" s="77">
        <v>0.94035000000000002</v>
      </c>
      <c r="G145" s="75">
        <v>16.7</v>
      </c>
      <c r="H145" s="88">
        <v>0.99963020000000002</v>
      </c>
      <c r="I145" s="77">
        <v>0.99715969999999998</v>
      </c>
      <c r="J145" s="60">
        <v>64.956000000000003</v>
      </c>
      <c r="O145" s="53">
        <v>337</v>
      </c>
      <c r="P145" s="77">
        <v>0.62898900000000002</v>
      </c>
      <c r="Q145" s="77">
        <v>0.76433899999999999</v>
      </c>
      <c r="R145" s="53">
        <v>337</v>
      </c>
      <c r="S145" s="76">
        <v>6.9970420000000005E-2</v>
      </c>
      <c r="T145" s="138">
        <v>0.99588429999999994</v>
      </c>
    </row>
    <row r="146" spans="5:20" ht="15" thickBot="1">
      <c r="E146" s="130">
        <v>7.0865999999999998E-2</v>
      </c>
      <c r="F146" s="77">
        <v>0.94072999999999996</v>
      </c>
      <c r="G146" s="75">
        <v>16.8</v>
      </c>
      <c r="H146" s="88">
        <v>0.99962777000000003</v>
      </c>
      <c r="I146" s="77">
        <v>0.99714254999999996</v>
      </c>
      <c r="J146" s="60">
        <v>64.956999999999994</v>
      </c>
      <c r="O146" s="57">
        <v>337.80419999999998</v>
      </c>
      <c r="P146" s="129">
        <v>0.69264000000000003</v>
      </c>
      <c r="Q146" s="129">
        <v>0.70003499999999996</v>
      </c>
      <c r="R146" s="53">
        <v>338</v>
      </c>
      <c r="S146" s="76">
        <v>7.0806320000000006E-2</v>
      </c>
      <c r="T146" s="138">
        <v>0.99571836000000002</v>
      </c>
    </row>
    <row r="147" spans="5:20">
      <c r="E147" s="130">
        <v>7.1506E-2</v>
      </c>
      <c r="F147" s="77">
        <v>0.94111</v>
      </c>
      <c r="G147" s="75">
        <v>16.899999999999999</v>
      </c>
      <c r="H147" s="88">
        <v>0.99962530000000005</v>
      </c>
      <c r="I147" s="77">
        <v>0.99712544999999997</v>
      </c>
      <c r="J147" s="60">
        <v>64.957999999999998</v>
      </c>
      <c r="R147" s="53">
        <v>339</v>
      </c>
      <c r="S147" s="76">
        <v>7.1651004000000004E-2</v>
      </c>
      <c r="T147" s="138">
        <v>0.99554633999999997</v>
      </c>
    </row>
    <row r="148" spans="5:20">
      <c r="E148" s="130">
        <v>7.2150000000000006E-2</v>
      </c>
      <c r="F148" s="77">
        <v>0.94147999999999998</v>
      </c>
      <c r="G148" s="75">
        <v>17</v>
      </c>
      <c r="H148" s="88">
        <v>0.99962289999999998</v>
      </c>
      <c r="I148" s="77">
        <v>0.99710829999999995</v>
      </c>
      <c r="J148" s="60">
        <v>64.959000000000003</v>
      </c>
      <c r="R148" s="53">
        <v>340</v>
      </c>
      <c r="S148" s="76">
        <v>7.2504609999999997E-2</v>
      </c>
      <c r="T148" s="138">
        <v>0.99536820000000004</v>
      </c>
    </row>
    <row r="149" spans="5:20">
      <c r="E149" s="130">
        <v>7.2798000000000002E-2</v>
      </c>
      <c r="F149" s="77">
        <v>0.94184999999999997</v>
      </c>
      <c r="G149" s="75">
        <v>17.100000000000001</v>
      </c>
      <c r="H149" s="88">
        <v>0.99962044000000005</v>
      </c>
      <c r="I149" s="77">
        <v>0.99709119999999996</v>
      </c>
      <c r="J149" s="60">
        <v>64.959999999999994</v>
      </c>
      <c r="R149" s="53">
        <v>341</v>
      </c>
      <c r="S149" s="76">
        <v>7.3367244999999998E-2</v>
      </c>
      <c r="T149" s="138">
        <v>0.99518359999999995</v>
      </c>
    </row>
    <row r="150" spans="5:20">
      <c r="E150" s="130">
        <v>7.3450000000000001E-2</v>
      </c>
      <c r="F150" s="77">
        <v>0.94221999999999995</v>
      </c>
      <c r="G150" s="75">
        <v>17.2</v>
      </c>
      <c r="H150" s="88">
        <v>0.99961800000000001</v>
      </c>
      <c r="I150" s="77">
        <v>0.99707400000000002</v>
      </c>
      <c r="J150" s="60">
        <v>64.960999999999999</v>
      </c>
      <c r="R150" s="53">
        <v>342</v>
      </c>
      <c r="S150" s="76">
        <v>7.4239050000000001E-2</v>
      </c>
      <c r="T150" s="138">
        <v>0.99499230000000005</v>
      </c>
    </row>
    <row r="151" spans="5:20">
      <c r="E151" s="130">
        <v>7.4105000000000004E-2</v>
      </c>
      <c r="F151" s="77">
        <v>0.94257999999999997</v>
      </c>
      <c r="G151" s="75">
        <v>17.3</v>
      </c>
      <c r="H151" s="88">
        <v>0.99961555000000002</v>
      </c>
      <c r="I151" s="77">
        <v>0.99705690000000002</v>
      </c>
      <c r="J151" s="60">
        <v>64.962000000000003</v>
      </c>
      <c r="R151" s="53">
        <v>343</v>
      </c>
      <c r="S151" s="76">
        <v>7.5120166000000002E-2</v>
      </c>
      <c r="T151" s="138">
        <v>0.99479424999999999</v>
      </c>
    </row>
    <row r="152" spans="5:20">
      <c r="E152" s="130">
        <v>7.4764999999999998E-2</v>
      </c>
      <c r="F152" s="77">
        <v>0.94294</v>
      </c>
      <c r="G152" s="75">
        <v>17.399999999999999</v>
      </c>
      <c r="H152" s="88">
        <v>0.99961310000000003</v>
      </c>
      <c r="I152" s="77">
        <v>0.99703973999999995</v>
      </c>
      <c r="J152" s="60">
        <v>64.962999999999994</v>
      </c>
      <c r="R152" s="53">
        <v>344</v>
      </c>
      <c r="S152" s="76">
        <v>7.6010720000000004E-2</v>
      </c>
      <c r="T152" s="138">
        <v>0.9945891</v>
      </c>
    </row>
    <row r="153" spans="5:20">
      <c r="E153" s="130">
        <v>7.5427999999999995E-2</v>
      </c>
      <c r="F153" s="77">
        <v>0.94328999999999996</v>
      </c>
      <c r="G153" s="75">
        <v>17.5</v>
      </c>
      <c r="H153" s="88">
        <v>0.99961065999999998</v>
      </c>
      <c r="I153" s="77">
        <v>0.99702259999999998</v>
      </c>
      <c r="J153" s="60">
        <v>64.963999999999999</v>
      </c>
      <c r="R153" s="53">
        <v>345</v>
      </c>
      <c r="S153" s="76">
        <v>7.6910846000000005E-2</v>
      </c>
      <c r="T153" s="138">
        <v>0.99437660000000005</v>
      </c>
    </row>
    <row r="154" spans="5:20">
      <c r="E154" s="130">
        <v>7.6095999999999997E-2</v>
      </c>
      <c r="F154" s="77">
        <v>0.94364000000000003</v>
      </c>
      <c r="G154" s="75">
        <v>17.600000000000001</v>
      </c>
      <c r="H154" s="88">
        <v>0.99960815999999997</v>
      </c>
      <c r="I154" s="77">
        <v>0.99700546000000001</v>
      </c>
      <c r="J154" s="60">
        <v>64.965000000000003</v>
      </c>
      <c r="R154" s="53">
        <v>346</v>
      </c>
      <c r="S154" s="76">
        <v>7.7820700000000007E-2</v>
      </c>
      <c r="T154" s="138">
        <v>0.99415659999999995</v>
      </c>
    </row>
    <row r="155" spans="5:20">
      <c r="E155" s="130">
        <v>7.6767000000000002E-2</v>
      </c>
      <c r="F155" s="77">
        <v>0.94399</v>
      </c>
      <c r="G155" s="75">
        <v>17.7</v>
      </c>
      <c r="H155" s="88">
        <v>0.99960570000000004</v>
      </c>
      <c r="I155" s="77">
        <v>0.99698836000000002</v>
      </c>
      <c r="J155" s="60">
        <v>64.965999999999994</v>
      </c>
      <c r="R155" s="53">
        <v>347</v>
      </c>
      <c r="S155" s="76">
        <v>7.8740425000000003E-2</v>
      </c>
      <c r="T155" s="138">
        <v>0.99392879999999995</v>
      </c>
    </row>
    <row r="156" spans="5:20">
      <c r="E156" s="130">
        <v>7.7442999999999998E-2</v>
      </c>
      <c r="F156" s="77">
        <v>0.94433</v>
      </c>
      <c r="G156" s="75">
        <v>17.8</v>
      </c>
      <c r="H156" s="88">
        <v>0.99960329999999997</v>
      </c>
      <c r="I156" s="77">
        <v>0.99697119999999995</v>
      </c>
      <c r="J156" s="60">
        <v>64.966999999999999</v>
      </c>
      <c r="R156" s="53">
        <v>348</v>
      </c>
      <c r="S156" s="76">
        <v>7.9670175999999995E-2</v>
      </c>
      <c r="T156" s="138">
        <v>0.99369293000000003</v>
      </c>
    </row>
    <row r="157" spans="5:20">
      <c r="E157" s="130">
        <v>7.8122999999999998E-2</v>
      </c>
      <c r="F157" s="77">
        <v>0.94466000000000006</v>
      </c>
      <c r="G157" s="75">
        <v>17.899999999999999</v>
      </c>
      <c r="H157" s="88">
        <v>0.99960079999999996</v>
      </c>
      <c r="I157" s="77">
        <v>0.99695400000000001</v>
      </c>
      <c r="J157" s="60">
        <v>64.968000000000004</v>
      </c>
      <c r="R157" s="53">
        <v>349</v>
      </c>
      <c r="S157" s="76">
        <v>8.0610104000000002E-2</v>
      </c>
      <c r="T157" s="138">
        <v>0.99344885000000005</v>
      </c>
    </row>
    <row r="158" spans="5:20">
      <c r="E158" s="130">
        <v>7.8808000000000003E-2</v>
      </c>
      <c r="F158" s="77">
        <v>0.94499999999999995</v>
      </c>
      <c r="G158" s="75">
        <v>18</v>
      </c>
      <c r="H158" s="88">
        <v>0.99959830000000005</v>
      </c>
      <c r="I158" s="77">
        <v>0.99693690000000001</v>
      </c>
      <c r="J158" s="60">
        <v>64.968999999999994</v>
      </c>
      <c r="R158" s="53">
        <v>350</v>
      </c>
      <c r="S158" s="76">
        <v>8.1560365999999995E-2</v>
      </c>
      <c r="T158" s="138">
        <v>0.99319619999999997</v>
      </c>
    </row>
    <row r="159" spans="5:20">
      <c r="E159" s="130">
        <v>7.9495999999999997E-2</v>
      </c>
      <c r="F159" s="77">
        <v>0.94533</v>
      </c>
      <c r="G159" s="75">
        <v>18.100000000000001</v>
      </c>
      <c r="H159" s="88">
        <v>0.99959589999999998</v>
      </c>
      <c r="I159" s="77">
        <v>0.99691974999999999</v>
      </c>
      <c r="J159" s="60">
        <v>64.97</v>
      </c>
      <c r="R159" s="53">
        <v>351</v>
      </c>
      <c r="S159" s="76">
        <v>8.2521126E-2</v>
      </c>
      <c r="T159" s="138">
        <v>0.99293469999999995</v>
      </c>
    </row>
    <row r="160" spans="5:20">
      <c r="E160" s="130">
        <v>8.0189999999999997E-2</v>
      </c>
      <c r="F160" s="77">
        <v>0.94565999999999995</v>
      </c>
      <c r="G160" s="75">
        <v>18.2</v>
      </c>
      <c r="H160" s="88">
        <v>0.99959339999999997</v>
      </c>
      <c r="I160" s="77">
        <v>0.99690259999999997</v>
      </c>
      <c r="J160" s="60">
        <v>64.971000000000004</v>
      </c>
      <c r="R160" s="53">
        <v>352</v>
      </c>
      <c r="S160" s="76">
        <v>8.3492554999999996E-2</v>
      </c>
      <c r="T160" s="138">
        <v>0.99266410000000005</v>
      </c>
    </row>
    <row r="161" spans="5:20">
      <c r="E161" s="130">
        <v>8.0887000000000001E-2</v>
      </c>
      <c r="F161" s="77">
        <v>0.94598000000000004</v>
      </c>
      <c r="G161" s="75">
        <v>18.3</v>
      </c>
      <c r="H161" s="88">
        <v>0.99959092999999999</v>
      </c>
      <c r="I161" s="77">
        <v>0.99688549999999998</v>
      </c>
      <c r="J161" s="60">
        <v>64.971999999999994</v>
      </c>
      <c r="R161" s="53">
        <v>353</v>
      </c>
      <c r="S161" s="76">
        <v>8.4474824000000004E-2</v>
      </c>
      <c r="T161" s="138">
        <v>0.99238409999999999</v>
      </c>
    </row>
    <row r="162" spans="5:20">
      <c r="E162" s="130">
        <v>8.1588999999999995E-2</v>
      </c>
      <c r="F162" s="77">
        <v>0.94630000000000003</v>
      </c>
      <c r="G162" s="75">
        <v>18.399999999999999</v>
      </c>
      <c r="H162" s="88">
        <v>0.99958842999999997</v>
      </c>
      <c r="I162" s="77">
        <v>0.99686830000000004</v>
      </c>
      <c r="J162" s="60">
        <v>64.972999999999999</v>
      </c>
      <c r="R162" s="53">
        <v>354</v>
      </c>
      <c r="S162" s="76">
        <v>8.5468106000000002E-2</v>
      </c>
      <c r="T162" s="138">
        <v>0.99209433999999996</v>
      </c>
    </row>
    <row r="163" spans="5:20">
      <c r="E163" s="130">
        <v>8.2295999999999994E-2</v>
      </c>
      <c r="F163" s="77">
        <v>0.94662000000000002</v>
      </c>
      <c r="G163" s="75">
        <v>18.5</v>
      </c>
      <c r="H163" s="88">
        <v>0.99958590000000003</v>
      </c>
      <c r="I163" s="77">
        <v>0.99685115000000002</v>
      </c>
      <c r="J163" s="60">
        <v>64.974000000000004</v>
      </c>
      <c r="R163" s="53">
        <v>355</v>
      </c>
      <c r="S163" s="76">
        <v>8.6472586000000004E-2</v>
      </c>
      <c r="T163" s="138">
        <v>0.99179465</v>
      </c>
    </row>
    <row r="164" spans="5:20">
      <c r="E164" s="130">
        <v>8.3006999999999997E-2</v>
      </c>
      <c r="F164" s="77">
        <v>0.94693000000000005</v>
      </c>
      <c r="G164" s="75">
        <v>18.600000000000001</v>
      </c>
      <c r="H164" s="88">
        <v>0.99958349999999996</v>
      </c>
      <c r="I164" s="77">
        <v>0.996834</v>
      </c>
      <c r="J164" s="60">
        <v>64.974999999999994</v>
      </c>
      <c r="R164" s="53">
        <v>356</v>
      </c>
      <c r="S164" s="76">
        <v>8.7488440000000001E-2</v>
      </c>
      <c r="T164" s="138">
        <v>0.99148460000000005</v>
      </c>
    </row>
    <row r="165" spans="5:20">
      <c r="E165" s="130">
        <v>8.3723000000000006E-2</v>
      </c>
      <c r="F165" s="77">
        <v>0.94723999999999997</v>
      </c>
      <c r="G165" s="75">
        <v>18.7</v>
      </c>
      <c r="H165" s="88">
        <v>0.99958100000000005</v>
      </c>
      <c r="I165" s="77">
        <v>0.99681690000000001</v>
      </c>
      <c r="J165" s="60">
        <v>64.975999999999999</v>
      </c>
      <c r="R165" s="53">
        <v>357</v>
      </c>
      <c r="S165" s="76">
        <v>8.8515880000000005E-2</v>
      </c>
      <c r="T165" s="138">
        <v>0.99116389999999999</v>
      </c>
    </row>
    <row r="166" spans="5:20">
      <c r="E166" s="130">
        <v>8.4444000000000005E-2</v>
      </c>
      <c r="F166" s="77">
        <v>0.94755</v>
      </c>
      <c r="G166" s="75">
        <v>18.8</v>
      </c>
      <c r="H166" s="88">
        <v>0.99957850000000004</v>
      </c>
      <c r="I166" s="77">
        <v>0.99679969999999996</v>
      </c>
      <c r="J166" s="60">
        <v>64.977000000000004</v>
      </c>
      <c r="R166" s="53">
        <v>358</v>
      </c>
      <c r="S166" s="76">
        <v>8.9555079999999995E-2</v>
      </c>
      <c r="T166" s="138">
        <v>0.99083226999999996</v>
      </c>
    </row>
    <row r="167" spans="5:20">
      <c r="E167" s="130">
        <v>8.5168999999999995E-2</v>
      </c>
      <c r="F167" s="77">
        <v>0.94784999999999997</v>
      </c>
      <c r="G167" s="75">
        <v>18.899999999999999</v>
      </c>
      <c r="H167" s="88">
        <v>0.99957600000000002</v>
      </c>
      <c r="I167" s="77">
        <v>0.99678253999999999</v>
      </c>
      <c r="J167" s="60">
        <v>64.977999999999994</v>
      </c>
      <c r="R167" s="53">
        <v>359</v>
      </c>
      <c r="S167" s="76">
        <v>9.0606249999999999E-2</v>
      </c>
      <c r="T167" s="138">
        <v>0.99048924000000005</v>
      </c>
    </row>
    <row r="168" spans="5:20">
      <c r="E168" s="130">
        <v>8.5899000000000003E-2</v>
      </c>
      <c r="F168" s="77">
        <v>0.94815000000000005</v>
      </c>
      <c r="G168" s="75">
        <v>19</v>
      </c>
      <c r="H168" s="88">
        <v>0.9995735</v>
      </c>
      <c r="I168" s="77">
        <v>0.99676540000000002</v>
      </c>
      <c r="J168" s="60">
        <v>64.978999999999999</v>
      </c>
      <c r="R168" s="53">
        <v>360</v>
      </c>
      <c r="S168" s="76">
        <v>9.1669604000000002E-2</v>
      </c>
      <c r="T168" s="138">
        <v>0.99013454000000001</v>
      </c>
    </row>
    <row r="169" spans="5:20">
      <c r="E169" s="130">
        <v>8.6634000000000003E-2</v>
      </c>
      <c r="F169" s="77">
        <v>0.94845000000000002</v>
      </c>
      <c r="G169" s="75">
        <v>19.100000000000001</v>
      </c>
      <c r="H169" s="88">
        <v>0.99957099999999999</v>
      </c>
      <c r="I169" s="77">
        <v>0.99674819999999997</v>
      </c>
      <c r="J169" s="60">
        <v>64.98</v>
      </c>
      <c r="R169" s="53">
        <v>361</v>
      </c>
      <c r="S169" s="76">
        <v>9.2745350000000004E-2</v>
      </c>
      <c r="T169" s="138">
        <v>0.98976779999999998</v>
      </c>
    </row>
    <row r="170" spans="5:20">
      <c r="E170" s="130">
        <v>8.7373999999999993E-2</v>
      </c>
      <c r="F170" s="77">
        <v>0.94874000000000003</v>
      </c>
      <c r="G170" s="75">
        <v>19.2</v>
      </c>
      <c r="H170" s="88">
        <v>0.99956849999999997</v>
      </c>
      <c r="I170" s="77">
        <v>0.99673104000000001</v>
      </c>
      <c r="J170" s="60">
        <v>64.980999999999995</v>
      </c>
      <c r="R170" s="53">
        <v>362</v>
      </c>
      <c r="S170" s="76">
        <v>9.3833700000000006E-2</v>
      </c>
      <c r="T170" s="138">
        <v>0.98938859999999995</v>
      </c>
    </row>
    <row r="171" spans="5:20">
      <c r="E171" s="130">
        <v>8.8120000000000004E-2</v>
      </c>
      <c r="F171" s="77">
        <v>0.94903999999999999</v>
      </c>
      <c r="G171" s="75">
        <v>19.3</v>
      </c>
      <c r="H171" s="88">
        <v>0.99956599999999995</v>
      </c>
      <c r="I171" s="77">
        <v>0.99671390000000004</v>
      </c>
      <c r="J171" s="60">
        <v>64.981999999999999</v>
      </c>
      <c r="R171" s="53">
        <v>363</v>
      </c>
      <c r="S171" s="76">
        <v>9.4934889999999994E-2</v>
      </c>
      <c r="T171" s="138">
        <v>0.98899649999999995</v>
      </c>
    </row>
    <row r="172" spans="5:20">
      <c r="E172" s="130">
        <v>8.8870000000000005E-2</v>
      </c>
      <c r="F172" s="77">
        <v>0.94932000000000005</v>
      </c>
      <c r="G172" s="75">
        <v>19.399999999999999</v>
      </c>
      <c r="H172" s="88">
        <v>0.99956350000000005</v>
      </c>
      <c r="I172" s="77">
        <v>0.99669677000000001</v>
      </c>
      <c r="J172" s="60">
        <v>64.983000000000004</v>
      </c>
      <c r="R172" s="53">
        <v>364</v>
      </c>
      <c r="S172" s="76">
        <v>9.6049145000000002E-2</v>
      </c>
      <c r="T172" s="138">
        <v>0.98859125000000003</v>
      </c>
    </row>
    <row r="173" spans="5:20">
      <c r="E173" s="130">
        <v>8.9624999999999996E-2</v>
      </c>
      <c r="F173" s="77">
        <v>0.94960999999999995</v>
      </c>
      <c r="G173" s="75">
        <v>19.5</v>
      </c>
      <c r="H173" s="88">
        <v>0.99956095</v>
      </c>
      <c r="I173" s="77">
        <v>0.9966796</v>
      </c>
      <c r="J173" s="60">
        <v>64.983999999999995</v>
      </c>
      <c r="R173" s="53">
        <v>365</v>
      </c>
      <c r="S173" s="76">
        <v>9.7176709999999999E-2</v>
      </c>
      <c r="T173" s="138">
        <v>0.98817235000000003</v>
      </c>
    </row>
    <row r="174" spans="5:20">
      <c r="E174" s="130">
        <v>9.0385999999999994E-2</v>
      </c>
      <c r="F174" s="77">
        <v>0.94989000000000001</v>
      </c>
      <c r="G174" s="75">
        <v>19.600000000000001</v>
      </c>
      <c r="H174" s="88">
        <v>0.99955844999999999</v>
      </c>
      <c r="I174" s="77">
        <v>0.99666244000000004</v>
      </c>
      <c r="J174" s="60">
        <v>64.984999999999999</v>
      </c>
      <c r="R174" s="53">
        <v>366</v>
      </c>
      <c r="S174" s="76">
        <v>9.8317823999999998E-2</v>
      </c>
      <c r="T174" s="138">
        <v>0.98773940000000005</v>
      </c>
    </row>
    <row r="175" spans="5:20">
      <c r="E175" s="130">
        <v>9.1151999999999997E-2</v>
      </c>
      <c r="F175" s="77">
        <v>0.95016999999999996</v>
      </c>
      <c r="G175" s="75">
        <v>19.7</v>
      </c>
      <c r="H175" s="88">
        <v>0.99955594999999997</v>
      </c>
      <c r="I175" s="77">
        <v>0.99664529999999996</v>
      </c>
      <c r="J175" s="60">
        <v>64.986000000000004</v>
      </c>
      <c r="R175" s="53">
        <v>367</v>
      </c>
      <c r="S175" s="76">
        <v>9.9472746000000001E-2</v>
      </c>
      <c r="T175" s="138">
        <v>0.9872919</v>
      </c>
    </row>
    <row r="176" spans="5:20">
      <c r="E176" s="130">
        <v>9.1924000000000006E-2</v>
      </c>
      <c r="F176" s="77">
        <v>0.95045000000000002</v>
      </c>
      <c r="G176" s="75">
        <v>19.8</v>
      </c>
      <c r="H176" s="88">
        <v>0.99955344000000002</v>
      </c>
      <c r="I176" s="77">
        <v>0.99662810000000002</v>
      </c>
      <c r="J176" s="60">
        <v>64.986999999999995</v>
      </c>
      <c r="R176" s="53">
        <v>368</v>
      </c>
      <c r="S176" s="76">
        <v>0.10064173</v>
      </c>
      <c r="T176" s="138">
        <v>0.98682946000000005</v>
      </c>
    </row>
    <row r="177" spans="5:20">
      <c r="E177" s="130">
        <v>9.2701000000000006E-2</v>
      </c>
      <c r="F177" s="77">
        <v>0.95072999999999996</v>
      </c>
      <c r="G177" s="75">
        <v>19.899999999999999</v>
      </c>
      <c r="H177" s="88">
        <v>0.99955090000000002</v>
      </c>
      <c r="I177" s="77">
        <v>0.99661093999999995</v>
      </c>
      <c r="J177" s="60">
        <v>64.988</v>
      </c>
      <c r="R177" s="53">
        <v>369</v>
      </c>
      <c r="S177" s="76">
        <v>0.10182504000000001</v>
      </c>
      <c r="T177" s="138">
        <v>0.98635154999999997</v>
      </c>
    </row>
    <row r="178" spans="5:20">
      <c r="E178" s="130">
        <v>9.3482999999999997E-2</v>
      </c>
      <c r="F178" s="77">
        <v>0.95099999999999996</v>
      </c>
      <c r="G178" s="75">
        <v>20</v>
      </c>
      <c r="H178" s="88">
        <v>0.9995484</v>
      </c>
      <c r="I178" s="77">
        <v>0.99659379999999997</v>
      </c>
      <c r="J178" s="60">
        <v>64.989000000000004</v>
      </c>
      <c r="R178" s="53">
        <v>370</v>
      </c>
      <c r="S178" s="76">
        <v>0.10302297000000001</v>
      </c>
      <c r="T178" s="138">
        <v>0.98585769999999995</v>
      </c>
    </row>
    <row r="179" spans="5:20">
      <c r="E179" s="130">
        <v>9.4270999999999994E-2</v>
      </c>
      <c r="F179" s="77">
        <v>0.95126999999999995</v>
      </c>
      <c r="G179" s="75">
        <v>20.100000000000001</v>
      </c>
      <c r="H179" s="88">
        <v>0.99954589999999999</v>
      </c>
      <c r="I179" s="77">
        <v>0.99657660000000003</v>
      </c>
      <c r="J179" s="60">
        <v>64.989999999999995</v>
      </c>
      <c r="R179" s="53">
        <v>371</v>
      </c>
      <c r="S179" s="76">
        <v>0.10423578999999999</v>
      </c>
      <c r="T179" s="138">
        <v>0.98534750000000004</v>
      </c>
    </row>
    <row r="180" spans="5:20">
      <c r="E180" s="130">
        <v>9.5064999999999997E-2</v>
      </c>
      <c r="F180" s="77">
        <v>0.95152999999999999</v>
      </c>
      <c r="G180" s="75">
        <v>20.2</v>
      </c>
      <c r="H180" s="88">
        <v>0.99954330000000002</v>
      </c>
      <c r="I180" s="77">
        <v>0.99655943999999996</v>
      </c>
      <c r="J180" s="60">
        <v>64.991</v>
      </c>
      <c r="R180" s="53">
        <v>372</v>
      </c>
      <c r="S180" s="76">
        <v>0.105463795</v>
      </c>
      <c r="T180" s="138">
        <v>0.98482037</v>
      </c>
    </row>
    <row r="181" spans="5:20">
      <c r="E181" s="130">
        <v>9.5865000000000006E-2</v>
      </c>
      <c r="F181" s="77">
        <v>0.95179999999999998</v>
      </c>
      <c r="G181" s="75">
        <v>20.3</v>
      </c>
      <c r="H181" s="88">
        <v>0.99954080000000001</v>
      </c>
      <c r="I181" s="77">
        <v>0.99654229999999999</v>
      </c>
      <c r="J181" s="60">
        <v>64.992000000000004</v>
      </c>
      <c r="R181" s="53">
        <v>373</v>
      </c>
      <c r="S181" s="76">
        <v>0.10670729</v>
      </c>
      <c r="T181" s="138">
        <v>0.98427576000000006</v>
      </c>
    </row>
    <row r="182" spans="5:20">
      <c r="E182" s="130">
        <v>9.6670000000000006E-2</v>
      </c>
      <c r="F182" s="77">
        <v>0.95206000000000002</v>
      </c>
      <c r="G182" s="75">
        <v>20.399999999999999</v>
      </c>
      <c r="H182" s="88">
        <v>0.99953824000000002</v>
      </c>
      <c r="I182" s="77">
        <v>0.99652505000000002</v>
      </c>
      <c r="J182" s="60">
        <v>64.992999999999995</v>
      </c>
      <c r="R182" s="53">
        <v>374</v>
      </c>
      <c r="S182" s="76">
        <v>0.10796658000000001</v>
      </c>
      <c r="T182" s="138">
        <v>0.98371315000000004</v>
      </c>
    </row>
    <row r="183" spans="5:20">
      <c r="E183" s="130">
        <v>9.7481999999999999E-2</v>
      </c>
      <c r="F183" s="77">
        <v>0.95232000000000006</v>
      </c>
      <c r="G183" s="75">
        <v>20.5</v>
      </c>
      <c r="H183" s="88">
        <v>0.99953570000000003</v>
      </c>
      <c r="I183" s="77">
        <v>0.9965079</v>
      </c>
      <c r="J183" s="60">
        <v>64.994</v>
      </c>
      <c r="R183" s="53">
        <v>375</v>
      </c>
      <c r="S183" s="76">
        <v>0.10924200000000001</v>
      </c>
      <c r="T183" s="138">
        <v>0.98313200000000001</v>
      </c>
    </row>
    <row r="184" spans="5:20">
      <c r="E184" s="130">
        <v>9.8298999999999997E-2</v>
      </c>
      <c r="F184" s="77">
        <v>0.95257999999999998</v>
      </c>
      <c r="G184" s="75">
        <v>20.6</v>
      </c>
      <c r="H184" s="88">
        <v>0.99953320000000001</v>
      </c>
      <c r="I184" s="77">
        <v>0.99649069999999995</v>
      </c>
      <c r="J184" s="60">
        <v>64.995000000000005</v>
      </c>
      <c r="R184" s="53">
        <v>376</v>
      </c>
      <c r="S184" s="76">
        <v>0.11053387000000001</v>
      </c>
      <c r="T184" s="138">
        <v>0.98253166999999997</v>
      </c>
    </row>
    <row r="185" spans="5:20">
      <c r="E185" s="130">
        <v>9.9123000000000003E-2</v>
      </c>
      <c r="F185" s="77">
        <v>0.95282999999999995</v>
      </c>
      <c r="G185" s="75">
        <v>20.7</v>
      </c>
      <c r="H185" s="88">
        <v>0.99953060000000005</v>
      </c>
      <c r="I185" s="77">
        <v>0.99647355000000004</v>
      </c>
      <c r="J185" s="60">
        <v>64.995999999999995</v>
      </c>
      <c r="R185" s="53">
        <v>377</v>
      </c>
      <c r="S185" s="76">
        <v>0.11184253500000001</v>
      </c>
      <c r="T185" s="138">
        <v>0.98191165999999996</v>
      </c>
    </row>
    <row r="186" spans="5:20">
      <c r="E186" s="130">
        <v>9.9951999999999999E-2</v>
      </c>
      <c r="F186" s="77">
        <v>0.95308000000000004</v>
      </c>
      <c r="G186" s="75">
        <v>20.8</v>
      </c>
      <c r="H186" s="88">
        <v>0.99952805</v>
      </c>
      <c r="I186" s="77">
        <v>0.99645640000000002</v>
      </c>
      <c r="J186" s="60">
        <v>64.997</v>
      </c>
      <c r="R186" s="53">
        <v>378</v>
      </c>
      <c r="S186" s="76">
        <v>0.11316835</v>
      </c>
      <c r="T186" s="138">
        <v>0.98127127000000003</v>
      </c>
    </row>
    <row r="187" spans="5:20">
      <c r="E187" s="130">
        <v>0.10079</v>
      </c>
      <c r="F187" s="77">
        <v>0.95333000000000001</v>
      </c>
      <c r="G187" s="75">
        <v>20.9</v>
      </c>
      <c r="H187" s="88">
        <v>0.99952549999999996</v>
      </c>
      <c r="I187" s="77">
        <v>0.99643919999999997</v>
      </c>
      <c r="J187" s="60">
        <v>64.998000000000005</v>
      </c>
      <c r="R187" s="53">
        <v>379</v>
      </c>
      <c r="S187" s="76">
        <v>0.11451167600000001</v>
      </c>
      <c r="T187" s="138">
        <v>0.98060994999999995</v>
      </c>
    </row>
    <row r="188" spans="5:20">
      <c r="E188" s="130">
        <v>0.10163</v>
      </c>
      <c r="F188" s="77">
        <v>0.95357999999999998</v>
      </c>
      <c r="G188" s="75">
        <v>21</v>
      </c>
      <c r="H188" s="88">
        <v>0.99952300000000005</v>
      </c>
      <c r="I188" s="77">
        <v>0.99642200000000003</v>
      </c>
      <c r="J188" s="60">
        <v>64.998999999999995</v>
      </c>
      <c r="R188" s="53">
        <v>380</v>
      </c>
      <c r="S188" s="76">
        <v>0.115872905</v>
      </c>
      <c r="T188" s="138">
        <v>0.97992694000000002</v>
      </c>
    </row>
    <row r="189" spans="5:20">
      <c r="E189" s="130">
        <v>0.10248</v>
      </c>
      <c r="F189" s="77">
        <v>0.95382999999999996</v>
      </c>
      <c r="G189" s="75">
        <v>21.1</v>
      </c>
      <c r="H189" s="88">
        <v>0.99952039999999998</v>
      </c>
      <c r="I189" s="77">
        <v>0.99640479999999998</v>
      </c>
      <c r="J189" s="60">
        <v>65</v>
      </c>
      <c r="R189" s="53">
        <v>381</v>
      </c>
      <c r="S189" s="76">
        <v>0.11725241</v>
      </c>
      <c r="T189" s="138">
        <v>0.97922160000000003</v>
      </c>
    </row>
    <row r="190" spans="5:20">
      <c r="E190" s="130">
        <v>0.10334</v>
      </c>
      <c r="F190" s="77">
        <v>0.95406999999999997</v>
      </c>
      <c r="G190" s="75">
        <v>21.2</v>
      </c>
      <c r="H190" s="88">
        <v>0.99951785999999998</v>
      </c>
      <c r="I190" s="77">
        <v>0.99638766000000001</v>
      </c>
      <c r="J190" s="60">
        <v>65.001000000000005</v>
      </c>
      <c r="R190" s="53">
        <v>382</v>
      </c>
      <c r="S190" s="76">
        <v>0.11865059999999999</v>
      </c>
      <c r="T190" s="138">
        <v>0.97849330000000001</v>
      </c>
    </row>
    <row r="191" spans="5:20">
      <c r="E191" s="130">
        <v>0.1042</v>
      </c>
      <c r="F191" s="77">
        <v>0.95430999999999999</v>
      </c>
      <c r="G191" s="75">
        <v>21.3</v>
      </c>
      <c r="H191" s="88">
        <v>0.9995153</v>
      </c>
      <c r="I191" s="77">
        <v>0.99637050000000005</v>
      </c>
      <c r="J191" s="60">
        <v>65.001999999999995</v>
      </c>
      <c r="R191" s="53">
        <v>383</v>
      </c>
      <c r="S191" s="76">
        <v>0.12006789399999999</v>
      </c>
      <c r="T191" s="138">
        <v>0.97774119999999998</v>
      </c>
    </row>
    <row r="192" spans="5:20">
      <c r="E192" s="130">
        <v>0.10507</v>
      </c>
      <c r="F192" s="77">
        <v>0.95455000000000001</v>
      </c>
      <c r="G192" s="75">
        <v>21.4</v>
      </c>
      <c r="H192" s="88">
        <v>0.99951272999999996</v>
      </c>
      <c r="I192" s="77">
        <v>0.99635326999999996</v>
      </c>
      <c r="J192" s="60">
        <v>65.003</v>
      </c>
      <c r="R192" s="53">
        <v>384</v>
      </c>
      <c r="S192" s="76">
        <v>0.12150472</v>
      </c>
      <c r="T192" s="138">
        <v>0.97696464999999999</v>
      </c>
    </row>
    <row r="193" spans="5:20">
      <c r="E193" s="130">
        <v>0.10594000000000001</v>
      </c>
      <c r="F193" s="77">
        <v>0.95479000000000003</v>
      </c>
      <c r="G193" s="75">
        <v>21.5</v>
      </c>
      <c r="H193" s="88">
        <v>0.99951009999999996</v>
      </c>
      <c r="I193" s="77">
        <v>0.99633609999999995</v>
      </c>
      <c r="J193" s="60">
        <v>65.004000000000005</v>
      </c>
      <c r="R193" s="53">
        <v>385</v>
      </c>
      <c r="S193" s="76">
        <v>0.12296152</v>
      </c>
      <c r="T193" s="138">
        <v>0.97616285000000003</v>
      </c>
    </row>
    <row r="194" spans="5:20">
      <c r="E194" s="130">
        <v>0.10682999999999999</v>
      </c>
      <c r="F194" s="77">
        <v>0.95501999999999998</v>
      </c>
      <c r="G194" s="75">
        <v>21.6</v>
      </c>
      <c r="H194" s="88">
        <v>0.99950755000000002</v>
      </c>
      <c r="I194" s="77">
        <v>0.99631893999999999</v>
      </c>
      <c r="J194" s="60">
        <v>65.004999999999995</v>
      </c>
      <c r="R194" s="53">
        <v>386</v>
      </c>
      <c r="S194" s="76">
        <v>0.12443877</v>
      </c>
      <c r="T194" s="138">
        <v>0.97533506000000003</v>
      </c>
    </row>
    <row r="195" spans="5:20">
      <c r="E195" s="130">
        <v>0.10772</v>
      </c>
      <c r="F195" s="77">
        <v>0.95525000000000004</v>
      </c>
      <c r="G195" s="75">
        <v>21.7</v>
      </c>
      <c r="H195" s="88">
        <v>0.99950499999999998</v>
      </c>
      <c r="I195" s="77">
        <v>0.99630180000000002</v>
      </c>
      <c r="J195" s="60">
        <v>65.006</v>
      </c>
      <c r="R195" s="53">
        <v>387</v>
      </c>
      <c r="S195" s="76">
        <v>0.12593693</v>
      </c>
      <c r="T195" s="138">
        <v>0.97448040000000002</v>
      </c>
    </row>
    <row r="196" spans="5:20">
      <c r="E196" s="130">
        <v>0.10861</v>
      </c>
      <c r="F196" s="77">
        <v>0.95548</v>
      </c>
      <c r="G196" s="75">
        <v>21.8</v>
      </c>
      <c r="H196" s="88">
        <v>0.99950240000000001</v>
      </c>
      <c r="I196" s="77">
        <v>0.99628454</v>
      </c>
      <c r="J196" s="60">
        <v>65.007000000000005</v>
      </c>
      <c r="R196" s="53">
        <v>388</v>
      </c>
      <c r="S196" s="76">
        <v>0.12745651999999999</v>
      </c>
      <c r="T196" s="138">
        <v>0.97359799999999996</v>
      </c>
    </row>
    <row r="197" spans="5:20">
      <c r="E197" s="130">
        <v>0.10952000000000001</v>
      </c>
      <c r="F197" s="77">
        <v>0.95570999999999995</v>
      </c>
      <c r="G197" s="75">
        <v>21.9</v>
      </c>
      <c r="H197" s="88">
        <v>0.99960570000000004</v>
      </c>
      <c r="I197" s="77">
        <v>0.99698836000000002</v>
      </c>
      <c r="J197" s="15">
        <v>64.965999999999994</v>
      </c>
      <c r="R197" s="53">
        <v>389</v>
      </c>
      <c r="S197" s="76">
        <v>0.12899801</v>
      </c>
      <c r="T197" s="138">
        <v>0.97268699999999997</v>
      </c>
    </row>
    <row r="198" spans="5:20">
      <c r="E198" s="130">
        <v>0.11043</v>
      </c>
      <c r="F198" s="77">
        <v>0.95594000000000001</v>
      </c>
      <c r="G198" s="75">
        <v>22</v>
      </c>
      <c r="H198" s="88">
        <v>0.99960329999999997</v>
      </c>
      <c r="I198" s="77">
        <v>0.99697119999999995</v>
      </c>
      <c r="J198" s="15">
        <v>64.966999999999999</v>
      </c>
      <c r="R198" s="53">
        <v>390</v>
      </c>
      <c r="S198" s="76">
        <v>0.13056197999999999</v>
      </c>
      <c r="T198" s="138">
        <v>0.97174660000000002</v>
      </c>
    </row>
    <row r="199" spans="5:20">
      <c r="E199" s="130">
        <v>0.11135</v>
      </c>
      <c r="F199" s="77">
        <v>0.95616000000000001</v>
      </c>
      <c r="G199" s="75">
        <v>22.1</v>
      </c>
      <c r="H199" s="88">
        <v>0.99960079999999996</v>
      </c>
      <c r="I199" s="77">
        <v>0.99695400000000001</v>
      </c>
      <c r="J199" s="15">
        <v>64.968000000000004</v>
      </c>
      <c r="R199" s="53">
        <v>391</v>
      </c>
      <c r="S199" s="76">
        <v>0.13214897</v>
      </c>
      <c r="T199" s="138">
        <v>0.97077570000000002</v>
      </c>
    </row>
    <row r="200" spans="5:20">
      <c r="E200" s="130">
        <v>0.11228</v>
      </c>
      <c r="F200" s="77">
        <v>0.95638999999999996</v>
      </c>
      <c r="G200" s="75">
        <v>22.2</v>
      </c>
      <c r="H200" s="88">
        <v>0.99959830000000005</v>
      </c>
      <c r="I200" s="77">
        <v>0.99693690000000001</v>
      </c>
      <c r="J200" s="15">
        <v>64.968999999999994</v>
      </c>
      <c r="R200" s="53">
        <v>392</v>
      </c>
      <c r="S200" s="76">
        <v>0.13375952999999999</v>
      </c>
      <c r="T200" s="138">
        <v>0.96977352999999999</v>
      </c>
    </row>
    <row r="201" spans="5:20">
      <c r="E201" s="130">
        <v>0.11321000000000001</v>
      </c>
      <c r="F201" s="77">
        <v>0.95660999999999996</v>
      </c>
      <c r="G201" s="75">
        <v>22.3</v>
      </c>
      <c r="H201" s="88">
        <v>0.99959589999999998</v>
      </c>
      <c r="I201" s="77">
        <v>0.99691974999999999</v>
      </c>
      <c r="J201" s="15">
        <v>64.97</v>
      </c>
      <c r="R201" s="53">
        <v>393</v>
      </c>
      <c r="S201" s="76">
        <v>0.13539425999999999</v>
      </c>
      <c r="T201" s="138">
        <v>0.96873889999999996</v>
      </c>
    </row>
    <row r="202" spans="5:20">
      <c r="E202" s="130">
        <v>0.11416</v>
      </c>
      <c r="F202" s="77">
        <v>0.95682999999999996</v>
      </c>
      <c r="G202" s="75">
        <v>22.4</v>
      </c>
      <c r="H202" s="88">
        <v>0.99959339999999997</v>
      </c>
      <c r="I202" s="77">
        <v>0.99690259999999997</v>
      </c>
      <c r="J202" s="15">
        <v>64.971000000000004</v>
      </c>
      <c r="R202" s="53">
        <v>394</v>
      </c>
      <c r="S202" s="76">
        <v>0.1370538</v>
      </c>
      <c r="T202" s="138">
        <v>0.9676709</v>
      </c>
    </row>
    <row r="203" spans="5:20">
      <c r="E203" s="130">
        <v>0.11511</v>
      </c>
      <c r="F203" s="77">
        <v>0.95704</v>
      </c>
      <c r="G203" s="75">
        <v>22.5</v>
      </c>
      <c r="H203" s="88">
        <v>0.99959092999999999</v>
      </c>
      <c r="I203" s="77">
        <v>0.99688549999999998</v>
      </c>
      <c r="J203" s="15">
        <v>64.971999999999994</v>
      </c>
      <c r="R203" s="53">
        <v>395</v>
      </c>
      <c r="S203" s="76">
        <v>0.13873877000000001</v>
      </c>
      <c r="T203" s="138">
        <v>0.96656847000000001</v>
      </c>
    </row>
    <row r="204" spans="5:20">
      <c r="E204" s="130">
        <v>0.11607000000000001</v>
      </c>
      <c r="F204" s="77">
        <v>0.95726</v>
      </c>
      <c r="G204" s="75">
        <v>22.6</v>
      </c>
      <c r="H204" s="88">
        <v>0.99958842999999997</v>
      </c>
      <c r="I204" s="77">
        <v>0.99686830000000004</v>
      </c>
      <c r="J204" s="15">
        <v>64.972999999999999</v>
      </c>
      <c r="R204" s="53">
        <v>396</v>
      </c>
      <c r="S204" s="76">
        <v>0.14044984999999999</v>
      </c>
      <c r="T204" s="138">
        <v>0.96543040000000002</v>
      </c>
    </row>
    <row r="205" spans="5:20">
      <c r="E205" s="130">
        <v>0.11704000000000001</v>
      </c>
      <c r="F205" s="77">
        <v>0.95747000000000004</v>
      </c>
      <c r="G205" s="75">
        <v>22.7</v>
      </c>
      <c r="H205" s="88">
        <v>0.99958590000000003</v>
      </c>
      <c r="I205" s="77">
        <v>0.99685115000000002</v>
      </c>
      <c r="J205" s="15">
        <v>64.974000000000004</v>
      </c>
      <c r="R205" s="53">
        <v>397</v>
      </c>
      <c r="S205" s="76">
        <v>0.14218773000000001</v>
      </c>
      <c r="T205" s="138">
        <v>0.96425563000000003</v>
      </c>
    </row>
    <row r="206" spans="5:20">
      <c r="E206" s="130">
        <v>0.11801</v>
      </c>
      <c r="F206" s="77">
        <v>0.95767999999999998</v>
      </c>
      <c r="G206" s="75">
        <v>22.8</v>
      </c>
      <c r="H206" s="88">
        <v>0.99958349999999996</v>
      </c>
      <c r="I206" s="77">
        <v>0.996834</v>
      </c>
      <c r="J206" s="15">
        <v>64.974999999999994</v>
      </c>
      <c r="R206" s="53">
        <v>398</v>
      </c>
      <c r="S206" s="76">
        <v>0.14395311</v>
      </c>
      <c r="T206" s="138">
        <v>0.96304290000000004</v>
      </c>
    </row>
    <row r="207" spans="5:20">
      <c r="E207" s="130">
        <v>0.11899999999999999</v>
      </c>
      <c r="F207" s="77">
        <v>0.95789000000000002</v>
      </c>
      <c r="G207" s="75">
        <v>22.9</v>
      </c>
      <c r="H207" s="88">
        <v>0.99958100000000005</v>
      </c>
      <c r="I207" s="77">
        <v>0.99681690000000001</v>
      </c>
      <c r="J207" s="15">
        <v>64.975999999999999</v>
      </c>
      <c r="R207" s="53">
        <v>399</v>
      </c>
      <c r="S207" s="76">
        <v>0.14574677999999999</v>
      </c>
      <c r="T207" s="138">
        <v>0.96179110000000001</v>
      </c>
    </row>
    <row r="208" spans="5:20">
      <c r="E208" s="130">
        <v>0.11999</v>
      </c>
      <c r="F208" s="77">
        <v>0.95809999999999995</v>
      </c>
      <c r="G208" s="75">
        <v>23</v>
      </c>
      <c r="H208" s="88">
        <v>0.99957850000000004</v>
      </c>
      <c r="I208" s="77">
        <v>0.99679969999999996</v>
      </c>
      <c r="J208" s="15">
        <v>64.977000000000004</v>
      </c>
      <c r="R208" s="53">
        <v>400</v>
      </c>
      <c r="S208" s="76">
        <v>0.14756949</v>
      </c>
      <c r="T208" s="138">
        <v>0.96049879999999999</v>
      </c>
    </row>
    <row r="209" spans="5:20">
      <c r="E209" s="130">
        <v>0.121</v>
      </c>
      <c r="F209" s="77">
        <v>0.95831</v>
      </c>
      <c r="G209" s="75">
        <v>23.1</v>
      </c>
      <c r="H209" s="88">
        <v>0.99957600000000002</v>
      </c>
      <c r="I209" s="77">
        <v>0.99678253999999999</v>
      </c>
      <c r="J209" s="15">
        <v>64.977999999999994</v>
      </c>
      <c r="R209" s="53">
        <v>401</v>
      </c>
      <c r="S209" s="76">
        <v>0.14942208000000001</v>
      </c>
      <c r="T209" s="138">
        <v>0.95916486000000001</v>
      </c>
    </row>
    <row r="210" spans="5:20">
      <c r="E210" s="130">
        <v>0.12200999999999999</v>
      </c>
      <c r="F210" s="77">
        <v>0.95850999999999997</v>
      </c>
      <c r="G210" s="75">
        <v>23.2</v>
      </c>
      <c r="H210" s="88">
        <v>0.9995735</v>
      </c>
      <c r="I210" s="77">
        <v>0.99676540000000002</v>
      </c>
      <c r="J210" s="15">
        <v>64.978999999999999</v>
      </c>
      <c r="R210" s="53">
        <v>402</v>
      </c>
      <c r="S210" s="76">
        <v>0.15130537999999999</v>
      </c>
      <c r="T210" s="138">
        <v>0.95778779999999997</v>
      </c>
    </row>
    <row r="211" spans="5:20">
      <c r="E211" s="130">
        <v>0.12303</v>
      </c>
      <c r="F211" s="77">
        <v>0.95872000000000002</v>
      </c>
      <c r="G211" s="75">
        <v>23.3</v>
      </c>
      <c r="H211" s="88">
        <v>0.99957099999999999</v>
      </c>
      <c r="I211" s="77">
        <v>0.99674819999999997</v>
      </c>
      <c r="J211" s="15">
        <v>64.98</v>
      </c>
      <c r="R211" s="53">
        <v>403</v>
      </c>
      <c r="S211" s="76">
        <v>0.15322026999999999</v>
      </c>
      <c r="T211" s="138">
        <v>0.95636620000000006</v>
      </c>
    </row>
    <row r="212" spans="5:20">
      <c r="E212" s="130">
        <v>0.12406</v>
      </c>
      <c r="F212" s="77">
        <v>0.95891999999999999</v>
      </c>
      <c r="G212" s="75">
        <v>23.4</v>
      </c>
      <c r="H212" s="88">
        <v>0.99956849999999997</v>
      </c>
      <c r="I212" s="77">
        <v>0.99673104000000001</v>
      </c>
      <c r="J212" s="15">
        <v>64.980999999999995</v>
      </c>
      <c r="R212" s="53">
        <v>404</v>
      </c>
      <c r="S212" s="76">
        <v>0.15516769999999999</v>
      </c>
      <c r="T212" s="138">
        <v>0.95489860000000004</v>
      </c>
    </row>
    <row r="213" spans="5:20">
      <c r="E213" s="130">
        <v>0.12509999999999999</v>
      </c>
      <c r="F213" s="77">
        <v>0.95911999999999997</v>
      </c>
      <c r="G213" s="75">
        <v>23.5</v>
      </c>
      <c r="H213" s="88">
        <v>0.99956599999999995</v>
      </c>
      <c r="I213" s="77">
        <v>0.99671390000000004</v>
      </c>
      <c r="J213" s="15">
        <v>64.981999999999999</v>
      </c>
      <c r="R213" s="53">
        <v>405</v>
      </c>
      <c r="S213" s="76">
        <v>0.15714860999999999</v>
      </c>
      <c r="T213" s="138">
        <v>0.95338350000000005</v>
      </c>
    </row>
    <row r="214" spans="5:20">
      <c r="E214" s="130">
        <v>0.12615000000000001</v>
      </c>
      <c r="F214" s="77">
        <v>0.95931999999999995</v>
      </c>
      <c r="G214" s="75">
        <v>23.6</v>
      </c>
      <c r="H214" s="88">
        <v>0.99956350000000005</v>
      </c>
      <c r="I214" s="77">
        <v>0.99669677000000001</v>
      </c>
      <c r="J214" s="15">
        <v>64.983000000000004</v>
      </c>
      <c r="R214" s="53">
        <v>406</v>
      </c>
      <c r="S214" s="76">
        <v>0.15916404000000001</v>
      </c>
      <c r="T214" s="138">
        <v>0.95181930000000003</v>
      </c>
    </row>
    <row r="215" spans="5:20">
      <c r="E215" s="130">
        <v>0.12720999999999999</v>
      </c>
      <c r="F215" s="77">
        <v>0.95950999999999997</v>
      </c>
      <c r="G215" s="75">
        <v>23.7</v>
      </c>
      <c r="H215" s="88">
        <v>0.99956095</v>
      </c>
      <c r="I215" s="77">
        <v>0.9966796</v>
      </c>
      <c r="J215" s="15">
        <v>64.983999999999995</v>
      </c>
      <c r="R215" s="53">
        <v>407</v>
      </c>
      <c r="S215" s="76">
        <v>0.16121501999999999</v>
      </c>
      <c r="T215" s="138">
        <v>0.9502043</v>
      </c>
    </row>
    <row r="216" spans="5:20">
      <c r="E216" s="130">
        <v>0.12828999999999999</v>
      </c>
      <c r="F216" s="77">
        <v>0.95970999999999995</v>
      </c>
      <c r="G216" s="75">
        <v>23.8</v>
      </c>
      <c r="H216" s="88">
        <v>0.99955844999999999</v>
      </c>
      <c r="I216" s="77">
        <v>0.99666244000000004</v>
      </c>
      <c r="J216" s="15">
        <v>64.984999999999999</v>
      </c>
      <c r="R216" s="53">
        <v>408</v>
      </c>
      <c r="S216" s="76">
        <v>0.16330267000000001</v>
      </c>
      <c r="T216" s="138">
        <v>0.94853679999999996</v>
      </c>
    </row>
    <row r="217" spans="5:20">
      <c r="E217" s="130">
        <v>0.12937000000000001</v>
      </c>
      <c r="F217" s="77">
        <v>0.95989999999999998</v>
      </c>
      <c r="G217" s="75">
        <v>23.9</v>
      </c>
      <c r="H217" s="88">
        <v>0.99955594999999997</v>
      </c>
      <c r="I217" s="77">
        <v>0.99664529999999996</v>
      </c>
      <c r="J217" s="15">
        <v>64.986000000000004</v>
      </c>
      <c r="R217" s="53">
        <v>409</v>
      </c>
      <c r="S217" s="76">
        <v>0.16542815</v>
      </c>
      <c r="T217" s="138">
        <v>0.94681512999999995</v>
      </c>
    </row>
    <row r="218" spans="5:20">
      <c r="E218" s="130">
        <v>0.13045999999999999</v>
      </c>
      <c r="F218" s="77">
        <v>0.96009999999999995</v>
      </c>
      <c r="G218" s="75">
        <v>24</v>
      </c>
      <c r="H218" s="88">
        <v>0.99955344000000002</v>
      </c>
      <c r="I218" s="77">
        <v>0.99662810000000002</v>
      </c>
      <c r="J218" s="15">
        <v>64.986999999999995</v>
      </c>
      <c r="R218" s="53">
        <v>410</v>
      </c>
      <c r="S218" s="76">
        <v>0.16759267</v>
      </c>
      <c r="T218" s="138">
        <v>0.94503725000000005</v>
      </c>
    </row>
    <row r="219" spans="5:20">
      <c r="E219" s="130">
        <v>0.13156000000000001</v>
      </c>
      <c r="F219" s="77">
        <v>0.96028999999999998</v>
      </c>
      <c r="G219" s="75">
        <v>24.1</v>
      </c>
      <c r="H219" s="88">
        <v>0.99955090000000002</v>
      </c>
      <c r="I219" s="77">
        <v>0.99661093999999995</v>
      </c>
      <c r="J219" s="15">
        <v>64.988</v>
      </c>
      <c r="R219" s="53">
        <v>411</v>
      </c>
      <c r="S219" s="76">
        <v>0.16979749999999999</v>
      </c>
      <c r="T219" s="138">
        <v>0.94320130000000002</v>
      </c>
    </row>
    <row r="220" spans="5:20">
      <c r="E220" s="130">
        <v>0.13267999999999999</v>
      </c>
      <c r="F220" s="77">
        <v>0.96048</v>
      </c>
      <c r="G220" s="75">
        <v>24.2</v>
      </c>
      <c r="H220" s="88">
        <v>0.9995484</v>
      </c>
      <c r="I220" s="77">
        <v>0.99659379999999997</v>
      </c>
      <c r="J220" s="15">
        <v>64.989000000000004</v>
      </c>
      <c r="R220" s="53">
        <v>412</v>
      </c>
      <c r="S220" s="76">
        <v>0.17204398000000001</v>
      </c>
      <c r="T220" s="138">
        <v>0.94130533999999999</v>
      </c>
    </row>
    <row r="221" spans="5:20">
      <c r="E221" s="130">
        <v>0.1338</v>
      </c>
      <c r="F221" s="77">
        <v>0.96065999999999996</v>
      </c>
      <c r="G221" s="75">
        <v>24.3</v>
      </c>
      <c r="H221" s="88">
        <v>0.99954589999999999</v>
      </c>
      <c r="I221" s="77">
        <v>0.99657660000000003</v>
      </c>
      <c r="J221" s="15">
        <v>64.989999999999995</v>
      </c>
      <c r="R221" s="53">
        <v>413</v>
      </c>
      <c r="S221" s="76">
        <v>0.17433351</v>
      </c>
      <c r="T221" s="138">
        <v>0.93934709999999999</v>
      </c>
    </row>
    <row r="222" spans="5:20">
      <c r="E222" s="130">
        <v>0.13494</v>
      </c>
      <c r="F222" s="77">
        <v>0.96084999999999998</v>
      </c>
      <c r="G222" s="75">
        <v>24.4</v>
      </c>
      <c r="H222" s="88">
        <v>0.99954330000000002</v>
      </c>
      <c r="I222" s="77">
        <v>0.99655943999999996</v>
      </c>
      <c r="J222" s="15">
        <v>64.991</v>
      </c>
      <c r="R222" s="53">
        <v>414</v>
      </c>
      <c r="S222" s="76">
        <v>0.17666757</v>
      </c>
      <c r="T222" s="138">
        <v>0.9373245</v>
      </c>
    </row>
    <row r="223" spans="5:20">
      <c r="E223" s="130">
        <v>0.13608999999999999</v>
      </c>
      <c r="F223" s="77">
        <v>0.96104000000000001</v>
      </c>
      <c r="G223" s="75">
        <v>24.5</v>
      </c>
      <c r="H223" s="88">
        <v>0.99954080000000001</v>
      </c>
      <c r="I223" s="77">
        <v>0.99654229999999999</v>
      </c>
      <c r="J223" s="15">
        <v>64.992000000000004</v>
      </c>
      <c r="R223" s="53">
        <v>415</v>
      </c>
      <c r="S223" s="76">
        <v>0.17904771999999999</v>
      </c>
      <c r="T223" s="138">
        <v>0.93523526000000001</v>
      </c>
    </row>
    <row r="224" spans="5:20">
      <c r="E224" s="130">
        <v>0.13725000000000001</v>
      </c>
      <c r="F224" s="77">
        <v>0.96121999999999996</v>
      </c>
      <c r="G224" s="75">
        <v>24.6</v>
      </c>
      <c r="H224" s="88">
        <v>0.99953824000000002</v>
      </c>
      <c r="I224" s="77">
        <v>0.99652505000000002</v>
      </c>
      <c r="J224" s="15">
        <v>64.992999999999995</v>
      </c>
      <c r="R224" s="53">
        <v>416</v>
      </c>
      <c r="S224" s="76">
        <v>0.18147558</v>
      </c>
      <c r="T224" s="138">
        <v>0.93307686000000001</v>
      </c>
    </row>
    <row r="225" spans="5:20">
      <c r="E225" s="130">
        <v>0.13841999999999999</v>
      </c>
      <c r="F225" s="77">
        <v>0.96140000000000003</v>
      </c>
      <c r="G225" s="75">
        <v>24.7</v>
      </c>
      <c r="H225" s="88">
        <v>0.99953570000000003</v>
      </c>
      <c r="I225" s="77">
        <v>0.9965079</v>
      </c>
      <c r="J225" s="15">
        <v>64.994</v>
      </c>
      <c r="R225" s="53">
        <v>417</v>
      </c>
      <c r="S225" s="76">
        <v>0.18395291</v>
      </c>
      <c r="T225" s="138">
        <v>0.93084690000000003</v>
      </c>
    </row>
    <row r="226" spans="5:20">
      <c r="E226" s="130">
        <v>0.1396</v>
      </c>
      <c r="F226" s="77">
        <v>0.96157999999999999</v>
      </c>
      <c r="G226" s="75">
        <v>24.8</v>
      </c>
      <c r="H226" s="88">
        <v>0.99953320000000001</v>
      </c>
      <c r="I226" s="77">
        <v>0.99649069999999995</v>
      </c>
      <c r="J226" s="15">
        <v>64.995000000000005</v>
      </c>
      <c r="R226" s="53">
        <v>418</v>
      </c>
      <c r="S226" s="76">
        <v>0.18648149999999999</v>
      </c>
      <c r="T226" s="138">
        <v>0.92854272999999998</v>
      </c>
    </row>
    <row r="227" spans="5:20">
      <c r="E227" s="130">
        <v>0.14080000000000001</v>
      </c>
      <c r="F227" s="77">
        <v>0.96175999999999995</v>
      </c>
      <c r="G227" s="75">
        <v>24.9</v>
      </c>
      <c r="H227" s="88">
        <v>0.99953060000000005</v>
      </c>
      <c r="I227" s="77">
        <v>0.99647355000000004</v>
      </c>
      <c r="J227" s="15">
        <v>64.995999999999995</v>
      </c>
      <c r="R227" s="53">
        <v>419</v>
      </c>
      <c r="S227" s="76">
        <v>0.18906329999999999</v>
      </c>
      <c r="T227" s="138">
        <v>0.92616149999999997</v>
      </c>
    </row>
    <row r="228" spans="5:20">
      <c r="E228" s="130">
        <v>0.14201</v>
      </c>
      <c r="F228" s="77">
        <v>0.96194000000000002</v>
      </c>
      <c r="G228" s="75">
        <v>25</v>
      </c>
      <c r="H228" s="88">
        <v>0.99952805</v>
      </c>
      <c r="I228" s="77">
        <v>0.99645640000000002</v>
      </c>
      <c r="J228" s="15">
        <v>64.997</v>
      </c>
      <c r="R228" s="53">
        <v>420</v>
      </c>
      <c r="S228" s="76">
        <v>0.19170031000000001</v>
      </c>
      <c r="T228" s="138">
        <v>0.92370050000000004</v>
      </c>
    </row>
    <row r="229" spans="5:20">
      <c r="E229" s="130">
        <v>0.14323</v>
      </c>
      <c r="F229" s="77">
        <v>0.96211999999999998</v>
      </c>
      <c r="G229" s="75">
        <v>25.1</v>
      </c>
      <c r="H229" s="88">
        <v>0.99952549999999996</v>
      </c>
      <c r="I229" s="77">
        <v>0.99643919999999997</v>
      </c>
      <c r="J229" s="15">
        <v>64.998000000000005</v>
      </c>
      <c r="R229" s="53">
        <v>421</v>
      </c>
      <c r="S229" s="76">
        <v>0.19439474000000001</v>
      </c>
      <c r="T229" s="138">
        <v>0.92115659999999999</v>
      </c>
    </row>
    <row r="230" spans="5:20">
      <c r="E230" s="130">
        <v>0.14446999999999999</v>
      </c>
      <c r="F230" s="77">
        <v>0.96230000000000004</v>
      </c>
      <c r="G230" s="75">
        <v>25.2</v>
      </c>
      <c r="H230" s="88">
        <v>0.99952300000000005</v>
      </c>
      <c r="I230" s="77">
        <v>0.99642200000000003</v>
      </c>
      <c r="J230" s="15">
        <v>64.998999999999995</v>
      </c>
      <c r="R230" s="53">
        <v>422</v>
      </c>
      <c r="S230" s="76">
        <v>0.19714883</v>
      </c>
      <c r="T230" s="138">
        <v>0.91852652999999995</v>
      </c>
    </row>
    <row r="231" spans="5:20">
      <c r="E231" s="130">
        <v>0.14571999999999999</v>
      </c>
      <c r="F231" s="77">
        <v>0.96247000000000005</v>
      </c>
      <c r="G231" s="75">
        <v>25.3</v>
      </c>
      <c r="H231" s="88">
        <v>0.99952039999999998</v>
      </c>
      <c r="I231" s="77">
        <v>0.99640479999999998</v>
      </c>
      <c r="J231" s="15">
        <v>65</v>
      </c>
      <c r="R231" s="53">
        <v>423</v>
      </c>
      <c r="S231" s="76">
        <v>0.19996504000000001</v>
      </c>
      <c r="T231" s="138">
        <v>0.91580706999999995</v>
      </c>
    </row>
    <row r="232" spans="5:20">
      <c r="E232" s="130">
        <v>0.14699000000000001</v>
      </c>
      <c r="F232" s="77">
        <v>0.96264000000000005</v>
      </c>
      <c r="G232" s="75">
        <v>25.4</v>
      </c>
      <c r="H232" s="88">
        <v>0.99951785999999998</v>
      </c>
      <c r="I232" s="77">
        <v>0.99638766000000001</v>
      </c>
      <c r="J232" s="15">
        <v>65.001000000000005</v>
      </c>
      <c r="R232" s="53">
        <v>424</v>
      </c>
      <c r="S232" s="76">
        <v>0.20284595</v>
      </c>
      <c r="T232" s="138">
        <v>0.91299459999999999</v>
      </c>
    </row>
    <row r="233" spans="5:20">
      <c r="E233" s="130">
        <v>0.14827000000000001</v>
      </c>
      <c r="F233" s="77">
        <v>0.96282000000000001</v>
      </c>
      <c r="G233" s="75">
        <v>25.5</v>
      </c>
      <c r="H233" s="88">
        <v>0.9995153</v>
      </c>
      <c r="I233" s="77">
        <v>0.99637050000000005</v>
      </c>
      <c r="J233" s="15">
        <v>65.001999999999995</v>
      </c>
      <c r="R233" s="53">
        <v>425</v>
      </c>
      <c r="S233" s="76">
        <v>0.20579430000000001</v>
      </c>
      <c r="T233" s="138">
        <v>0.91008549999999999</v>
      </c>
    </row>
    <row r="234" spans="5:20">
      <c r="E234" s="130">
        <v>0.14956</v>
      </c>
      <c r="F234" s="77">
        <v>0.96299000000000001</v>
      </c>
      <c r="G234" s="75">
        <v>25.6</v>
      </c>
      <c r="H234" s="88">
        <v>0.99951272999999996</v>
      </c>
      <c r="I234" s="77">
        <v>0.99635326999999996</v>
      </c>
      <c r="J234" s="15">
        <v>65.003</v>
      </c>
      <c r="R234" s="53">
        <v>426</v>
      </c>
      <c r="S234" s="76">
        <v>0.20881303000000001</v>
      </c>
      <c r="T234" s="138">
        <v>0.90707576000000001</v>
      </c>
    </row>
    <row r="235" spans="5:20">
      <c r="E235" s="130">
        <v>0.15087</v>
      </c>
      <c r="F235" s="77">
        <v>0.96316000000000002</v>
      </c>
      <c r="G235" s="75">
        <v>25.7</v>
      </c>
      <c r="H235" s="88">
        <v>0.99951009999999996</v>
      </c>
      <c r="I235" s="77">
        <v>0.99633609999999995</v>
      </c>
      <c r="J235" s="15">
        <v>65.004000000000005</v>
      </c>
      <c r="R235" s="53">
        <v>427</v>
      </c>
      <c r="S235" s="76">
        <v>0.21190523999999999</v>
      </c>
      <c r="T235" s="138">
        <v>0.90396120000000002</v>
      </c>
    </row>
    <row r="236" spans="5:20">
      <c r="E236" s="130">
        <v>0.1522</v>
      </c>
      <c r="F236" s="77">
        <v>0.96333000000000002</v>
      </c>
      <c r="G236" s="75">
        <v>25.8</v>
      </c>
      <c r="H236" s="88">
        <v>0.99950755000000002</v>
      </c>
      <c r="I236" s="77">
        <v>0.99631893999999999</v>
      </c>
      <c r="J236" s="15">
        <v>65.004999999999995</v>
      </c>
      <c r="R236" s="53">
        <v>428</v>
      </c>
      <c r="S236" s="76">
        <v>0.21507432000000001</v>
      </c>
      <c r="T236" s="138">
        <v>0.90073734999999999</v>
      </c>
    </row>
    <row r="237" spans="5:20">
      <c r="E237" s="130">
        <v>0.15354000000000001</v>
      </c>
      <c r="F237" s="77">
        <v>0.96348999999999996</v>
      </c>
      <c r="G237" s="75">
        <v>25.9</v>
      </c>
      <c r="H237" s="88">
        <v>0.99950499999999998</v>
      </c>
      <c r="I237" s="77">
        <v>0.99630180000000002</v>
      </c>
      <c r="J237" s="15">
        <v>65.006</v>
      </c>
      <c r="R237" s="53">
        <v>429</v>
      </c>
      <c r="S237" s="76">
        <v>0.21832383</v>
      </c>
      <c r="T237" s="138">
        <v>0.89739966000000004</v>
      </c>
    </row>
    <row r="238" spans="5:20">
      <c r="E238" s="130">
        <v>0.15490000000000001</v>
      </c>
      <c r="F238" s="77">
        <v>0.96365999999999996</v>
      </c>
      <c r="G238" s="75">
        <v>26</v>
      </c>
      <c r="H238" s="88">
        <v>0.99950240000000001</v>
      </c>
      <c r="I238" s="77">
        <v>0.99628454</v>
      </c>
      <c r="J238" s="15">
        <v>65.007000000000005</v>
      </c>
      <c r="R238" s="53">
        <v>430</v>
      </c>
      <c r="S238" s="76">
        <v>0.22165762999999999</v>
      </c>
      <c r="T238" s="138">
        <v>0.89394313000000003</v>
      </c>
    </row>
    <row r="239" spans="5:20">
      <c r="E239" s="130">
        <v>0.15626999999999999</v>
      </c>
      <c r="F239" s="77">
        <v>0.96382000000000001</v>
      </c>
      <c r="G239" s="75">
        <v>26.1</v>
      </c>
      <c r="H239" s="88">
        <v>0.99949980000000005</v>
      </c>
      <c r="I239" s="77">
        <v>0.99626740000000003</v>
      </c>
      <c r="J239" s="15">
        <v>65.007999999999996</v>
      </c>
      <c r="R239" s="53">
        <v>431</v>
      </c>
      <c r="S239" s="76">
        <v>0.22507985999999999</v>
      </c>
      <c r="T239" s="138">
        <v>0.89036243999999998</v>
      </c>
    </row>
    <row r="240" spans="5:20">
      <c r="E240" s="130">
        <v>0.15765999999999999</v>
      </c>
      <c r="F240" s="77">
        <v>0.96399000000000001</v>
      </c>
      <c r="G240" s="75">
        <v>26.2</v>
      </c>
      <c r="H240" s="88">
        <v>0.99949723000000001</v>
      </c>
      <c r="I240" s="77">
        <v>0.99625014999999995</v>
      </c>
      <c r="J240" s="15">
        <v>65.009</v>
      </c>
      <c r="R240" s="53">
        <v>432</v>
      </c>
      <c r="S240" s="76">
        <v>0.22859499</v>
      </c>
      <c r="T240" s="138">
        <v>0.88665190000000005</v>
      </c>
    </row>
    <row r="241" spans="5:20">
      <c r="E241" s="130">
        <v>0.15906999999999999</v>
      </c>
      <c r="F241" s="77">
        <v>0.96414999999999995</v>
      </c>
      <c r="G241" s="75">
        <v>26.3</v>
      </c>
      <c r="H241" s="88">
        <v>0.99949469999999996</v>
      </c>
      <c r="I241" s="77">
        <v>0.99623300000000004</v>
      </c>
      <c r="J241" s="15">
        <v>65.010000000000005</v>
      </c>
      <c r="R241" s="53">
        <v>433</v>
      </c>
      <c r="S241" s="76">
        <v>0.23220782000000001</v>
      </c>
      <c r="T241" s="138">
        <v>0.88280546999999998</v>
      </c>
    </row>
    <row r="242" spans="5:20">
      <c r="E242" s="130">
        <v>0.1605</v>
      </c>
      <c r="F242" s="77">
        <v>0.96431</v>
      </c>
      <c r="G242" s="75">
        <v>26.4</v>
      </c>
      <c r="H242" s="88">
        <v>0.99949204999999997</v>
      </c>
      <c r="I242" s="77">
        <v>0.99621579999999998</v>
      </c>
      <c r="J242" s="15">
        <v>65.010999999999996</v>
      </c>
      <c r="R242" s="53">
        <v>434</v>
      </c>
      <c r="S242" s="76">
        <v>0.23592357</v>
      </c>
      <c r="T242" s="138">
        <v>0.87881670000000001</v>
      </c>
    </row>
    <row r="243" spans="5:20">
      <c r="E243" s="130">
        <v>0.16194</v>
      </c>
      <c r="F243" s="77">
        <v>0.96448</v>
      </c>
      <c r="G243" s="75">
        <v>26.5</v>
      </c>
      <c r="H243" s="88">
        <v>0.99948950000000003</v>
      </c>
      <c r="I243" s="77">
        <v>0.99619860000000005</v>
      </c>
      <c r="J243" s="15">
        <v>65.012</v>
      </c>
      <c r="R243" s="53">
        <v>435</v>
      </c>
      <c r="S243" s="76">
        <v>0.23974791000000001</v>
      </c>
      <c r="T243" s="138">
        <v>0.87467870000000003</v>
      </c>
    </row>
    <row r="244" spans="5:20">
      <c r="E244" s="130">
        <v>0.16339999999999999</v>
      </c>
      <c r="F244" s="77">
        <v>0.96462999999999999</v>
      </c>
      <c r="G244" s="75">
        <v>26.6</v>
      </c>
      <c r="H244" s="88">
        <v>0.99948685999999998</v>
      </c>
      <c r="I244" s="77">
        <v>0.99618139999999999</v>
      </c>
      <c r="J244" s="15">
        <v>65.013000000000005</v>
      </c>
      <c r="R244" s="53">
        <v>436</v>
      </c>
      <c r="S244" s="76">
        <v>0.24368699999999999</v>
      </c>
      <c r="T244" s="138">
        <v>0.87038380000000004</v>
      </c>
    </row>
    <row r="245" spans="5:20">
      <c r="E245" s="130">
        <v>0.16489000000000001</v>
      </c>
      <c r="F245" s="77">
        <v>0.96479000000000004</v>
      </c>
      <c r="G245" s="75">
        <v>26.7</v>
      </c>
      <c r="H245" s="88">
        <v>0.99948424000000002</v>
      </c>
      <c r="I245" s="77">
        <v>0.99616420000000006</v>
      </c>
      <c r="J245" s="15">
        <v>65.013999999999996</v>
      </c>
      <c r="R245" s="53">
        <v>437</v>
      </c>
      <c r="S245" s="76">
        <v>0.24774756000000001</v>
      </c>
      <c r="T245" s="138">
        <v>0.86592406</v>
      </c>
    </row>
    <row r="246" spans="5:20">
      <c r="E246" s="130">
        <v>0.16639000000000001</v>
      </c>
      <c r="F246" s="77">
        <v>0.96494999999999997</v>
      </c>
      <c r="G246" s="75">
        <v>26.8</v>
      </c>
      <c r="H246" s="88">
        <v>0.99948170000000003</v>
      </c>
      <c r="I246" s="77">
        <v>0.99614703999999998</v>
      </c>
      <c r="J246" s="15">
        <v>65.015000000000001</v>
      </c>
      <c r="R246" s="53">
        <v>438</v>
      </c>
      <c r="S246" s="76">
        <v>0.25193694</v>
      </c>
      <c r="T246" s="138">
        <v>0.86129062999999995</v>
      </c>
    </row>
    <row r="247" spans="5:20">
      <c r="E247" s="130">
        <v>0.16791</v>
      </c>
      <c r="F247" s="77">
        <v>0.96511000000000002</v>
      </c>
      <c r="G247" s="75">
        <v>26.9</v>
      </c>
      <c r="H247" s="88">
        <v>0.99947905999999997</v>
      </c>
      <c r="I247" s="77">
        <v>0.99612979999999995</v>
      </c>
      <c r="J247" s="15">
        <v>65.016000000000005</v>
      </c>
      <c r="R247" s="53">
        <v>438.21</v>
      </c>
      <c r="S247" s="76">
        <v>0.86044050000000005</v>
      </c>
      <c r="T247" s="138">
        <v>0.75273436000000005</v>
      </c>
    </row>
    <row r="248" spans="5:20">
      <c r="E248" s="130">
        <v>0.16944999999999999</v>
      </c>
      <c r="F248" s="77">
        <v>0.96526000000000001</v>
      </c>
      <c r="G248" s="75">
        <v>27</v>
      </c>
      <c r="H248" s="88">
        <v>0.99947642999999997</v>
      </c>
      <c r="I248" s="77">
        <v>0.99611263999999999</v>
      </c>
      <c r="J248" s="15">
        <v>65.016999999999996</v>
      </c>
      <c r="R248" s="53">
        <v>438.42</v>
      </c>
      <c r="S248" s="76">
        <v>0.90760194999999999</v>
      </c>
      <c r="T248" s="138">
        <v>0.76076573000000003</v>
      </c>
    </row>
    <row r="249" spans="5:20">
      <c r="E249" s="130">
        <v>0.17102000000000001</v>
      </c>
      <c r="F249" s="77">
        <v>0.96541999999999994</v>
      </c>
      <c r="G249" s="75">
        <v>27.1</v>
      </c>
      <c r="H249" s="88">
        <v>0.99947379999999997</v>
      </c>
      <c r="I249" s="77">
        <v>0.99609539999999996</v>
      </c>
      <c r="J249" s="15">
        <v>65.018000000000001</v>
      </c>
      <c r="R249" s="53">
        <v>438.65</v>
      </c>
      <c r="S249" s="76">
        <v>0.92830650000000003</v>
      </c>
      <c r="T249" s="138">
        <v>0.76801660000000005</v>
      </c>
    </row>
    <row r="250" spans="5:20">
      <c r="E250" s="130">
        <v>0.17261000000000001</v>
      </c>
      <c r="F250" s="77">
        <v>0.96557000000000004</v>
      </c>
      <c r="G250" s="75">
        <v>27.2</v>
      </c>
      <c r="H250" s="88">
        <v>0.99947125000000003</v>
      </c>
      <c r="I250" s="77">
        <v>0.99607820000000002</v>
      </c>
      <c r="J250" s="15">
        <v>65.019000000000005</v>
      </c>
      <c r="R250" s="53">
        <v>438.85</v>
      </c>
      <c r="S250" s="76">
        <v>0.93935550000000001</v>
      </c>
      <c r="T250" s="138">
        <v>0.773841</v>
      </c>
    </row>
    <row r="251" spans="5:20">
      <c r="E251" s="130">
        <v>0.17422000000000001</v>
      </c>
      <c r="F251" s="77">
        <v>0.96572999999999998</v>
      </c>
      <c r="G251" s="75">
        <v>27.3</v>
      </c>
      <c r="H251" s="88">
        <v>0.99946860000000004</v>
      </c>
      <c r="I251" s="77">
        <v>0.99606099999999997</v>
      </c>
      <c r="J251" s="15">
        <v>65.02</v>
      </c>
      <c r="R251" s="53">
        <v>439.08</v>
      </c>
      <c r="S251" s="76">
        <v>0.94835139999999996</v>
      </c>
      <c r="T251" s="138">
        <v>0.78023684000000004</v>
      </c>
    </row>
    <row r="252" spans="5:20">
      <c r="E252" s="130">
        <v>0.17585000000000001</v>
      </c>
      <c r="F252" s="77">
        <v>0.96587999999999996</v>
      </c>
      <c r="G252" s="75">
        <v>27.4</v>
      </c>
      <c r="H252" s="88">
        <v>0.99946599999999997</v>
      </c>
      <c r="I252" s="77">
        <v>0.99604380000000003</v>
      </c>
      <c r="J252" s="15">
        <v>65.021000000000001</v>
      </c>
      <c r="R252" s="53">
        <v>439.34</v>
      </c>
      <c r="S252" s="76">
        <v>0.95581293000000001</v>
      </c>
      <c r="T252" s="138">
        <v>0.78722113000000005</v>
      </c>
    </row>
    <row r="253" spans="5:20">
      <c r="E253" s="130">
        <v>0.17751</v>
      </c>
      <c r="F253" s="77">
        <v>0.96603000000000006</v>
      </c>
      <c r="G253" s="75">
        <v>27.5</v>
      </c>
      <c r="H253" s="88">
        <v>0.9994634</v>
      </c>
      <c r="I253" s="77">
        <v>0.99602663999999996</v>
      </c>
      <c r="J253" s="15">
        <v>65.022000000000006</v>
      </c>
      <c r="R253" s="53">
        <v>439.51</v>
      </c>
      <c r="S253" s="76">
        <v>0.9596943</v>
      </c>
      <c r="T253" s="138">
        <v>0.79169020000000001</v>
      </c>
    </row>
    <row r="254" spans="5:20">
      <c r="E254" s="130">
        <v>0.17918999999999999</v>
      </c>
      <c r="F254" s="77">
        <v>0.96618000000000004</v>
      </c>
      <c r="G254" s="75">
        <v>27.6</v>
      </c>
      <c r="H254" s="88">
        <v>0.99946069999999998</v>
      </c>
      <c r="I254" s="77">
        <v>0.99600940000000004</v>
      </c>
      <c r="J254" s="15">
        <v>65.022999999999996</v>
      </c>
      <c r="R254" s="53">
        <v>439.74</v>
      </c>
      <c r="S254" s="76">
        <v>0.96407604000000002</v>
      </c>
      <c r="T254" s="138">
        <v>0.79764694000000003</v>
      </c>
    </row>
    <row r="255" spans="5:20">
      <c r="E255" s="130">
        <v>0.18089</v>
      </c>
      <c r="F255" s="77">
        <v>0.96633000000000002</v>
      </c>
      <c r="G255" s="75">
        <v>27.7</v>
      </c>
      <c r="H255" s="88">
        <v>0.99945810000000002</v>
      </c>
      <c r="I255" s="77">
        <v>0.99599219999999999</v>
      </c>
      <c r="J255" s="15">
        <v>65.024000000000001</v>
      </c>
      <c r="R255" s="53">
        <v>439.83</v>
      </c>
      <c r="S255" s="76">
        <v>0.9655764</v>
      </c>
      <c r="T255" s="138">
        <v>0.79995519999999998</v>
      </c>
    </row>
    <row r="256" spans="5:20">
      <c r="E256" s="130">
        <v>0.18262999999999999</v>
      </c>
      <c r="F256" s="77">
        <v>0.96648000000000001</v>
      </c>
      <c r="G256" s="75">
        <v>27.8</v>
      </c>
      <c r="H256" s="88">
        <v>0.99945545000000002</v>
      </c>
      <c r="I256" s="77">
        <v>0.99597500000000005</v>
      </c>
      <c r="J256" s="15">
        <v>65.025000000000006</v>
      </c>
      <c r="R256" s="53"/>
      <c r="S256" s="76"/>
      <c r="T256" s="138"/>
    </row>
    <row r="257" spans="5:20">
      <c r="E257" s="130">
        <v>0.18439</v>
      </c>
      <c r="F257" s="77">
        <v>0.96662000000000003</v>
      </c>
      <c r="G257" s="75">
        <v>27.9</v>
      </c>
      <c r="H257" s="88">
        <v>0.99945280000000003</v>
      </c>
      <c r="I257" s="77">
        <v>0.9959578</v>
      </c>
      <c r="J257" s="15">
        <v>65.025999999999996</v>
      </c>
      <c r="R257" s="53">
        <v>438.37</v>
      </c>
      <c r="S257" s="76">
        <v>0.90075019999999995</v>
      </c>
      <c r="T257" s="138">
        <v>0.75905025000000004</v>
      </c>
    </row>
    <row r="258" spans="5:20">
      <c r="E258" s="130">
        <v>0.18617</v>
      </c>
      <c r="F258" s="77">
        <v>0.96677000000000002</v>
      </c>
      <c r="G258" s="75">
        <v>28</v>
      </c>
      <c r="H258" s="88">
        <v>0.99945015000000004</v>
      </c>
      <c r="I258" s="77">
        <v>0.99594057000000002</v>
      </c>
      <c r="J258" s="15">
        <v>65.027000000000001</v>
      </c>
      <c r="R258" s="53">
        <v>438.42</v>
      </c>
      <c r="S258" s="76">
        <v>0.90760194999999999</v>
      </c>
      <c r="T258" s="138">
        <v>0.76076573000000003</v>
      </c>
    </row>
    <row r="259" spans="5:20">
      <c r="E259" s="130">
        <v>0.18798999999999999</v>
      </c>
      <c r="F259" s="77">
        <v>0.96692</v>
      </c>
      <c r="G259" s="75">
        <v>28.1</v>
      </c>
      <c r="H259" s="88">
        <v>0.99944750000000004</v>
      </c>
      <c r="I259" s="77">
        <v>0.99592334000000005</v>
      </c>
      <c r="J259" s="15">
        <v>65.028000000000006</v>
      </c>
      <c r="R259" s="53">
        <v>438.47</v>
      </c>
      <c r="S259" s="76">
        <v>0.91332029999999997</v>
      </c>
      <c r="T259" s="138">
        <v>0.76241784999999995</v>
      </c>
    </row>
    <row r="260" spans="5:20">
      <c r="E260" s="130">
        <v>0.18984000000000001</v>
      </c>
      <c r="F260" s="77">
        <v>0.96706000000000003</v>
      </c>
      <c r="G260" s="75">
        <v>28.2</v>
      </c>
      <c r="H260" s="88">
        <v>0.99944489999999997</v>
      </c>
      <c r="I260" s="77">
        <v>0.99590619999999996</v>
      </c>
      <c r="J260" s="15">
        <v>65.028999999999996</v>
      </c>
      <c r="R260" s="53">
        <v>438.55</v>
      </c>
      <c r="S260" s="76">
        <v>0.92083614999999996</v>
      </c>
      <c r="T260" s="138">
        <v>0.76496242999999997</v>
      </c>
    </row>
    <row r="261" spans="5:20">
      <c r="E261" s="130">
        <v>0.19170999999999999</v>
      </c>
      <c r="F261" s="77">
        <v>0.96721000000000001</v>
      </c>
      <c r="G261" s="75">
        <v>28.3</v>
      </c>
      <c r="H261" s="88">
        <v>0.99944219999999995</v>
      </c>
      <c r="I261" s="77">
        <v>0.99588895</v>
      </c>
      <c r="J261" s="15">
        <v>65.03</v>
      </c>
      <c r="R261" s="53">
        <v>438.62</v>
      </c>
      <c r="S261" s="76">
        <v>0.92624295000000001</v>
      </c>
      <c r="T261" s="138">
        <v>0.76711260000000003</v>
      </c>
    </row>
    <row r="262" spans="5:20">
      <c r="E262" s="130">
        <v>0.19361999999999999</v>
      </c>
      <c r="F262" s="77">
        <v>0.96735000000000004</v>
      </c>
      <c r="G262" s="75">
        <v>28.4</v>
      </c>
      <c r="H262" s="88">
        <v>0.99943959999999998</v>
      </c>
      <c r="I262" s="77">
        <v>0.99587170000000003</v>
      </c>
      <c r="J262" s="15">
        <v>65.031000000000006</v>
      </c>
      <c r="R262" s="53">
        <v>438.69</v>
      </c>
      <c r="S262" s="76">
        <v>0.93086190000000002</v>
      </c>
      <c r="T262" s="138">
        <v>0.76920770000000005</v>
      </c>
    </row>
    <row r="263" spans="5:20">
      <c r="E263" s="130">
        <v>0.19556000000000001</v>
      </c>
      <c r="F263" s="77">
        <v>0.96748999999999996</v>
      </c>
      <c r="G263" s="75">
        <v>28.5</v>
      </c>
      <c r="H263" s="88">
        <v>0.99943689999999996</v>
      </c>
      <c r="I263" s="77">
        <v>0.99585449999999998</v>
      </c>
      <c r="J263" s="15">
        <v>65.031999999999996</v>
      </c>
      <c r="R263" s="53">
        <v>438.78</v>
      </c>
      <c r="S263" s="76">
        <v>0.93593335</v>
      </c>
      <c r="T263" s="138">
        <v>0.771837</v>
      </c>
    </row>
    <row r="264" spans="5:20">
      <c r="E264" s="130">
        <v>0.19753999999999999</v>
      </c>
      <c r="F264" s="77">
        <v>0.96763999999999994</v>
      </c>
      <c r="G264" s="75">
        <v>28.6</v>
      </c>
      <c r="H264" s="88">
        <v>0.99943422999999998</v>
      </c>
      <c r="I264" s="77">
        <v>0.99583730000000004</v>
      </c>
      <c r="J264" s="15">
        <v>65.033000000000001</v>
      </c>
      <c r="R264" s="53">
        <v>438.89</v>
      </c>
      <c r="S264" s="76">
        <v>0.94114344999999999</v>
      </c>
      <c r="T264" s="138">
        <v>0.77497249999999995</v>
      </c>
    </row>
    <row r="265" spans="5:20">
      <c r="E265" s="130">
        <v>0.19955000000000001</v>
      </c>
      <c r="F265" s="77">
        <v>0.96777999999999997</v>
      </c>
      <c r="G265" s="75">
        <v>28.7</v>
      </c>
      <c r="H265" s="88">
        <v>0.99943159999999998</v>
      </c>
      <c r="I265" s="77">
        <v>0.99582004999999996</v>
      </c>
      <c r="J265" s="15">
        <v>65.034000000000006</v>
      </c>
      <c r="R265" s="53">
        <v>439.01</v>
      </c>
      <c r="S265" s="76">
        <v>0.94591164999999999</v>
      </c>
      <c r="T265" s="138">
        <v>0.77831640000000002</v>
      </c>
    </row>
    <row r="266" spans="5:20">
      <c r="E266" s="130">
        <v>0.20158999999999999</v>
      </c>
      <c r="F266" s="77">
        <v>0.96792</v>
      </c>
      <c r="G266" s="75">
        <v>28.8</v>
      </c>
      <c r="H266" s="88">
        <v>0.99942889999999995</v>
      </c>
      <c r="I266" s="77">
        <v>0.99580279999999999</v>
      </c>
      <c r="J266" s="15">
        <v>65.034999999999997</v>
      </c>
      <c r="R266" s="53">
        <v>439.07</v>
      </c>
      <c r="S266" s="76">
        <v>0.94801619999999998</v>
      </c>
      <c r="T266" s="138">
        <v>0.77996372999999997</v>
      </c>
    </row>
    <row r="267" spans="5:20">
      <c r="E267" s="130">
        <v>0.20368</v>
      </c>
      <c r="F267" s="77">
        <v>0.96806000000000003</v>
      </c>
      <c r="G267" s="75">
        <v>28.9</v>
      </c>
      <c r="H267" s="88">
        <v>0.99942624999999996</v>
      </c>
      <c r="I267" s="77">
        <v>0.99578564999999997</v>
      </c>
      <c r="J267" s="15">
        <v>65.036000000000001</v>
      </c>
      <c r="R267" s="53">
        <v>439.17</v>
      </c>
      <c r="S267" s="76">
        <v>0.95118910000000001</v>
      </c>
      <c r="T267" s="138">
        <v>0.78267869999999995</v>
      </c>
    </row>
    <row r="268" spans="5:20">
      <c r="E268" s="130">
        <v>0.20580000000000001</v>
      </c>
      <c r="F268" s="77">
        <v>0.96819999999999995</v>
      </c>
      <c r="G268" s="75">
        <v>29</v>
      </c>
      <c r="H268" s="88">
        <v>0.99942355999999999</v>
      </c>
      <c r="I268" s="77">
        <v>0.9957684</v>
      </c>
      <c r="J268" s="15">
        <v>65.037000000000006</v>
      </c>
      <c r="R268" s="53">
        <v>439.33</v>
      </c>
      <c r="S268" s="76">
        <v>0.95556366000000004</v>
      </c>
      <c r="T268" s="138">
        <v>0.78695612999999998</v>
      </c>
    </row>
    <row r="269" spans="5:20">
      <c r="E269" s="130">
        <v>0.20796000000000001</v>
      </c>
      <c r="F269" s="77">
        <v>0.96833000000000002</v>
      </c>
      <c r="G269" s="75">
        <v>29.1</v>
      </c>
      <c r="H269" s="88">
        <v>0.99942094000000004</v>
      </c>
      <c r="I269" s="77">
        <v>0.99575119999999995</v>
      </c>
      <c r="J269" s="15">
        <v>65.037999999999997</v>
      </c>
      <c r="R269" s="53">
        <v>439.51</v>
      </c>
      <c r="S269" s="76">
        <v>0.9596943</v>
      </c>
      <c r="T269" s="138">
        <v>0.79169020000000001</v>
      </c>
    </row>
    <row r="270" spans="5:20">
      <c r="E270" s="130">
        <v>0.21017</v>
      </c>
      <c r="F270" s="77">
        <v>0.96847000000000005</v>
      </c>
      <c r="G270" s="75">
        <v>29.2</v>
      </c>
      <c r="H270" s="88">
        <v>0.99941826</v>
      </c>
      <c r="I270" s="77">
        <v>0.99573400000000001</v>
      </c>
      <c r="J270" s="15">
        <v>65.039000000000001</v>
      </c>
      <c r="R270" s="53">
        <v>439.61</v>
      </c>
      <c r="S270" s="76">
        <v>0.96170619999999996</v>
      </c>
      <c r="T270" s="138">
        <v>0.79429126000000005</v>
      </c>
    </row>
    <row r="271" spans="5:20">
      <c r="E271" s="130">
        <v>0.21242</v>
      </c>
      <c r="F271" s="77">
        <v>0.96860999999999997</v>
      </c>
      <c r="G271" s="75">
        <v>29.3</v>
      </c>
      <c r="H271" s="88">
        <v>0.99941559999999996</v>
      </c>
      <c r="I271" s="77">
        <v>0.99571675000000004</v>
      </c>
      <c r="J271" s="15">
        <v>65.040000000000006</v>
      </c>
      <c r="R271" s="53">
        <v>439.7</v>
      </c>
      <c r="S271" s="76">
        <v>0.96337384000000004</v>
      </c>
      <c r="T271" s="138">
        <v>0.79661727000000004</v>
      </c>
    </row>
    <row r="272" spans="5:20">
      <c r="E272" s="130">
        <v>0.21471000000000001</v>
      </c>
      <c r="F272" s="77">
        <v>0.96874000000000005</v>
      </c>
      <c r="G272" s="75">
        <v>29.4</v>
      </c>
      <c r="H272" s="88">
        <v>0.99941283000000003</v>
      </c>
      <c r="I272" s="77">
        <v>0.99569949999999996</v>
      </c>
      <c r="J272" s="15">
        <v>65.040999999999997</v>
      </c>
      <c r="R272" s="53">
        <v>439.82</v>
      </c>
      <c r="S272" s="76">
        <v>0.96541480000000002</v>
      </c>
      <c r="T272" s="138">
        <v>0.79969924999999997</v>
      </c>
    </row>
    <row r="273" spans="5:20">
      <c r="E273" s="130">
        <v>0.21704999999999999</v>
      </c>
      <c r="F273" s="77">
        <v>0.96887999999999996</v>
      </c>
      <c r="G273" s="75">
        <v>29.5</v>
      </c>
      <c r="H273" s="88">
        <v>0.99941015</v>
      </c>
      <c r="I273" s="77">
        <v>0.99568230000000002</v>
      </c>
      <c r="J273" s="15">
        <v>65.042000000000002</v>
      </c>
      <c r="R273" s="53">
        <v>440.04</v>
      </c>
      <c r="S273" s="76">
        <v>0.96870582999999999</v>
      </c>
      <c r="T273" s="138">
        <v>0.80530113000000003</v>
      </c>
    </row>
    <row r="274" spans="5:20">
      <c r="E274" s="130">
        <v>0.21944</v>
      </c>
      <c r="F274" s="77">
        <v>0.96901999999999999</v>
      </c>
      <c r="G274" s="75">
        <v>29.6</v>
      </c>
      <c r="H274" s="88">
        <v>0.9994075</v>
      </c>
      <c r="I274" s="77">
        <v>0.99566509999999997</v>
      </c>
      <c r="J274" s="15">
        <v>65.043000000000006</v>
      </c>
      <c r="R274" s="53">
        <v>440.19</v>
      </c>
      <c r="S274" s="76">
        <v>0.97067479999999995</v>
      </c>
      <c r="T274" s="138">
        <v>0.80909085000000003</v>
      </c>
    </row>
    <row r="275" spans="5:20">
      <c r="E275" s="130">
        <v>0.22187999999999999</v>
      </c>
      <c r="F275" s="77">
        <v>0.96914999999999996</v>
      </c>
      <c r="G275" s="75">
        <v>29.7</v>
      </c>
      <c r="H275" s="88">
        <v>0.99940479999999998</v>
      </c>
      <c r="I275" s="77">
        <v>0.99564785</v>
      </c>
      <c r="J275" s="15">
        <v>65.043999999999997</v>
      </c>
      <c r="R275" s="53">
        <v>440.28</v>
      </c>
      <c r="S275" s="76">
        <v>0.97176635</v>
      </c>
      <c r="T275" s="138">
        <v>0.81135489999999999</v>
      </c>
    </row>
    <row r="276" spans="5:20">
      <c r="E276" s="130">
        <v>0.22438</v>
      </c>
      <c r="F276" s="77">
        <v>0.96928000000000003</v>
      </c>
      <c r="G276" s="75">
        <v>29.8</v>
      </c>
      <c r="H276" s="88">
        <v>0.99940209999999996</v>
      </c>
      <c r="I276" s="77">
        <v>0.99563056000000005</v>
      </c>
      <c r="J276" s="15">
        <v>65.045000000000002</v>
      </c>
      <c r="R276" s="53">
        <v>440.38</v>
      </c>
      <c r="S276" s="76">
        <v>0.97290902999999995</v>
      </c>
      <c r="T276" s="138">
        <v>0.81386289999999994</v>
      </c>
    </row>
    <row r="277" spans="5:20">
      <c r="E277" s="130">
        <v>0.22692999999999999</v>
      </c>
      <c r="F277" s="77">
        <v>0.96941999999999995</v>
      </c>
      <c r="G277" s="75">
        <v>29.9</v>
      </c>
      <c r="H277" s="88">
        <v>0.99939935999999996</v>
      </c>
      <c r="I277" s="77">
        <v>0.99561334000000001</v>
      </c>
      <c r="J277" s="15">
        <v>65.046000000000006</v>
      </c>
      <c r="R277" s="53">
        <v>440.51</v>
      </c>
      <c r="S277" s="76">
        <v>0.97429540000000003</v>
      </c>
      <c r="T277" s="138">
        <v>0.81711274</v>
      </c>
    </row>
    <row r="278" spans="5:20">
      <c r="E278" s="130">
        <v>0.22953999999999999</v>
      </c>
      <c r="F278" s="77">
        <v>0.96955000000000002</v>
      </c>
      <c r="G278" s="75">
        <v>30</v>
      </c>
      <c r="H278" s="88">
        <v>0.99939670000000003</v>
      </c>
      <c r="I278" s="77">
        <v>0.99559609999999998</v>
      </c>
      <c r="J278" s="15">
        <v>65.046999999999997</v>
      </c>
      <c r="R278" s="53">
        <v>440.57</v>
      </c>
      <c r="S278" s="76">
        <v>0.97490080000000001</v>
      </c>
      <c r="T278" s="138">
        <v>0.81860900000000003</v>
      </c>
    </row>
    <row r="279" spans="5:20">
      <c r="E279" s="130">
        <v>0.23221</v>
      </c>
      <c r="F279" s="77">
        <v>0.96967999999999999</v>
      </c>
      <c r="G279" s="75">
        <v>30.1</v>
      </c>
      <c r="H279" s="88">
        <v>0.999394</v>
      </c>
      <c r="I279" s="77">
        <v>0.99557890000000004</v>
      </c>
      <c r="J279" s="15">
        <v>65.048000000000002</v>
      </c>
      <c r="R279" s="53">
        <v>440.69</v>
      </c>
      <c r="S279" s="76">
        <v>0.97605233999999996</v>
      </c>
      <c r="T279" s="138">
        <v>0.82159530000000003</v>
      </c>
    </row>
    <row r="280" spans="5:20">
      <c r="E280" s="130">
        <v>0.23494000000000001</v>
      </c>
      <c r="F280" s="77">
        <v>0.96980999999999995</v>
      </c>
      <c r="G280" s="75">
        <v>30.2</v>
      </c>
      <c r="H280" s="88">
        <v>0.99939126</v>
      </c>
      <c r="I280" s="77">
        <v>0.99556166000000001</v>
      </c>
      <c r="J280" s="15">
        <v>65.049000000000007</v>
      </c>
      <c r="R280" s="53">
        <v>440.88</v>
      </c>
      <c r="S280" s="76">
        <v>0.97773060000000001</v>
      </c>
      <c r="T280" s="138">
        <v>0.82630870000000001</v>
      </c>
    </row>
    <row r="281" spans="5:20">
      <c r="E281" s="130">
        <v>0.23774999999999999</v>
      </c>
      <c r="F281" s="77">
        <v>0.96994000000000002</v>
      </c>
      <c r="G281" s="75">
        <v>30.3</v>
      </c>
      <c r="H281" s="88">
        <v>0.99938850000000001</v>
      </c>
      <c r="I281" s="77">
        <v>0.99554443000000004</v>
      </c>
      <c r="J281" s="15">
        <v>65.05</v>
      </c>
      <c r="R281" s="53">
        <v>441.08</v>
      </c>
      <c r="S281" s="76">
        <v>0.9793307</v>
      </c>
      <c r="T281" s="138">
        <v>0.83125377</v>
      </c>
    </row>
    <row r="282" spans="5:20">
      <c r="E282" s="130">
        <v>0.24062</v>
      </c>
      <c r="F282" s="77">
        <v>0.97006999999999999</v>
      </c>
      <c r="G282" s="75">
        <v>30.4</v>
      </c>
      <c r="H282" s="88">
        <v>0.99938583000000003</v>
      </c>
      <c r="I282" s="77">
        <v>0.99552715000000003</v>
      </c>
      <c r="J282" s="15">
        <v>65.051000000000002</v>
      </c>
      <c r="R282" s="53">
        <v>441.26</v>
      </c>
      <c r="S282" s="76">
        <v>0.98064536000000002</v>
      </c>
      <c r="T282" s="138">
        <v>0.83569249999999995</v>
      </c>
    </row>
    <row r="283" spans="5:20">
      <c r="E283" s="130">
        <v>0.24357000000000001</v>
      </c>
      <c r="F283" s="77">
        <v>0.97019999999999995</v>
      </c>
      <c r="G283" s="75">
        <v>30.5</v>
      </c>
      <c r="H283" s="88">
        <v>0.99938309999999997</v>
      </c>
      <c r="I283" s="77">
        <v>0.99550989999999995</v>
      </c>
      <c r="J283" s="15">
        <v>65.052000000000007</v>
      </c>
      <c r="R283" s="53">
        <v>441.44</v>
      </c>
      <c r="S283" s="76">
        <v>0.98185690000000003</v>
      </c>
      <c r="T283" s="138">
        <v>0.84012233999999997</v>
      </c>
    </row>
    <row r="284" spans="5:20">
      <c r="E284" s="130">
        <v>0.24659</v>
      </c>
      <c r="F284" s="77">
        <v>0.97033000000000003</v>
      </c>
      <c r="G284" s="75">
        <v>30.6</v>
      </c>
      <c r="H284" s="88">
        <v>0.99938035000000003</v>
      </c>
      <c r="I284" s="77">
        <v>0.99549270000000001</v>
      </c>
      <c r="J284" s="15">
        <v>65.052999999999997</v>
      </c>
      <c r="R284" s="53">
        <v>441.6</v>
      </c>
      <c r="S284" s="76">
        <v>0.98285730000000004</v>
      </c>
      <c r="T284" s="138">
        <v>0.84405375000000005</v>
      </c>
    </row>
    <row r="285" spans="5:20">
      <c r="E285" s="130">
        <v>0.24970000000000001</v>
      </c>
      <c r="F285" s="77">
        <v>0.97045999999999999</v>
      </c>
      <c r="G285" s="75">
        <v>30.7</v>
      </c>
      <c r="H285" s="88">
        <v>0.99937767</v>
      </c>
      <c r="I285" s="77">
        <v>0.99547549999999996</v>
      </c>
      <c r="J285" s="15">
        <v>65.054000000000002</v>
      </c>
      <c r="R285" s="53">
        <v>441.8</v>
      </c>
      <c r="S285" s="76">
        <v>0.98401826999999997</v>
      </c>
      <c r="T285" s="138">
        <v>0.84896165000000001</v>
      </c>
    </row>
    <row r="286" spans="5:20">
      <c r="E286" s="130">
        <v>0.25289</v>
      </c>
      <c r="F286" s="77">
        <v>0.97058999999999995</v>
      </c>
      <c r="G286" s="75">
        <v>30.8</v>
      </c>
      <c r="H286" s="88">
        <v>0.99937489999999995</v>
      </c>
      <c r="I286" s="77">
        <v>0.99545819999999996</v>
      </c>
      <c r="J286" s="15">
        <v>65.055000000000007</v>
      </c>
      <c r="R286" s="53">
        <v>442</v>
      </c>
      <c r="S286" s="76">
        <v>0.98509119999999994</v>
      </c>
      <c r="T286" s="138">
        <v>0.85386399999999996</v>
      </c>
    </row>
    <row r="287" spans="5:20">
      <c r="E287" s="130">
        <v>0.25618000000000002</v>
      </c>
      <c r="F287" s="77">
        <v>0.97072000000000003</v>
      </c>
      <c r="G287" s="75">
        <v>30.9</v>
      </c>
      <c r="H287" s="88">
        <v>0.99937220000000004</v>
      </c>
      <c r="I287" s="77">
        <v>0.99544096000000004</v>
      </c>
      <c r="J287" s="15">
        <v>65.055999999999997</v>
      </c>
      <c r="R287" s="53">
        <v>442.27</v>
      </c>
      <c r="S287" s="76">
        <v>0.98641783000000005</v>
      </c>
      <c r="T287" s="138">
        <v>0.86047625999999999</v>
      </c>
    </row>
    <row r="288" spans="5:20">
      <c r="E288" s="130">
        <v>0.25956000000000001</v>
      </c>
      <c r="F288" s="77">
        <v>0.97084999999999999</v>
      </c>
      <c r="G288" s="75">
        <v>31</v>
      </c>
      <c r="H288" s="88">
        <v>0.99936944000000005</v>
      </c>
      <c r="I288" s="77">
        <v>0.99542372999999995</v>
      </c>
      <c r="J288" s="15">
        <v>65.057000000000002</v>
      </c>
      <c r="R288" s="53">
        <v>442.49</v>
      </c>
      <c r="S288" s="76">
        <v>0.98740846000000004</v>
      </c>
      <c r="T288" s="138">
        <v>0.86586105999999996</v>
      </c>
    </row>
    <row r="289" spans="5:20">
      <c r="E289" s="130">
        <v>0.26305000000000001</v>
      </c>
      <c r="F289" s="77">
        <v>0.97097999999999995</v>
      </c>
      <c r="G289" s="75">
        <v>31.1</v>
      </c>
      <c r="H289" s="88">
        <v>0.99936670000000005</v>
      </c>
      <c r="I289" s="77">
        <v>0.99540645000000005</v>
      </c>
      <c r="J289" s="15">
        <v>65.058000000000007</v>
      </c>
      <c r="R289" s="53">
        <v>442.69</v>
      </c>
      <c r="S289" s="76">
        <v>0.98824719999999999</v>
      </c>
      <c r="T289" s="138">
        <v>0.87075530000000001</v>
      </c>
    </row>
    <row r="290" spans="5:20">
      <c r="E290" s="130">
        <v>0.26663999999999999</v>
      </c>
      <c r="F290" s="77">
        <v>0.97109999999999996</v>
      </c>
      <c r="G290" s="75">
        <v>31.2</v>
      </c>
      <c r="H290" s="88">
        <v>0.99936396000000005</v>
      </c>
      <c r="I290" s="77">
        <v>0.99538919999999997</v>
      </c>
      <c r="J290" s="15">
        <v>65.058999999999997</v>
      </c>
      <c r="R290" s="53">
        <v>442.93</v>
      </c>
      <c r="S290" s="76">
        <v>0.98918459999999997</v>
      </c>
      <c r="T290" s="138">
        <v>0.87662863999999996</v>
      </c>
    </row>
    <row r="291" spans="5:20">
      <c r="E291" s="130">
        <v>0.27034999999999998</v>
      </c>
      <c r="F291" s="77">
        <v>0.97123000000000004</v>
      </c>
      <c r="G291" s="75">
        <v>31.3</v>
      </c>
      <c r="H291" s="88">
        <v>0.99936119999999995</v>
      </c>
      <c r="I291" s="77">
        <v>0.99537200000000003</v>
      </c>
      <c r="J291" s="15">
        <v>65.06</v>
      </c>
      <c r="R291" s="53">
        <v>443.17</v>
      </c>
      <c r="S291" s="76">
        <v>0.99005485000000004</v>
      </c>
      <c r="T291" s="138">
        <v>0.8825035</v>
      </c>
    </row>
    <row r="292" spans="5:20">
      <c r="E292" s="130">
        <v>0.27418999999999999</v>
      </c>
      <c r="F292" s="77">
        <v>0.97136</v>
      </c>
      <c r="G292" s="75">
        <v>31.4</v>
      </c>
      <c r="H292" s="88">
        <v>0.99935850000000004</v>
      </c>
      <c r="I292" s="77">
        <v>0.99535470000000004</v>
      </c>
      <c r="J292" s="15">
        <v>65.061000000000007</v>
      </c>
      <c r="R292" s="53">
        <v>443.38</v>
      </c>
      <c r="S292" s="76">
        <v>0.99076719999999996</v>
      </c>
      <c r="T292" s="138">
        <v>0.88764639999999995</v>
      </c>
    </row>
    <row r="293" spans="5:20">
      <c r="E293" s="130">
        <v>0.27816000000000002</v>
      </c>
      <c r="F293" s="77">
        <v>0.97148000000000001</v>
      </c>
      <c r="G293" s="75">
        <v>31.5</v>
      </c>
      <c r="H293" s="88">
        <v>0.99935569999999996</v>
      </c>
      <c r="I293" s="77">
        <v>0.99533749999999999</v>
      </c>
      <c r="J293" s="15">
        <v>65.061999999999998</v>
      </c>
      <c r="R293" s="53">
        <v>443.6</v>
      </c>
      <c r="S293" s="76">
        <v>0.99146909999999999</v>
      </c>
      <c r="T293" s="138">
        <v>0.89303726000000005</v>
      </c>
    </row>
    <row r="294" spans="5:20">
      <c r="E294" s="130">
        <v>0.28227999999999998</v>
      </c>
      <c r="F294" s="77">
        <v>0.97160999999999997</v>
      </c>
      <c r="G294" s="75">
        <v>31.6</v>
      </c>
      <c r="H294" s="88">
        <v>0.99935293000000003</v>
      </c>
      <c r="I294" s="77">
        <v>0.99532019999999999</v>
      </c>
      <c r="J294" s="15">
        <v>65.063000000000002</v>
      </c>
      <c r="R294" s="53">
        <v>443.76</v>
      </c>
      <c r="S294" s="76">
        <v>0.99195359999999999</v>
      </c>
      <c r="T294" s="138">
        <v>0.89696039999999999</v>
      </c>
    </row>
    <row r="295" spans="5:20">
      <c r="E295" s="130">
        <v>0.28655000000000003</v>
      </c>
      <c r="F295" s="77">
        <v>0.97172999999999998</v>
      </c>
      <c r="G295" s="75">
        <v>31.7</v>
      </c>
      <c r="H295" s="88">
        <v>0.99935019999999997</v>
      </c>
      <c r="I295" s="77">
        <v>0.99530300000000005</v>
      </c>
      <c r="J295" s="15">
        <v>65.063999999999993</v>
      </c>
      <c r="R295" s="53">
        <v>443.88</v>
      </c>
      <c r="S295" s="76">
        <v>0.99230359999999995</v>
      </c>
      <c r="T295" s="138">
        <v>0.89990429999999999</v>
      </c>
    </row>
    <row r="296" spans="5:20">
      <c r="E296" s="130">
        <v>0.29098000000000002</v>
      </c>
      <c r="F296" s="77">
        <v>0.97185999999999995</v>
      </c>
      <c r="G296" s="75">
        <v>31.8</v>
      </c>
      <c r="H296" s="88">
        <v>0.9993474</v>
      </c>
      <c r="I296" s="77">
        <v>0.99528570000000005</v>
      </c>
      <c r="J296" s="15">
        <v>65.064999999999998</v>
      </c>
      <c r="R296" s="53"/>
      <c r="S296" s="76"/>
      <c r="T296" s="138"/>
    </row>
    <row r="297" spans="5:20">
      <c r="E297" s="130">
        <v>0.29559000000000002</v>
      </c>
      <c r="F297" s="77">
        <v>0.97199000000000002</v>
      </c>
      <c r="G297" s="75">
        <v>31.9</v>
      </c>
      <c r="H297" s="88">
        <v>0.99934464999999995</v>
      </c>
      <c r="I297" s="77">
        <v>0.99526846000000002</v>
      </c>
      <c r="J297" s="15">
        <v>65.066000000000003</v>
      </c>
      <c r="R297" s="53">
        <v>443.90100000000001</v>
      </c>
      <c r="S297" s="76">
        <v>0.99236374999999999</v>
      </c>
      <c r="T297" s="138">
        <v>0.90041965000000002</v>
      </c>
    </row>
    <row r="298" spans="5:20">
      <c r="E298" s="130">
        <v>0.3004</v>
      </c>
      <c r="F298" s="77">
        <v>0.97211000000000003</v>
      </c>
      <c r="G298" s="75">
        <v>32</v>
      </c>
      <c r="H298" s="88">
        <v>0.99934184999999998</v>
      </c>
      <c r="I298" s="77">
        <v>0.9952512</v>
      </c>
      <c r="J298" s="15">
        <v>65.066999999999993</v>
      </c>
      <c r="R298" s="53">
        <v>443.93599999999998</v>
      </c>
      <c r="S298" s="76">
        <v>0.99246323000000003</v>
      </c>
      <c r="T298" s="138">
        <v>0.90127860000000004</v>
      </c>
    </row>
    <row r="299" spans="5:20">
      <c r="E299" s="130">
        <v>0.30542000000000002</v>
      </c>
      <c r="F299" s="77">
        <v>0.97223999999999999</v>
      </c>
      <c r="G299" s="75">
        <v>32.1</v>
      </c>
      <c r="H299" s="88">
        <v>0.99933910000000004</v>
      </c>
      <c r="I299" s="77">
        <v>0.99523395000000003</v>
      </c>
      <c r="J299" s="15">
        <v>65.067999999999998</v>
      </c>
      <c r="R299" s="53">
        <v>443.95100000000002</v>
      </c>
      <c r="S299" s="76">
        <v>0.99250559999999999</v>
      </c>
      <c r="T299" s="138">
        <v>0.90164679999999997</v>
      </c>
    </row>
    <row r="300" spans="5:20">
      <c r="E300" s="130">
        <v>0.31067</v>
      </c>
      <c r="F300" s="77">
        <v>0.97236</v>
      </c>
      <c r="G300" s="75">
        <v>32.200000000000003</v>
      </c>
      <c r="H300" s="88">
        <v>0.99933629999999996</v>
      </c>
      <c r="I300" s="77">
        <v>0.99521667000000003</v>
      </c>
      <c r="J300" s="15">
        <v>65.069000000000003</v>
      </c>
      <c r="R300" s="53">
        <v>443.976</v>
      </c>
      <c r="S300" s="76">
        <v>0.99257580000000001</v>
      </c>
      <c r="T300" s="138">
        <v>0.90226050000000002</v>
      </c>
    </row>
    <row r="301" spans="5:20">
      <c r="E301" s="130">
        <v>0.31617000000000001</v>
      </c>
      <c r="F301" s="77">
        <v>0.97248999999999997</v>
      </c>
      <c r="G301" s="75">
        <v>32.299999999999997</v>
      </c>
      <c r="H301" s="88">
        <v>0.99933355999999995</v>
      </c>
      <c r="I301" s="77">
        <v>0.99519939999999996</v>
      </c>
      <c r="J301" s="15">
        <v>65.069999999999993</v>
      </c>
      <c r="R301" s="53">
        <v>443.99400000000003</v>
      </c>
      <c r="S301" s="76">
        <v>0.99262613</v>
      </c>
      <c r="T301" s="138">
        <v>0.90270233</v>
      </c>
    </row>
    <row r="302" spans="5:20">
      <c r="E302" s="130">
        <v>0.32196000000000002</v>
      </c>
      <c r="F302" s="77">
        <v>0.97260999999999997</v>
      </c>
      <c r="G302" s="75">
        <v>32.4</v>
      </c>
      <c r="H302" s="88">
        <v>0.99933075999999998</v>
      </c>
      <c r="I302" s="77">
        <v>0.99518216000000004</v>
      </c>
      <c r="J302" s="15">
        <v>65.070999999999998</v>
      </c>
      <c r="R302" s="53">
        <v>444.01499999999999</v>
      </c>
      <c r="S302" s="76">
        <v>0.99268453999999995</v>
      </c>
      <c r="T302" s="138">
        <v>0.90321790000000002</v>
      </c>
    </row>
    <row r="303" spans="5:20">
      <c r="E303" s="130">
        <v>0.32805000000000001</v>
      </c>
      <c r="F303" s="77">
        <v>0.97274000000000005</v>
      </c>
      <c r="G303" s="75">
        <v>32.5</v>
      </c>
      <c r="H303" s="88">
        <v>0.99932796000000002</v>
      </c>
      <c r="I303" s="77">
        <v>0.99516490000000002</v>
      </c>
      <c r="J303" s="15">
        <v>65.072000000000003</v>
      </c>
      <c r="R303" s="53">
        <v>444.041</v>
      </c>
      <c r="S303" s="76">
        <v>0.99275637000000005</v>
      </c>
      <c r="T303" s="138">
        <v>0.90385634000000004</v>
      </c>
    </row>
    <row r="304" spans="5:20">
      <c r="E304" s="130">
        <v>0.33449000000000001</v>
      </c>
      <c r="F304" s="77">
        <v>0.97287000000000001</v>
      </c>
      <c r="G304" s="75">
        <v>32.6</v>
      </c>
      <c r="H304" s="88">
        <v>0.99932516000000005</v>
      </c>
      <c r="I304" s="77">
        <v>0.99514760000000002</v>
      </c>
      <c r="J304" s="15">
        <v>65.072999999999993</v>
      </c>
      <c r="R304" s="53">
        <v>444.06400000000002</v>
      </c>
      <c r="S304" s="76">
        <v>0.99281955</v>
      </c>
      <c r="T304" s="138">
        <v>0.90442109999999998</v>
      </c>
    </row>
    <row r="305" spans="5:20">
      <c r="E305" s="130">
        <v>0.34131</v>
      </c>
      <c r="F305" s="77">
        <v>0.97299000000000002</v>
      </c>
      <c r="G305" s="75">
        <v>32.700000000000003</v>
      </c>
      <c r="H305" s="88">
        <v>0.99932235000000003</v>
      </c>
      <c r="I305" s="77">
        <v>0.99513035999999999</v>
      </c>
      <c r="J305" s="15">
        <v>65.073999999999998</v>
      </c>
      <c r="R305" s="53">
        <v>444.08</v>
      </c>
      <c r="S305" s="76">
        <v>0.99286324000000004</v>
      </c>
      <c r="T305" s="138">
        <v>0.90481405999999998</v>
      </c>
    </row>
    <row r="306" spans="5:20">
      <c r="E306" s="130">
        <v>0.34856999999999999</v>
      </c>
      <c r="F306" s="77">
        <v>0.97311999999999999</v>
      </c>
      <c r="G306" s="75">
        <v>32.799999999999997</v>
      </c>
      <c r="H306" s="88">
        <v>0.99931954999999995</v>
      </c>
      <c r="I306" s="77">
        <v>0.99511309999999997</v>
      </c>
      <c r="J306" s="15">
        <v>65.075000000000003</v>
      </c>
      <c r="R306" s="53">
        <v>444.10899999999998</v>
      </c>
      <c r="S306" s="76">
        <v>0.99294203999999997</v>
      </c>
      <c r="T306" s="138">
        <v>0.90552633999999999</v>
      </c>
    </row>
    <row r="307" spans="5:20">
      <c r="E307" s="130">
        <v>0.35632999999999998</v>
      </c>
      <c r="F307" s="77">
        <v>0.97324999999999995</v>
      </c>
      <c r="G307" s="75">
        <v>32.9</v>
      </c>
      <c r="H307" s="88">
        <v>0.99931674999999998</v>
      </c>
      <c r="I307" s="77">
        <v>0.99509579999999997</v>
      </c>
      <c r="J307" s="15">
        <v>65.075999999999993</v>
      </c>
      <c r="R307" s="53">
        <v>444.13</v>
      </c>
      <c r="S307" s="76">
        <v>0.99299879999999996</v>
      </c>
      <c r="T307" s="138">
        <v>0.90604216000000004</v>
      </c>
    </row>
    <row r="308" spans="5:20">
      <c r="E308" s="130">
        <v>0.36465999999999998</v>
      </c>
      <c r="F308" s="77">
        <v>0.97336999999999996</v>
      </c>
      <c r="G308" s="75">
        <v>33</v>
      </c>
      <c r="H308" s="88">
        <v>0.99931395000000001</v>
      </c>
      <c r="I308" s="77">
        <v>0.99507855999999995</v>
      </c>
      <c r="J308" s="15">
        <v>65.076999999999998</v>
      </c>
      <c r="R308" s="53">
        <v>444.149</v>
      </c>
      <c r="S308" s="76">
        <v>0.99304979999999998</v>
      </c>
      <c r="T308" s="138">
        <v>0.90650889999999995</v>
      </c>
    </row>
    <row r="309" spans="5:20">
      <c r="E309" s="130">
        <v>0.37364999999999998</v>
      </c>
      <c r="F309" s="77">
        <v>0.97350000000000003</v>
      </c>
      <c r="G309" s="75">
        <v>33.1</v>
      </c>
      <c r="H309" s="88">
        <v>0.99931115000000004</v>
      </c>
      <c r="I309" s="77">
        <v>0.99506130000000004</v>
      </c>
      <c r="J309" s="15">
        <v>65.078000000000003</v>
      </c>
      <c r="R309" s="53">
        <v>444.19299999999998</v>
      </c>
      <c r="S309" s="76">
        <v>0.99316709999999997</v>
      </c>
      <c r="T309" s="138">
        <v>0.90759000000000001</v>
      </c>
    </row>
    <row r="310" spans="5:20">
      <c r="E310" s="130">
        <v>0.38341999999999998</v>
      </c>
      <c r="F310" s="77">
        <v>0.97363</v>
      </c>
      <c r="G310" s="75">
        <v>33.200000000000003</v>
      </c>
      <c r="H310" s="88">
        <v>0.99930834999999996</v>
      </c>
      <c r="I310" s="77">
        <v>0.99504400000000004</v>
      </c>
      <c r="J310" s="15">
        <v>65.078999999999994</v>
      </c>
      <c r="R310" s="53">
        <v>444.21800000000002</v>
      </c>
      <c r="S310" s="76">
        <v>0.99323320000000004</v>
      </c>
      <c r="T310" s="138">
        <v>0.90820429999999996</v>
      </c>
    </row>
    <row r="311" spans="5:20">
      <c r="E311" s="130">
        <v>0.39412000000000003</v>
      </c>
      <c r="F311" s="77">
        <v>0.97375999999999996</v>
      </c>
      <c r="G311" s="75">
        <v>33.299999999999997</v>
      </c>
      <c r="H311" s="88">
        <v>0.99930554999999999</v>
      </c>
      <c r="I311" s="77">
        <v>0.99502670000000004</v>
      </c>
      <c r="J311" s="15">
        <v>65.08</v>
      </c>
      <c r="R311" s="53">
        <v>444.245</v>
      </c>
      <c r="S311" s="76">
        <v>0.99330410000000002</v>
      </c>
      <c r="T311" s="138">
        <v>0.90886789999999995</v>
      </c>
    </row>
    <row r="312" spans="5:20">
      <c r="E312" s="130">
        <v>0.40594000000000002</v>
      </c>
      <c r="F312" s="77">
        <v>0.97389999999999999</v>
      </c>
      <c r="G312" s="75">
        <v>33.4</v>
      </c>
      <c r="H312" s="88">
        <v>0.99930269999999999</v>
      </c>
      <c r="I312" s="77">
        <v>0.99500940000000004</v>
      </c>
      <c r="J312" s="15">
        <v>65.081000000000003</v>
      </c>
      <c r="R312" s="53">
        <v>444.29500000000002</v>
      </c>
      <c r="S312" s="76">
        <v>0.99343420000000004</v>
      </c>
      <c r="T312" s="138">
        <v>0.91009700000000004</v>
      </c>
    </row>
    <row r="313" spans="5:20">
      <c r="E313" s="130">
        <v>0.41915999999999998</v>
      </c>
      <c r="F313" s="77">
        <v>0.97402999999999995</v>
      </c>
      <c r="G313" s="75">
        <v>33.5</v>
      </c>
      <c r="H313" s="88">
        <v>0.99929990000000002</v>
      </c>
      <c r="I313" s="77">
        <v>0.99499214000000002</v>
      </c>
      <c r="J313" s="15">
        <v>65.081999999999994</v>
      </c>
      <c r="R313" s="53">
        <v>444.36099999999999</v>
      </c>
      <c r="S313" s="76">
        <v>0.99360347000000004</v>
      </c>
      <c r="T313" s="138">
        <v>0.91171986000000005</v>
      </c>
    </row>
    <row r="314" spans="5:20">
      <c r="E314" s="130">
        <v>0.43414999999999998</v>
      </c>
      <c r="F314" s="77">
        <v>0.97416999999999998</v>
      </c>
      <c r="G314" s="75">
        <v>33.6</v>
      </c>
      <c r="H314" s="88">
        <v>0.99929710000000005</v>
      </c>
      <c r="I314" s="77">
        <v>0.9949749</v>
      </c>
      <c r="J314" s="15">
        <v>65.082999999999998</v>
      </c>
      <c r="R314" s="53">
        <v>444.40600000000001</v>
      </c>
      <c r="S314" s="76">
        <v>0.99371730000000003</v>
      </c>
      <c r="T314" s="138">
        <v>0.91282666000000001</v>
      </c>
    </row>
    <row r="315" spans="5:20">
      <c r="E315" s="130">
        <v>0.45146999999999998</v>
      </c>
      <c r="F315" s="77">
        <v>0.97431000000000001</v>
      </c>
      <c r="G315" s="75">
        <v>33.700000000000003</v>
      </c>
      <c r="H315" s="88">
        <v>0.99929420000000002</v>
      </c>
      <c r="I315" s="77">
        <v>0.9949576</v>
      </c>
      <c r="J315" s="15">
        <v>65.084000000000003</v>
      </c>
      <c r="R315" s="53">
        <v>444.452</v>
      </c>
      <c r="S315" s="76">
        <v>0.99383246999999997</v>
      </c>
      <c r="T315" s="138">
        <v>0.9139583</v>
      </c>
    </row>
    <row r="316" spans="5:20">
      <c r="E316" s="130">
        <v>0.47199000000000002</v>
      </c>
      <c r="F316" s="77">
        <v>0.97445000000000004</v>
      </c>
      <c r="G316" s="75">
        <v>33.799999999999997</v>
      </c>
      <c r="H316" s="88">
        <v>0.99929135999999996</v>
      </c>
      <c r="I316" s="77">
        <v>0.99494033999999998</v>
      </c>
      <c r="J316" s="15">
        <v>65.084999999999994</v>
      </c>
      <c r="R316" s="53">
        <v>444.48899999999998</v>
      </c>
      <c r="S316" s="76">
        <v>0.99392420000000004</v>
      </c>
      <c r="T316" s="138">
        <v>0.91486869999999998</v>
      </c>
    </row>
    <row r="317" spans="5:20">
      <c r="E317" s="130">
        <v>0.49717</v>
      </c>
      <c r="F317" s="77">
        <v>0.97460000000000002</v>
      </c>
      <c r="G317" s="75">
        <v>33.9</v>
      </c>
      <c r="H317" s="88">
        <v>0.99928855999999999</v>
      </c>
      <c r="I317" s="77">
        <v>0.99492305999999997</v>
      </c>
      <c r="J317" s="15">
        <v>65.085999999999999</v>
      </c>
      <c r="R317" s="53">
        <v>444.536</v>
      </c>
      <c r="S317" s="76">
        <v>0.99403954000000005</v>
      </c>
      <c r="T317" s="138">
        <v>0.91602550000000005</v>
      </c>
    </row>
    <row r="318" spans="5:20">
      <c r="E318" s="130">
        <v>0.52973999999999999</v>
      </c>
      <c r="F318" s="77">
        <v>0.97475999999999996</v>
      </c>
      <c r="G318" s="75">
        <v>34</v>
      </c>
      <c r="H318" s="88">
        <v>0.99928570000000005</v>
      </c>
      <c r="I318" s="77">
        <v>0.99490577000000002</v>
      </c>
      <c r="J318" s="15">
        <v>65.087000000000003</v>
      </c>
      <c r="R318" s="53">
        <v>444.58499999999998</v>
      </c>
      <c r="S318" s="76">
        <v>0.9941584</v>
      </c>
      <c r="T318" s="138">
        <v>0.91723180000000004</v>
      </c>
    </row>
    <row r="319" spans="5:20">
      <c r="E319" s="130">
        <v>0.57567000000000002</v>
      </c>
      <c r="F319" s="77">
        <v>0.97492000000000001</v>
      </c>
      <c r="G319" s="75">
        <v>34.1</v>
      </c>
      <c r="H319" s="88">
        <v>0.99928284000000001</v>
      </c>
      <c r="I319" s="77">
        <v>0.99488849999999995</v>
      </c>
      <c r="J319" s="15">
        <v>65.087999999999994</v>
      </c>
      <c r="R319" s="53">
        <v>444.63600000000002</v>
      </c>
      <c r="S319" s="76">
        <v>0.99428075999999999</v>
      </c>
      <c r="T319" s="138">
        <v>0.91848766999999998</v>
      </c>
    </row>
    <row r="320" spans="5:20">
      <c r="E320" s="130">
        <v>0.65130999999999994</v>
      </c>
      <c r="F320" s="77">
        <v>0.97511999999999999</v>
      </c>
      <c r="G320" s="75">
        <v>34.200000000000003</v>
      </c>
      <c r="H320" s="88">
        <v>0.99928004000000004</v>
      </c>
      <c r="I320" s="77">
        <v>0.99487119999999996</v>
      </c>
      <c r="J320" s="15">
        <v>65.088999999999999</v>
      </c>
      <c r="R320" s="53">
        <v>444.68400000000003</v>
      </c>
      <c r="S320" s="76">
        <v>0.99439454000000005</v>
      </c>
      <c r="T320" s="138">
        <v>0.91966999999999999</v>
      </c>
    </row>
    <row r="321" spans="5:20">
      <c r="E321" s="130">
        <v>0.80249000000000004</v>
      </c>
      <c r="F321" s="77">
        <v>0.97540000000000004</v>
      </c>
      <c r="G321" s="75">
        <v>34.299999999999997</v>
      </c>
      <c r="H321" s="88">
        <v>0.99927719999999998</v>
      </c>
      <c r="I321" s="77">
        <v>0.99485389999999996</v>
      </c>
      <c r="J321" s="15">
        <v>65.09</v>
      </c>
      <c r="R321" s="53">
        <v>444.72399999999999</v>
      </c>
      <c r="S321" s="76">
        <v>0.99448840000000005</v>
      </c>
      <c r="T321" s="138">
        <v>0.92065549999999996</v>
      </c>
    </row>
    <row r="322" spans="5:20">
      <c r="E322" s="130">
        <v>0.99826999999999999</v>
      </c>
      <c r="F322" s="77">
        <v>0.98982999999999999</v>
      </c>
      <c r="G322" s="75">
        <v>34.11</v>
      </c>
      <c r="H322" s="88">
        <v>0.99927429999999995</v>
      </c>
      <c r="I322" s="77">
        <v>0.99483659999999996</v>
      </c>
      <c r="J322" s="15">
        <v>65.090999999999994</v>
      </c>
      <c r="R322" s="53">
        <v>444.76299999999998</v>
      </c>
      <c r="S322" s="76">
        <v>0.99457914000000003</v>
      </c>
      <c r="T322" s="138">
        <v>0.92161660000000001</v>
      </c>
    </row>
    <row r="323" spans="5:20">
      <c r="E323" s="130">
        <v>0.99817</v>
      </c>
      <c r="F323" s="77">
        <v>0.98948000000000003</v>
      </c>
      <c r="G323" s="75">
        <v>34.119999999999997</v>
      </c>
      <c r="H323" s="88">
        <v>0.99927144999999995</v>
      </c>
      <c r="I323" s="77">
        <v>0.99481934000000005</v>
      </c>
      <c r="J323" s="15">
        <v>65.091999999999999</v>
      </c>
      <c r="R323" s="53">
        <v>444.80599999999998</v>
      </c>
      <c r="S323" s="76">
        <v>0.99467826000000004</v>
      </c>
      <c r="T323" s="138">
        <v>0.92267650000000001</v>
      </c>
    </row>
    <row r="324" spans="5:20">
      <c r="E324" s="130">
        <v>0.99805999999999995</v>
      </c>
      <c r="F324" s="77">
        <v>0.98914000000000002</v>
      </c>
      <c r="G324" s="75">
        <v>34.130000000000003</v>
      </c>
      <c r="H324" s="88">
        <v>0.99926859999999995</v>
      </c>
      <c r="I324" s="77">
        <v>0.99480206000000004</v>
      </c>
      <c r="J324" s="15">
        <v>65.093000000000004</v>
      </c>
      <c r="R324" s="53">
        <v>444.84899999999999</v>
      </c>
      <c r="S324" s="76">
        <v>0.99477636999999997</v>
      </c>
      <c r="T324" s="138">
        <v>0.92373669999999997</v>
      </c>
    </row>
    <row r="325" spans="5:20">
      <c r="E325" s="130">
        <v>0.99795</v>
      </c>
      <c r="F325" s="77">
        <v>0.98878999999999995</v>
      </c>
      <c r="G325" s="75">
        <v>34.14</v>
      </c>
      <c r="H325" s="88">
        <v>0.99926572999999996</v>
      </c>
      <c r="I325" s="77">
        <v>0.99478469999999997</v>
      </c>
      <c r="J325" s="15">
        <v>65.093999999999994</v>
      </c>
      <c r="R325" s="53">
        <v>444.89499999999998</v>
      </c>
      <c r="S325" s="76">
        <v>0.99488030000000005</v>
      </c>
      <c r="T325" s="138">
        <v>0.92487114999999998</v>
      </c>
    </row>
    <row r="326" spans="5:20">
      <c r="E326" s="130">
        <v>0.99782999999999999</v>
      </c>
      <c r="F326" s="77">
        <v>0.98843000000000003</v>
      </c>
      <c r="G326" s="75">
        <v>34.15</v>
      </c>
      <c r="H326" s="88">
        <v>0.99926287000000003</v>
      </c>
      <c r="I326" s="77">
        <v>0.99476739999999997</v>
      </c>
      <c r="J326" s="15">
        <v>65.094999999999999</v>
      </c>
      <c r="R326" s="53">
        <v>444.93599999999998</v>
      </c>
      <c r="S326" s="76">
        <v>0.99497205</v>
      </c>
      <c r="T326" s="138">
        <v>0.92588250000000005</v>
      </c>
    </row>
    <row r="327" spans="5:20">
      <c r="E327" s="130">
        <v>0.99770999999999999</v>
      </c>
      <c r="F327" s="77">
        <v>0.98807999999999996</v>
      </c>
      <c r="G327" s="75">
        <v>34.159999999999997</v>
      </c>
      <c r="H327" s="88">
        <v>0.99926000000000004</v>
      </c>
      <c r="I327" s="77">
        <v>0.99475013999999995</v>
      </c>
      <c r="J327" s="15">
        <v>65.096000000000004</v>
      </c>
      <c r="R327" s="53">
        <v>444.96300000000002</v>
      </c>
      <c r="S327" s="76">
        <v>0.99503200000000003</v>
      </c>
      <c r="T327" s="138">
        <v>0.92654866000000002</v>
      </c>
    </row>
    <row r="328" spans="5:20">
      <c r="E328" s="130">
        <v>0.99758000000000002</v>
      </c>
      <c r="F328" s="77">
        <v>0.98773</v>
      </c>
      <c r="G328" s="75">
        <v>34.17</v>
      </c>
      <c r="H328" s="88">
        <v>0.99925710000000001</v>
      </c>
      <c r="I328" s="77">
        <v>0.99473286000000005</v>
      </c>
      <c r="J328" s="15">
        <v>65.096999999999994</v>
      </c>
      <c r="R328" s="53">
        <v>445</v>
      </c>
      <c r="S328" s="76">
        <v>0.99511360000000004</v>
      </c>
      <c r="T328" s="138">
        <v>0.92746174000000003</v>
      </c>
    </row>
    <row r="329" spans="5:20">
      <c r="E329" s="130">
        <v>0.99743999999999999</v>
      </c>
      <c r="F329" s="77">
        <v>0.98736999999999997</v>
      </c>
      <c r="G329" s="75">
        <v>34.18</v>
      </c>
      <c r="H329" s="88">
        <v>0.99925419999999998</v>
      </c>
      <c r="I329" s="77">
        <v>0.99471560000000003</v>
      </c>
      <c r="J329" s="15">
        <v>65.097999999999999</v>
      </c>
      <c r="R329" s="53">
        <v>445.04700000000003</v>
      </c>
      <c r="S329" s="76">
        <v>0.99521636999999996</v>
      </c>
      <c r="T329" s="138">
        <v>0.9286219</v>
      </c>
    </row>
    <row r="330" spans="5:20">
      <c r="E330" s="130">
        <v>0.99729000000000001</v>
      </c>
      <c r="F330" s="77">
        <v>0.98701000000000005</v>
      </c>
      <c r="G330" s="75">
        <v>34.19</v>
      </c>
      <c r="H330" s="88">
        <v>0.99925136999999997</v>
      </c>
      <c r="I330" s="77">
        <v>0.99469819999999998</v>
      </c>
      <c r="J330" s="15">
        <v>65.099000000000004</v>
      </c>
      <c r="R330" s="53">
        <v>445.08800000000002</v>
      </c>
      <c r="S330" s="76">
        <v>0.99530505999999996</v>
      </c>
      <c r="T330" s="138">
        <v>0.92963419999999997</v>
      </c>
    </row>
    <row r="331" spans="5:20">
      <c r="E331" s="130">
        <v>0.99712999999999996</v>
      </c>
      <c r="F331" s="77">
        <v>0.98665000000000003</v>
      </c>
      <c r="G331" s="75">
        <v>34.200000000000003</v>
      </c>
      <c r="H331" s="88">
        <v>0.99924844999999995</v>
      </c>
      <c r="I331" s="77">
        <v>0.99468093999999996</v>
      </c>
      <c r="J331" s="15">
        <v>65.099999999999994</v>
      </c>
      <c r="R331" s="53">
        <v>445.14499999999998</v>
      </c>
      <c r="S331" s="76">
        <v>0.99542713000000005</v>
      </c>
      <c r="T331" s="138">
        <v>0.93104200000000004</v>
      </c>
    </row>
    <row r="332" spans="5:20">
      <c r="E332" s="130">
        <v>0.99695999999999996</v>
      </c>
      <c r="F332" s="77">
        <v>0.98628000000000005</v>
      </c>
      <c r="G332" s="75">
        <v>34.21</v>
      </c>
      <c r="H332" s="88">
        <v>0.99924559999999996</v>
      </c>
      <c r="I332" s="77">
        <v>0.99466365999999995</v>
      </c>
      <c r="J332" s="15">
        <v>65.100999999999999</v>
      </c>
      <c r="R332" s="53">
        <v>445.19499999999999</v>
      </c>
      <c r="S332" s="76">
        <v>0.995533</v>
      </c>
      <c r="T332" s="138">
        <v>0.93227729999999998</v>
      </c>
    </row>
    <row r="333" spans="5:20">
      <c r="E333" s="130">
        <v>0.99678</v>
      </c>
      <c r="F333" s="77">
        <v>0.98590999999999995</v>
      </c>
      <c r="G333" s="75">
        <v>34.22</v>
      </c>
      <c r="H333" s="88">
        <v>0.99924265999999995</v>
      </c>
      <c r="I333" s="77">
        <v>0.99464640000000004</v>
      </c>
      <c r="J333" s="15">
        <v>65.102000000000004</v>
      </c>
      <c r="R333" s="53">
        <v>445.25700000000001</v>
      </c>
      <c r="S333" s="76">
        <v>0.99566270000000001</v>
      </c>
      <c r="T333" s="138">
        <v>0.93380964</v>
      </c>
    </row>
    <row r="334" spans="5:20">
      <c r="E334" s="130">
        <v>0.99658000000000002</v>
      </c>
      <c r="F334" s="77">
        <v>0.98553999999999997</v>
      </c>
      <c r="G334" s="75">
        <v>34.229999999999997</v>
      </c>
      <c r="H334" s="88">
        <v>0.99923974000000004</v>
      </c>
      <c r="I334" s="77">
        <v>0.99462899999999999</v>
      </c>
      <c r="J334" s="15">
        <v>65.102999999999994</v>
      </c>
      <c r="R334" s="53">
        <v>445.32299999999998</v>
      </c>
      <c r="S334" s="76">
        <v>0.99579894999999996</v>
      </c>
      <c r="T334" s="138">
        <v>0.93544150000000004</v>
      </c>
    </row>
    <row r="335" spans="5:20">
      <c r="E335" s="130">
        <v>0.99636999999999998</v>
      </c>
      <c r="F335" s="77">
        <v>0.98516999999999999</v>
      </c>
      <c r="G335" s="75">
        <v>34.24</v>
      </c>
      <c r="H335" s="88">
        <v>0.99923689999999998</v>
      </c>
      <c r="I335" s="77">
        <v>0.99461173999999997</v>
      </c>
      <c r="J335" s="15">
        <v>65.103999999999999</v>
      </c>
      <c r="R335" s="53">
        <v>445.38799999999998</v>
      </c>
      <c r="S335" s="76">
        <v>0.99593127000000004</v>
      </c>
      <c r="T335" s="138">
        <v>0.93704927000000005</v>
      </c>
    </row>
    <row r="336" spans="5:20">
      <c r="E336" s="130">
        <v>0.99614000000000003</v>
      </c>
      <c r="F336" s="77">
        <v>0.98479000000000005</v>
      </c>
      <c r="G336" s="75">
        <v>34.25</v>
      </c>
      <c r="H336" s="88">
        <v>0.99923395999999998</v>
      </c>
      <c r="I336" s="77">
        <v>0.99459445000000002</v>
      </c>
      <c r="J336" s="15">
        <v>65.105000000000004</v>
      </c>
      <c r="R336" s="53">
        <v>445.41899999999998</v>
      </c>
      <c r="S336" s="76">
        <v>0.99599373000000002</v>
      </c>
      <c r="T336" s="138">
        <v>0.93781630000000005</v>
      </c>
    </row>
    <row r="337" spans="5:20">
      <c r="E337" s="130">
        <v>0.99589000000000005</v>
      </c>
      <c r="F337" s="77">
        <v>0.98440000000000005</v>
      </c>
      <c r="G337" s="75">
        <v>34.26</v>
      </c>
      <c r="H337" s="88">
        <v>0.99923103999999996</v>
      </c>
      <c r="I337" s="77">
        <v>0.99457709999999999</v>
      </c>
      <c r="J337" s="15">
        <v>65.105999999999995</v>
      </c>
      <c r="R337" s="53">
        <v>445.548</v>
      </c>
      <c r="S337" s="76">
        <v>0.99624955999999998</v>
      </c>
      <c r="T337" s="138">
        <v>0.94100980000000001</v>
      </c>
    </row>
    <row r="338" spans="5:20">
      <c r="E338" s="130">
        <v>0.99560999999999999</v>
      </c>
      <c r="F338" s="77">
        <v>0.98401000000000005</v>
      </c>
      <c r="G338" s="75">
        <v>34.270000000000003</v>
      </c>
      <c r="H338" s="88">
        <v>0.99922809999999995</v>
      </c>
      <c r="I338" s="77">
        <v>0.99455979999999999</v>
      </c>
      <c r="J338" s="15">
        <v>65.106999999999999</v>
      </c>
      <c r="R338" s="53">
        <v>445.70100000000002</v>
      </c>
      <c r="S338" s="76">
        <v>0.99654436000000002</v>
      </c>
      <c r="T338" s="138">
        <v>0.94480103000000004</v>
      </c>
    </row>
    <row r="339" spans="5:20">
      <c r="E339" s="130">
        <v>0.99531000000000003</v>
      </c>
      <c r="F339" s="77">
        <v>0.98362000000000005</v>
      </c>
      <c r="G339" s="75">
        <v>34.28</v>
      </c>
      <c r="H339" s="88">
        <v>0.99922520000000004</v>
      </c>
      <c r="I339" s="77">
        <v>0.9945425</v>
      </c>
      <c r="J339" s="15">
        <v>65.108000000000004</v>
      </c>
      <c r="R339" s="53">
        <v>445.80200000000002</v>
      </c>
      <c r="S339" s="76">
        <v>0.99673414000000005</v>
      </c>
      <c r="T339" s="138">
        <v>0.94730586000000006</v>
      </c>
    </row>
    <row r="340" spans="5:20">
      <c r="E340" s="130">
        <v>0.99497000000000002</v>
      </c>
      <c r="F340" s="77">
        <v>0.98321999999999998</v>
      </c>
      <c r="G340" s="75">
        <v>34.29</v>
      </c>
      <c r="H340" s="88">
        <v>0.99922230000000001</v>
      </c>
      <c r="I340" s="77">
        <v>0.9945252</v>
      </c>
      <c r="J340" s="15">
        <v>65.108999999999995</v>
      </c>
      <c r="R340" s="53">
        <v>445.90100000000001</v>
      </c>
      <c r="S340" s="76">
        <v>0.99691660000000004</v>
      </c>
      <c r="T340" s="138">
        <v>0.94976276000000004</v>
      </c>
    </row>
    <row r="341" spans="5:20">
      <c r="E341" s="130">
        <v>0.99460000000000004</v>
      </c>
      <c r="F341" s="77">
        <v>0.98280999999999996</v>
      </c>
      <c r="G341" s="75">
        <v>34.299999999999997</v>
      </c>
      <c r="H341" s="88">
        <v>0.99921936</v>
      </c>
      <c r="I341" s="77">
        <v>0.99450784999999997</v>
      </c>
      <c r="J341" s="15">
        <v>65.11</v>
      </c>
      <c r="R341" s="53">
        <v>445.99799999999999</v>
      </c>
      <c r="S341" s="76">
        <v>0.99709194999999995</v>
      </c>
      <c r="T341" s="138">
        <v>0.95217169999999995</v>
      </c>
    </row>
    <row r="342" spans="5:20">
      <c r="E342" s="130">
        <v>0.99417</v>
      </c>
      <c r="F342" s="77">
        <v>0.98238999999999999</v>
      </c>
      <c r="G342" s="75">
        <v>34.31</v>
      </c>
      <c r="H342" s="88">
        <v>0.99921643999999998</v>
      </c>
      <c r="I342" s="77">
        <v>0.99449056000000002</v>
      </c>
      <c r="J342" s="15">
        <v>65.111000000000004</v>
      </c>
      <c r="R342" s="53">
        <v>446.1</v>
      </c>
      <c r="S342" s="76">
        <v>0.99727290000000002</v>
      </c>
      <c r="T342" s="138">
        <v>0.95470655000000004</v>
      </c>
    </row>
    <row r="343" spans="5:20">
      <c r="E343" s="130">
        <v>0.99368000000000001</v>
      </c>
      <c r="F343" s="77">
        <v>0.98196000000000006</v>
      </c>
      <c r="G343" s="75">
        <v>34.32</v>
      </c>
      <c r="H343" s="88">
        <v>0.99921349999999998</v>
      </c>
      <c r="I343" s="77">
        <v>0.99447319999999995</v>
      </c>
      <c r="J343" s="15">
        <v>65.111999999999995</v>
      </c>
      <c r="R343" s="53">
        <v>446.20100000000002</v>
      </c>
      <c r="S343" s="76">
        <v>0.99744869999999997</v>
      </c>
      <c r="T343" s="138">
        <v>0.95721840000000002</v>
      </c>
    </row>
    <row r="344" spans="5:20">
      <c r="E344" s="130">
        <v>0.99312</v>
      </c>
      <c r="F344" s="77">
        <v>0.98150999999999999</v>
      </c>
      <c r="G344" s="75">
        <v>34.33</v>
      </c>
      <c r="H344" s="88">
        <v>0.99921059999999995</v>
      </c>
      <c r="I344" s="77">
        <v>0.99445592999999999</v>
      </c>
      <c r="J344" s="15">
        <v>65.113</v>
      </c>
      <c r="R344" s="53">
        <v>446.29899999999998</v>
      </c>
      <c r="S344" s="76">
        <v>0.99761619999999995</v>
      </c>
      <c r="T344" s="138">
        <v>0.95965730000000005</v>
      </c>
    </row>
    <row r="345" spans="5:20">
      <c r="E345" s="130">
        <v>0.99245000000000005</v>
      </c>
      <c r="F345" s="77">
        <v>0.98104999999999998</v>
      </c>
      <c r="G345" s="75">
        <v>34.340000000000003</v>
      </c>
      <c r="H345" s="88">
        <v>0.99920759999999997</v>
      </c>
      <c r="I345" s="77">
        <v>0.99443859999999995</v>
      </c>
      <c r="J345" s="15">
        <v>65.114000000000004</v>
      </c>
      <c r="R345" s="53">
        <v>446.4</v>
      </c>
      <c r="S345" s="76">
        <v>0.99778560000000005</v>
      </c>
      <c r="T345" s="138">
        <v>0.96217275000000002</v>
      </c>
    </row>
    <row r="346" spans="5:20">
      <c r="E346" s="130">
        <v>0.99163999999999997</v>
      </c>
      <c r="F346" s="77">
        <v>0.98057000000000005</v>
      </c>
      <c r="G346" s="75">
        <v>34.35</v>
      </c>
      <c r="H346" s="88">
        <v>0.99920469999999995</v>
      </c>
      <c r="I346" s="77">
        <v>0.99442129999999995</v>
      </c>
      <c r="J346" s="15">
        <v>65.114999999999995</v>
      </c>
      <c r="R346" s="53">
        <v>446.5</v>
      </c>
      <c r="S346" s="76">
        <v>0.99795043000000005</v>
      </c>
      <c r="T346" s="138">
        <v>0.96466505999999996</v>
      </c>
    </row>
    <row r="347" spans="5:20">
      <c r="E347" s="130">
        <v>0.99060999999999999</v>
      </c>
      <c r="F347" s="77">
        <v>0.98004999999999998</v>
      </c>
      <c r="G347" s="75">
        <v>34.36</v>
      </c>
      <c r="H347" s="88">
        <v>0.99920180000000003</v>
      </c>
      <c r="I347" s="77">
        <v>0.99440395999999998</v>
      </c>
      <c r="J347" s="15">
        <v>65.116</v>
      </c>
      <c r="R347" s="53">
        <v>446.601</v>
      </c>
      <c r="S347" s="76">
        <v>0.9981139</v>
      </c>
      <c r="T347" s="138">
        <v>0.96718409999999999</v>
      </c>
    </row>
    <row r="348" spans="5:20">
      <c r="E348" s="130">
        <v>0.99624999999999997</v>
      </c>
      <c r="F348" s="77">
        <v>0.98497999999999997</v>
      </c>
      <c r="G348" s="75">
        <v>34.244999999999997</v>
      </c>
      <c r="H348" s="88">
        <v>0.99919880000000005</v>
      </c>
      <c r="I348" s="77">
        <v>0.99438660000000001</v>
      </c>
      <c r="J348" s="15">
        <v>65.117000000000004</v>
      </c>
      <c r="R348" s="53">
        <v>446.70299999999997</v>
      </c>
      <c r="S348" s="76">
        <v>0.99827604999999997</v>
      </c>
      <c r="T348" s="138">
        <v>0.96973010000000004</v>
      </c>
    </row>
    <row r="349" spans="5:20">
      <c r="E349" s="130">
        <v>0.99622999999999995</v>
      </c>
      <c r="F349" s="77">
        <v>0.98494000000000004</v>
      </c>
      <c r="G349" s="75">
        <v>34.246000000000002</v>
      </c>
      <c r="H349" s="88">
        <v>0.99919590000000003</v>
      </c>
      <c r="I349" s="77">
        <v>0.99436930000000001</v>
      </c>
      <c r="J349" s="15">
        <v>65.117999999999995</v>
      </c>
      <c r="R349" s="53">
        <v>446.80099999999999</v>
      </c>
      <c r="S349" s="76">
        <v>0.99842920000000002</v>
      </c>
      <c r="T349" s="138">
        <v>0.97217799999999999</v>
      </c>
    </row>
    <row r="350" spans="5:20">
      <c r="E350" s="130">
        <v>0.99621000000000004</v>
      </c>
      <c r="F350" s="77">
        <v>0.9849</v>
      </c>
      <c r="G350" s="75">
        <v>34.247</v>
      </c>
      <c r="H350" s="88">
        <v>0.99919290000000005</v>
      </c>
      <c r="I350" s="77">
        <v>0.99435200000000001</v>
      </c>
      <c r="J350" s="15">
        <v>65.119</v>
      </c>
      <c r="R350" s="53">
        <v>446.9</v>
      </c>
      <c r="S350" s="76">
        <v>0.99858122999999999</v>
      </c>
      <c r="T350" s="138">
        <v>0.97465270000000004</v>
      </c>
    </row>
    <row r="351" spans="5:20">
      <c r="E351" s="130">
        <v>0.99617999999999995</v>
      </c>
      <c r="F351" s="77">
        <v>0.98485999999999996</v>
      </c>
      <c r="G351" s="75">
        <v>34.247999999999998</v>
      </c>
      <c r="H351" s="88">
        <v>0.99918989999999996</v>
      </c>
      <c r="I351" s="77">
        <v>0.99433464000000005</v>
      </c>
      <c r="J351" s="15">
        <v>65.12</v>
      </c>
      <c r="R351" s="53">
        <v>447.00099999999998</v>
      </c>
      <c r="S351" s="76">
        <v>0.9987338</v>
      </c>
      <c r="T351" s="138">
        <v>0.97717935</v>
      </c>
    </row>
    <row r="352" spans="5:20">
      <c r="E352" s="130">
        <v>0.99616000000000005</v>
      </c>
      <c r="F352" s="77">
        <v>0.98482999999999998</v>
      </c>
      <c r="G352" s="75">
        <v>34.249000000000002</v>
      </c>
      <c r="H352" s="88">
        <v>0.99918700000000005</v>
      </c>
      <c r="I352" s="77">
        <v>0.99431734999999999</v>
      </c>
      <c r="J352" s="15">
        <v>65.120999999999995</v>
      </c>
      <c r="R352" s="53">
        <v>447.101</v>
      </c>
      <c r="S352" s="76">
        <v>0.99888235000000003</v>
      </c>
      <c r="T352" s="138">
        <v>0.97968279999999996</v>
      </c>
    </row>
    <row r="353" spans="5:20">
      <c r="E353" s="130">
        <v>0.99614000000000003</v>
      </c>
      <c r="F353" s="77">
        <v>0.98479000000000005</v>
      </c>
      <c r="G353" s="75">
        <v>34.25</v>
      </c>
      <c r="H353" s="88">
        <v>0.99918399999999996</v>
      </c>
      <c r="I353" s="77">
        <v>0.99429999999999996</v>
      </c>
      <c r="J353" s="15">
        <v>65.122</v>
      </c>
      <c r="R353" s="53">
        <v>447.20299999999997</v>
      </c>
      <c r="S353" s="76">
        <v>0.99903136000000003</v>
      </c>
      <c r="T353" s="138">
        <v>0.98223835000000004</v>
      </c>
    </row>
    <row r="354" spans="5:20">
      <c r="E354" s="130">
        <v>0.99611000000000005</v>
      </c>
      <c r="F354" s="77">
        <v>0.98475000000000001</v>
      </c>
      <c r="G354" s="75">
        <v>34.250999999999998</v>
      </c>
      <c r="H354" s="88">
        <v>0.99918103000000003</v>
      </c>
      <c r="I354" s="77">
        <v>0.99428265999999998</v>
      </c>
      <c r="J354" s="15">
        <v>65.123000000000005</v>
      </c>
      <c r="R354" s="53">
        <v>447.298</v>
      </c>
      <c r="S354" s="76">
        <v>0.9991679</v>
      </c>
      <c r="T354" s="138">
        <v>0.9846203</v>
      </c>
    </row>
    <row r="355" spans="5:20">
      <c r="E355" s="130">
        <v>0.99609000000000003</v>
      </c>
      <c r="F355" s="77">
        <v>0.98470999999999997</v>
      </c>
      <c r="G355" s="75">
        <v>34.252000000000002</v>
      </c>
      <c r="H355" s="88">
        <v>0.99917805000000004</v>
      </c>
      <c r="I355" s="77">
        <v>0.99426530000000002</v>
      </c>
      <c r="J355" s="15">
        <v>65.123999999999995</v>
      </c>
      <c r="R355" s="53">
        <v>447.40199999999999</v>
      </c>
      <c r="S355" s="76">
        <v>0.99931510000000001</v>
      </c>
      <c r="T355" s="138">
        <v>0.98722989999999999</v>
      </c>
    </row>
    <row r="356" spans="5:20">
      <c r="E356" s="130">
        <v>0.99605999999999995</v>
      </c>
      <c r="F356" s="77">
        <v>0.98467000000000005</v>
      </c>
      <c r="G356" s="75">
        <v>34.253</v>
      </c>
      <c r="H356" s="88">
        <v>0.99917509999999998</v>
      </c>
      <c r="I356" s="77">
        <v>0.99424802999999995</v>
      </c>
      <c r="J356" s="15">
        <v>65.125</v>
      </c>
      <c r="R356" s="53">
        <v>447.49799999999999</v>
      </c>
      <c r="S356" s="76">
        <v>0.99944869999999997</v>
      </c>
      <c r="T356" s="138">
        <v>0.98964052999999996</v>
      </c>
    </row>
    <row r="357" spans="5:20">
      <c r="E357" s="130">
        <v>0.99604000000000004</v>
      </c>
      <c r="F357" s="77">
        <v>0.98463000000000001</v>
      </c>
      <c r="G357" s="75">
        <v>34.253999999999998</v>
      </c>
      <c r="H357" s="88">
        <v>0.99917210000000001</v>
      </c>
      <c r="I357" s="77">
        <v>0.99423070000000002</v>
      </c>
      <c r="J357" s="15">
        <v>65.126000000000005</v>
      </c>
      <c r="R357" s="53">
        <v>447.512</v>
      </c>
      <c r="S357" s="76">
        <v>0.99946809999999997</v>
      </c>
      <c r="T357" s="138">
        <v>0.98999225999999996</v>
      </c>
    </row>
    <row r="358" spans="5:20">
      <c r="E358" s="130">
        <v>0.99600999999999995</v>
      </c>
      <c r="F358" s="77">
        <v>0.98460000000000003</v>
      </c>
      <c r="G358" s="75">
        <v>34.255000000000003</v>
      </c>
      <c r="H358" s="88">
        <v>0.99916910000000003</v>
      </c>
      <c r="I358" s="77">
        <v>0.99421333999999995</v>
      </c>
      <c r="J358" s="15">
        <v>65.126999999999995</v>
      </c>
      <c r="R358" s="53"/>
      <c r="S358" s="76"/>
      <c r="T358" s="138"/>
    </row>
    <row r="359" spans="5:20">
      <c r="E359" s="130">
        <v>0.99599000000000004</v>
      </c>
      <c r="F359" s="77">
        <v>0.98455999999999999</v>
      </c>
      <c r="G359" s="75">
        <v>34.256</v>
      </c>
      <c r="H359" s="88">
        <v>0.99916612999999999</v>
      </c>
      <c r="I359" s="77">
        <v>0.99419599999999997</v>
      </c>
      <c r="J359" s="15">
        <v>65.128</v>
      </c>
      <c r="R359" s="53">
        <v>438.24</v>
      </c>
      <c r="S359" s="76">
        <v>0.24996773999999999</v>
      </c>
      <c r="T359" s="138">
        <v>0.75235903000000004</v>
      </c>
    </row>
    <row r="360" spans="5:20">
      <c r="E360" s="130">
        <v>0.99595999999999996</v>
      </c>
      <c r="F360" s="77">
        <v>0.98451999999999995</v>
      </c>
      <c r="G360" s="75">
        <v>34.256999999999998</v>
      </c>
      <c r="H360" s="88">
        <v>0.99916309999999997</v>
      </c>
      <c r="I360" s="77">
        <v>0.99417865000000005</v>
      </c>
      <c r="J360" s="15">
        <v>65.129000000000005</v>
      </c>
      <c r="R360" s="53">
        <v>438.3</v>
      </c>
      <c r="S360" s="76">
        <v>0.24470016</v>
      </c>
      <c r="T360" s="138">
        <v>0.75164836999999995</v>
      </c>
    </row>
    <row r="361" spans="5:20">
      <c r="E361" s="130">
        <v>0.99594000000000005</v>
      </c>
      <c r="F361" s="77">
        <v>0.98448000000000002</v>
      </c>
      <c r="G361" s="75">
        <v>34.258000000000003</v>
      </c>
      <c r="H361" s="88">
        <v>0.9991601</v>
      </c>
      <c r="I361" s="77">
        <v>0.99416130000000003</v>
      </c>
      <c r="J361" s="15">
        <v>65.13</v>
      </c>
      <c r="R361" s="53">
        <v>438.4</v>
      </c>
      <c r="S361" s="76">
        <v>0.23688559000000001</v>
      </c>
      <c r="T361" s="138">
        <v>0.75047220000000003</v>
      </c>
    </row>
    <row r="362" spans="5:20">
      <c r="E362" s="130">
        <v>0.99590999999999996</v>
      </c>
      <c r="F362" s="77">
        <v>0.98443999999999998</v>
      </c>
      <c r="G362" s="75">
        <v>34.259</v>
      </c>
      <c r="H362" s="88">
        <v>0.99915712999999995</v>
      </c>
      <c r="I362" s="77">
        <v>0.99414396000000005</v>
      </c>
      <c r="J362" s="15">
        <v>65.131</v>
      </c>
      <c r="R362" s="53">
        <v>438.5</v>
      </c>
      <c r="S362" s="76">
        <v>0.23000478999999999</v>
      </c>
      <c r="T362" s="138">
        <v>0.74930434999999995</v>
      </c>
    </row>
    <row r="363" spans="5:20">
      <c r="E363" s="130">
        <v>0.99589000000000005</v>
      </c>
      <c r="F363" s="77">
        <v>0.98440000000000005</v>
      </c>
      <c r="G363" s="75">
        <v>34.26</v>
      </c>
      <c r="H363" s="88">
        <v>0.99915410000000004</v>
      </c>
      <c r="I363" s="77">
        <v>0.99412659999999997</v>
      </c>
      <c r="J363" s="15">
        <v>65.132000000000005</v>
      </c>
      <c r="R363" s="53">
        <v>438.6</v>
      </c>
      <c r="S363" s="76">
        <v>0.22384502000000001</v>
      </c>
      <c r="T363" s="138">
        <v>0.74814320000000001</v>
      </c>
    </row>
    <row r="364" spans="5:20">
      <c r="E364" s="130">
        <v>0.99585999999999997</v>
      </c>
      <c r="F364" s="77">
        <v>0.98436000000000001</v>
      </c>
      <c r="G364" s="75">
        <v>34.261000000000003</v>
      </c>
      <c r="H364" s="88">
        <v>0.99915109999999996</v>
      </c>
      <c r="I364" s="77">
        <v>0.99410929999999997</v>
      </c>
      <c r="J364" s="15">
        <v>65.132999999999996</v>
      </c>
      <c r="R364" s="53">
        <v>438.7</v>
      </c>
      <c r="S364" s="76">
        <v>0.21826110000000001</v>
      </c>
      <c r="T364" s="138">
        <v>0.74698746000000005</v>
      </c>
    </row>
    <row r="365" spans="5:20">
      <c r="E365" s="130">
        <v>0.99582999999999999</v>
      </c>
      <c r="F365" s="77">
        <v>0.98433000000000004</v>
      </c>
      <c r="G365" s="75">
        <v>34.262</v>
      </c>
      <c r="H365" s="88">
        <v>0.99914809999999998</v>
      </c>
      <c r="I365" s="77">
        <v>0.99409190000000003</v>
      </c>
      <c r="J365" s="15">
        <v>65.134</v>
      </c>
      <c r="R365" s="53">
        <v>438.8</v>
      </c>
      <c r="S365" s="76">
        <v>0.21314900000000001</v>
      </c>
      <c r="T365" s="138">
        <v>0.7458361</v>
      </c>
    </row>
    <row r="366" spans="5:20">
      <c r="E366" s="130">
        <v>0.99580999999999997</v>
      </c>
      <c r="F366" s="77">
        <v>0.98429</v>
      </c>
      <c r="G366" s="75">
        <v>34.262999999999998</v>
      </c>
      <c r="H366" s="88">
        <v>0.99914510000000001</v>
      </c>
      <c r="I366" s="77">
        <v>0.99407460000000003</v>
      </c>
      <c r="J366" s="15">
        <v>65.135000000000005</v>
      </c>
      <c r="R366" s="95">
        <v>438.904</v>
      </c>
      <c r="S366" s="76">
        <v>0.20825005999999999</v>
      </c>
      <c r="T366" s="138">
        <v>0.74464244000000002</v>
      </c>
    </row>
    <row r="367" spans="5:20">
      <c r="E367" s="130">
        <v>0.99578</v>
      </c>
      <c r="F367" s="77">
        <v>0.98424999999999996</v>
      </c>
      <c r="G367" s="75">
        <v>34.264000000000003</v>
      </c>
      <c r="H367" s="88">
        <v>0.99914205</v>
      </c>
      <c r="I367" s="77">
        <v>0.99405723999999995</v>
      </c>
      <c r="J367" s="15">
        <v>65.135999999999996</v>
      </c>
      <c r="R367" s="53">
        <v>439.1</v>
      </c>
      <c r="S367" s="76">
        <v>0.19995598000000001</v>
      </c>
      <c r="T367" s="138">
        <v>0.74240077000000004</v>
      </c>
    </row>
    <row r="368" spans="5:20">
      <c r="E368" s="130">
        <v>0.99575000000000002</v>
      </c>
      <c r="F368" s="77">
        <v>0.98421000000000003</v>
      </c>
      <c r="G368" s="75">
        <v>34.265000000000001</v>
      </c>
      <c r="H368" s="88">
        <v>0.999139</v>
      </c>
      <c r="I368" s="77">
        <v>0.99403989999999998</v>
      </c>
      <c r="J368" s="15">
        <v>65.137</v>
      </c>
      <c r="R368" s="53">
        <v>439.2</v>
      </c>
      <c r="S368" s="76">
        <v>0.19611458000000001</v>
      </c>
      <c r="T368" s="138">
        <v>0.74126000000000003</v>
      </c>
    </row>
    <row r="369" spans="5:20">
      <c r="E369" s="130">
        <v>0.99572000000000005</v>
      </c>
      <c r="F369" s="77">
        <v>0.98416999999999999</v>
      </c>
      <c r="G369" s="75">
        <v>34.265999999999998</v>
      </c>
      <c r="H369" s="88">
        <v>0.99913600000000002</v>
      </c>
      <c r="I369" s="77">
        <v>0.99402254999999995</v>
      </c>
      <c r="J369" s="15">
        <v>65.138000000000005</v>
      </c>
      <c r="R369" s="53">
        <v>439.3</v>
      </c>
      <c r="S369" s="76">
        <v>0.19249482000000001</v>
      </c>
      <c r="T369" s="138">
        <v>0.74012069999999996</v>
      </c>
    </row>
    <row r="370" spans="5:20">
      <c r="E370" s="130">
        <v>0.99570000000000003</v>
      </c>
      <c r="F370" s="77">
        <v>0.98412999999999995</v>
      </c>
      <c r="G370" s="75">
        <v>34.267000000000003</v>
      </c>
      <c r="H370" s="88">
        <v>0.99913293000000003</v>
      </c>
      <c r="I370" s="77">
        <v>0.99400520000000003</v>
      </c>
      <c r="J370" s="15">
        <v>65.138999999999996</v>
      </c>
      <c r="R370" s="53">
        <v>439.4</v>
      </c>
      <c r="S370" s="76">
        <v>0.18907178999999999</v>
      </c>
      <c r="T370" s="138">
        <v>0.73898244000000002</v>
      </c>
    </row>
    <row r="371" spans="5:20">
      <c r="E371" s="130">
        <v>0.99567000000000005</v>
      </c>
      <c r="F371" s="77">
        <v>0.98409000000000002</v>
      </c>
      <c r="G371" s="75">
        <v>34.268000000000001</v>
      </c>
      <c r="H371" s="88">
        <v>0.99912990000000002</v>
      </c>
      <c r="I371" s="77">
        <v>0.99398779999999998</v>
      </c>
      <c r="J371" s="15">
        <v>65.14</v>
      </c>
      <c r="R371" s="53">
        <v>439.5</v>
      </c>
      <c r="S371" s="76">
        <v>0.18582462999999999</v>
      </c>
      <c r="T371" s="138">
        <v>0.73784499999999997</v>
      </c>
    </row>
    <row r="372" spans="5:20">
      <c r="E372" s="130">
        <v>0.99563999999999997</v>
      </c>
      <c r="F372" s="77">
        <v>0.98404999999999998</v>
      </c>
      <c r="G372" s="75">
        <v>34.268999999999998</v>
      </c>
      <c r="H372" s="88">
        <v>0.99912685000000001</v>
      </c>
      <c r="I372" s="77">
        <v>0.99397044999999995</v>
      </c>
      <c r="J372" s="15">
        <v>65.141000000000005</v>
      </c>
      <c r="R372" s="53">
        <v>439.6</v>
      </c>
      <c r="S372" s="76">
        <v>0.18273576999999999</v>
      </c>
      <c r="T372" s="138">
        <v>0.73670809999999998</v>
      </c>
    </row>
    <row r="373" spans="5:20">
      <c r="E373" s="130">
        <v>0.99560999999999999</v>
      </c>
      <c r="F373" s="77">
        <v>0.98401000000000005</v>
      </c>
      <c r="G373" s="75">
        <v>34.270000000000003</v>
      </c>
      <c r="H373" s="88">
        <v>0.99912380000000001</v>
      </c>
      <c r="I373" s="77">
        <v>0.99395310000000003</v>
      </c>
      <c r="J373" s="15">
        <v>65.141999999999996</v>
      </c>
      <c r="R373" s="53">
        <v>439.7</v>
      </c>
      <c r="S373" s="76">
        <v>0.17979017999999999</v>
      </c>
      <c r="T373" s="138">
        <v>0.73557139999999999</v>
      </c>
    </row>
    <row r="374" spans="5:20">
      <c r="E374" s="130">
        <v>0.99558000000000002</v>
      </c>
      <c r="F374" s="77">
        <v>0.98397000000000001</v>
      </c>
      <c r="G374" s="75">
        <v>34.271000000000001</v>
      </c>
      <c r="H374" s="88">
        <v>0.99912080000000003</v>
      </c>
      <c r="I374" s="77">
        <v>0.99393575999999995</v>
      </c>
      <c r="J374" s="15">
        <v>65.143000000000001</v>
      </c>
      <c r="R374" s="53">
        <v>439.8</v>
      </c>
      <c r="S374" s="76">
        <v>0.17697492000000001</v>
      </c>
      <c r="T374" s="138">
        <v>0.7344347</v>
      </c>
    </row>
    <row r="375" spans="5:20">
      <c r="E375" s="130">
        <v>0.99555000000000005</v>
      </c>
      <c r="F375" s="77">
        <v>0.98394000000000004</v>
      </c>
      <c r="G375" s="75">
        <v>34.271999999999998</v>
      </c>
      <c r="H375" s="88">
        <v>0.99911773000000004</v>
      </c>
      <c r="I375" s="77">
        <v>0.99391839999999998</v>
      </c>
      <c r="J375" s="15">
        <v>65.144000000000005</v>
      </c>
      <c r="R375" s="53">
        <v>439.9</v>
      </c>
      <c r="S375" s="76">
        <v>0.17427880000000001</v>
      </c>
      <c r="T375" s="138">
        <v>0.73329794000000004</v>
      </c>
    </row>
    <row r="376" spans="5:20">
      <c r="E376" s="130">
        <v>0.99551999999999996</v>
      </c>
      <c r="F376" s="77">
        <v>0.9839</v>
      </c>
      <c r="G376" s="75">
        <v>34.273000000000003</v>
      </c>
      <c r="H376" s="88">
        <v>0.99911470000000002</v>
      </c>
      <c r="I376" s="77">
        <v>0.99390100000000003</v>
      </c>
      <c r="J376" s="15">
        <v>65.144999999999996</v>
      </c>
      <c r="R376" s="53">
        <v>440</v>
      </c>
      <c r="S376" s="76">
        <v>0.17169200000000001</v>
      </c>
      <c r="T376" s="138">
        <v>0.73216079999999994</v>
      </c>
    </row>
    <row r="377" spans="5:20">
      <c r="E377" s="130">
        <v>0.99548999999999999</v>
      </c>
      <c r="F377" s="77">
        <v>0.98385999999999996</v>
      </c>
      <c r="G377" s="75">
        <v>34.274000000000001</v>
      </c>
      <c r="H377" s="88">
        <v>0.99911159999999999</v>
      </c>
      <c r="I377" s="77">
        <v>0.99388367</v>
      </c>
      <c r="J377" s="15">
        <v>65.146000000000001</v>
      </c>
      <c r="R377" s="53">
        <v>440.1</v>
      </c>
      <c r="S377" s="76">
        <v>0.16920592000000001</v>
      </c>
      <c r="T377" s="138">
        <v>0.73102312999999997</v>
      </c>
    </row>
    <row r="378" spans="5:20">
      <c r="E378" s="130">
        <v>0.99546000000000001</v>
      </c>
      <c r="F378" s="77">
        <v>0.98382000000000003</v>
      </c>
      <c r="G378" s="75">
        <v>34.274999999999999</v>
      </c>
      <c r="H378" s="88">
        <v>0.99910854999999998</v>
      </c>
      <c r="I378" s="77">
        <v>0.99386629999999998</v>
      </c>
      <c r="J378" s="15">
        <v>65.147000000000006</v>
      </c>
      <c r="R378" s="53">
        <v>440.2</v>
      </c>
      <c r="S378" s="76">
        <v>0.16681298999999999</v>
      </c>
      <c r="T378" s="138">
        <v>0.72988485999999997</v>
      </c>
    </row>
    <row r="379" spans="5:20">
      <c r="E379" s="130">
        <v>0.99543000000000004</v>
      </c>
      <c r="F379" s="77">
        <v>0.98377999999999999</v>
      </c>
      <c r="G379" s="75">
        <v>34.276000000000003</v>
      </c>
      <c r="H379" s="88">
        <v>0.99910544999999995</v>
      </c>
      <c r="I379" s="77">
        <v>0.99384890000000004</v>
      </c>
      <c r="J379" s="15">
        <v>65.147999999999996</v>
      </c>
      <c r="R379" s="53">
        <v>440.3</v>
      </c>
      <c r="S379" s="76">
        <v>0.16450641999999999</v>
      </c>
      <c r="T379" s="138">
        <v>0.72874576000000002</v>
      </c>
    </row>
    <row r="380" spans="5:20">
      <c r="E380" s="130">
        <v>0.99539999999999995</v>
      </c>
      <c r="F380" s="77">
        <v>0.98373999999999995</v>
      </c>
      <c r="G380" s="75">
        <v>34.277000000000001</v>
      </c>
      <c r="H380" s="88">
        <v>0.99910239999999995</v>
      </c>
      <c r="I380" s="77">
        <v>0.99383160000000004</v>
      </c>
      <c r="J380" s="15">
        <v>65.149000000000001</v>
      </c>
      <c r="R380" s="53">
        <v>440.4</v>
      </c>
      <c r="S380" s="76">
        <v>0.16228017</v>
      </c>
      <c r="T380" s="138">
        <v>0.72760579999999997</v>
      </c>
    </row>
    <row r="381" spans="5:20">
      <c r="E381" s="130">
        <v>0.99536999999999998</v>
      </c>
      <c r="F381" s="77">
        <v>0.98370000000000002</v>
      </c>
      <c r="G381" s="75">
        <v>34.277999999999999</v>
      </c>
      <c r="H381" s="88">
        <v>0.99909930000000002</v>
      </c>
      <c r="I381" s="77">
        <v>0.99381419999999998</v>
      </c>
      <c r="J381" s="15">
        <v>65.150000000000006</v>
      </c>
      <c r="R381" s="53">
        <v>440.5</v>
      </c>
      <c r="S381" s="76">
        <v>0.16012886000000001</v>
      </c>
      <c r="T381" s="138">
        <v>0.72646480000000002</v>
      </c>
    </row>
    <row r="382" spans="5:20">
      <c r="E382" s="130">
        <v>0.99534</v>
      </c>
      <c r="F382" s="77">
        <v>0.98365999999999998</v>
      </c>
      <c r="G382" s="75">
        <v>34.279000000000003</v>
      </c>
      <c r="H382" s="88">
        <v>0.99909619999999999</v>
      </c>
      <c r="I382" s="77">
        <v>0.99379680000000004</v>
      </c>
      <c r="J382" s="15">
        <v>65.150999999999996</v>
      </c>
      <c r="R382" s="53">
        <v>440.6</v>
      </c>
      <c r="S382" s="76">
        <v>0.15804762</v>
      </c>
      <c r="T382" s="138">
        <v>0.72532266000000001</v>
      </c>
    </row>
    <row r="383" spans="5:20">
      <c r="E383" s="130">
        <v>0.99531000000000003</v>
      </c>
      <c r="F383" s="77">
        <v>0.98362000000000005</v>
      </c>
      <c r="G383" s="75">
        <v>34.28</v>
      </c>
      <c r="H383" s="88">
        <v>0.99909320000000001</v>
      </c>
      <c r="I383" s="77">
        <v>0.99377950000000004</v>
      </c>
      <c r="J383" s="15">
        <v>65.152000000000001</v>
      </c>
      <c r="R383" s="53">
        <v>440.7</v>
      </c>
      <c r="S383" s="76">
        <v>0.15603201</v>
      </c>
      <c r="T383" s="138">
        <v>0.72417929999999997</v>
      </c>
    </row>
    <row r="384" spans="5:20">
      <c r="E384" s="130">
        <v>0.99528000000000005</v>
      </c>
      <c r="F384" s="77">
        <v>0.98358000000000001</v>
      </c>
      <c r="G384" s="75">
        <v>34.280999999999999</v>
      </c>
      <c r="H384" s="88">
        <v>0.99909009999999998</v>
      </c>
      <c r="I384" s="77">
        <v>0.99376209999999998</v>
      </c>
      <c r="J384" s="15">
        <v>65.153000000000006</v>
      </c>
      <c r="R384" s="53">
        <v>440.8</v>
      </c>
      <c r="S384" s="76">
        <v>0.15407808000000001</v>
      </c>
      <c r="T384" s="138">
        <v>0.72303459999999997</v>
      </c>
    </row>
    <row r="385" spans="5:20">
      <c r="E385" s="130">
        <v>0.99524000000000001</v>
      </c>
      <c r="F385" s="77">
        <v>0.98353999999999997</v>
      </c>
      <c r="G385" s="75">
        <v>34.281999999999996</v>
      </c>
      <c r="H385" s="88">
        <v>0.99908699999999995</v>
      </c>
      <c r="I385" s="77">
        <v>0.99374472999999997</v>
      </c>
      <c r="J385" s="15">
        <v>65.153999999999996</v>
      </c>
      <c r="R385" s="53">
        <v>440.9</v>
      </c>
      <c r="S385" s="76">
        <v>0.15218218</v>
      </c>
      <c r="T385" s="138">
        <v>0.72188854000000002</v>
      </c>
    </row>
    <row r="386" spans="5:20">
      <c r="E386" s="130">
        <v>0.99521000000000004</v>
      </c>
      <c r="F386" s="77">
        <v>0.98350000000000004</v>
      </c>
      <c r="G386" s="75">
        <v>34.283000000000001</v>
      </c>
      <c r="H386" s="88">
        <v>0.99908390000000002</v>
      </c>
      <c r="I386" s="77">
        <v>0.99372729999999998</v>
      </c>
      <c r="J386" s="15">
        <v>65.155000000000001</v>
      </c>
      <c r="R386" s="53">
        <v>441</v>
      </c>
      <c r="S386" s="76">
        <v>0.15034099000000001</v>
      </c>
      <c r="T386" s="138">
        <v>0.72074099999999997</v>
      </c>
    </row>
    <row r="387" spans="5:20">
      <c r="E387" s="130">
        <v>0.99517999999999995</v>
      </c>
      <c r="F387" s="77">
        <v>0.98346</v>
      </c>
      <c r="G387" s="75">
        <v>34.283999999999999</v>
      </c>
      <c r="H387" s="88">
        <v>0.99908079999999999</v>
      </c>
      <c r="I387" s="77">
        <v>0.99370999999999998</v>
      </c>
      <c r="J387" s="15">
        <v>65.156000000000006</v>
      </c>
      <c r="R387" s="53">
        <v>441.1</v>
      </c>
      <c r="S387" s="76">
        <v>0.14855148000000001</v>
      </c>
      <c r="T387" s="138">
        <v>0.71959185999999997</v>
      </c>
    </row>
    <row r="388" spans="5:20">
      <c r="E388" s="130">
        <v>0.99514000000000002</v>
      </c>
      <c r="F388" s="77">
        <v>0.98341999999999996</v>
      </c>
      <c r="G388" s="75">
        <v>34.284999999999997</v>
      </c>
      <c r="H388" s="88">
        <v>0.99907769999999996</v>
      </c>
      <c r="I388" s="77">
        <v>0.99369260000000004</v>
      </c>
      <c r="J388" s="15">
        <v>65.156999999999996</v>
      </c>
      <c r="R388" s="53">
        <v>441.2</v>
      </c>
      <c r="S388" s="76">
        <v>0.14681087000000001</v>
      </c>
      <c r="T388" s="138">
        <v>0.71844110000000005</v>
      </c>
    </row>
    <row r="389" spans="5:20">
      <c r="E389" s="130">
        <v>0.99511000000000005</v>
      </c>
      <c r="F389" s="77">
        <v>0.98338000000000003</v>
      </c>
      <c r="G389" s="75">
        <v>34.286000000000001</v>
      </c>
      <c r="H389" s="88">
        <v>0.99907460000000003</v>
      </c>
      <c r="I389" s="77">
        <v>0.99367519999999998</v>
      </c>
      <c r="J389" s="15">
        <v>65.158000000000001</v>
      </c>
      <c r="R389" s="53">
        <v>441.3</v>
      </c>
      <c r="S389" s="76">
        <v>0.14511658</v>
      </c>
      <c r="T389" s="138">
        <v>0.7172887</v>
      </c>
    </row>
    <row r="390" spans="5:20">
      <c r="E390" s="130">
        <v>0.99507999999999996</v>
      </c>
      <c r="F390" s="77">
        <v>0.98333999999999999</v>
      </c>
      <c r="G390" s="75">
        <v>34.286999999999999</v>
      </c>
      <c r="H390" s="88">
        <v>0.9990715</v>
      </c>
      <c r="I390" s="77">
        <v>0.99365780000000004</v>
      </c>
      <c r="J390" s="15">
        <v>65.159000000000006</v>
      </c>
      <c r="R390" s="53">
        <v>441.4</v>
      </c>
      <c r="S390" s="76">
        <v>0.14346628</v>
      </c>
      <c r="T390" s="138">
        <v>0.71613439999999995</v>
      </c>
    </row>
    <row r="391" spans="5:20">
      <c r="E391" s="130">
        <v>0.99504000000000004</v>
      </c>
      <c r="F391" s="77">
        <v>0.98329999999999995</v>
      </c>
      <c r="G391" s="75">
        <v>34.287999999999997</v>
      </c>
      <c r="H391" s="88">
        <v>0.99906830000000002</v>
      </c>
      <c r="I391" s="77">
        <v>0.99364039999999998</v>
      </c>
      <c r="J391" s="15">
        <v>65.16</v>
      </c>
      <c r="R391" s="53">
        <v>441.5</v>
      </c>
      <c r="S391" s="76">
        <v>0.14185776</v>
      </c>
      <c r="T391" s="138">
        <v>0.71497840000000001</v>
      </c>
    </row>
    <row r="392" spans="5:20">
      <c r="E392" s="130">
        <v>0.99500999999999995</v>
      </c>
      <c r="F392" s="77">
        <v>0.98326000000000002</v>
      </c>
      <c r="G392" s="75">
        <v>34.289000000000001</v>
      </c>
      <c r="H392" s="88">
        <v>0.99906519999999999</v>
      </c>
      <c r="I392" s="77">
        <v>0.99362300000000003</v>
      </c>
      <c r="J392" s="15">
        <v>65.161000000000001</v>
      </c>
      <c r="R392" s="53">
        <v>441.6</v>
      </c>
      <c r="S392" s="76">
        <v>0.140289</v>
      </c>
      <c r="T392" s="138">
        <v>0.71382045999999999</v>
      </c>
    </row>
    <row r="393" spans="5:20">
      <c r="E393" s="130">
        <v>0.99497000000000002</v>
      </c>
      <c r="F393" s="77">
        <v>0.98321999999999998</v>
      </c>
      <c r="G393" s="75">
        <v>34.29</v>
      </c>
      <c r="H393" s="88">
        <v>0.99906205999999997</v>
      </c>
      <c r="I393" s="77">
        <v>0.99360570000000004</v>
      </c>
      <c r="J393" s="15">
        <v>65.162000000000006</v>
      </c>
      <c r="R393" s="53">
        <v>441.7</v>
      </c>
      <c r="S393" s="76">
        <v>0.13875810999999999</v>
      </c>
      <c r="T393" s="138">
        <v>0.71266059999999998</v>
      </c>
    </row>
    <row r="394" spans="5:20">
      <c r="E394" s="130">
        <v>0.99494000000000005</v>
      </c>
      <c r="F394" s="77">
        <v>0.98318000000000005</v>
      </c>
      <c r="G394" s="75">
        <v>34.290999999999997</v>
      </c>
      <c r="H394" s="88">
        <v>0.99905896000000005</v>
      </c>
      <c r="I394" s="77">
        <v>0.99358827000000005</v>
      </c>
      <c r="J394" s="15">
        <v>65.162999999999997</v>
      </c>
      <c r="R394" s="53">
        <v>441.8</v>
      </c>
      <c r="S394" s="76">
        <v>0.13726337</v>
      </c>
      <c r="T394" s="138">
        <v>0.71149879999999999</v>
      </c>
    </row>
    <row r="395" spans="5:20">
      <c r="E395" s="130">
        <v>0.99490000000000001</v>
      </c>
      <c r="F395" s="77">
        <v>0.98314000000000001</v>
      </c>
      <c r="G395" s="75">
        <v>34.292000000000002</v>
      </c>
      <c r="H395" s="88">
        <v>0.99905580000000005</v>
      </c>
      <c r="I395" s="77">
        <v>0.99357085999999994</v>
      </c>
      <c r="J395" s="15">
        <v>65.164000000000001</v>
      </c>
      <c r="R395" s="53">
        <v>441.9</v>
      </c>
      <c r="S395" s="76">
        <v>0.13580315000000001</v>
      </c>
      <c r="T395" s="138">
        <v>0.71033495999999996</v>
      </c>
    </row>
    <row r="396" spans="5:20">
      <c r="E396" s="130">
        <v>0.99485999999999997</v>
      </c>
      <c r="F396" s="77">
        <v>0.98309000000000002</v>
      </c>
      <c r="G396" s="75">
        <v>34.292999999999999</v>
      </c>
      <c r="H396" s="88">
        <v>0.99905270000000002</v>
      </c>
      <c r="I396" s="77">
        <v>0.99355346</v>
      </c>
      <c r="J396" s="15">
        <v>65.165000000000006</v>
      </c>
      <c r="R396" s="53">
        <v>442</v>
      </c>
      <c r="S396" s="76">
        <v>0.13437590999999999</v>
      </c>
      <c r="T396" s="138">
        <v>0.70916902999999998</v>
      </c>
    </row>
    <row r="397" spans="5:20">
      <c r="E397" s="130">
        <v>0.99482999999999999</v>
      </c>
      <c r="F397" s="77">
        <v>0.98304999999999998</v>
      </c>
      <c r="G397" s="75">
        <v>34.293999999999997</v>
      </c>
      <c r="H397" s="88">
        <v>0.99904954000000001</v>
      </c>
      <c r="I397" s="77">
        <v>0.99353610000000003</v>
      </c>
      <c r="J397" s="15">
        <v>65.165999999999997</v>
      </c>
      <c r="R397" s="53">
        <v>442.1</v>
      </c>
      <c r="S397" s="76">
        <v>0.13298024</v>
      </c>
      <c r="T397" s="138">
        <v>0.70800096000000001</v>
      </c>
    </row>
    <row r="398" spans="5:20">
      <c r="E398" s="130">
        <v>0.99478999999999995</v>
      </c>
      <c r="F398" s="77">
        <v>0.98301000000000005</v>
      </c>
      <c r="G398" s="75">
        <v>34.295000000000002</v>
      </c>
      <c r="H398" s="88">
        <v>0.9990464</v>
      </c>
      <c r="I398" s="77">
        <v>0.99351869999999998</v>
      </c>
      <c r="J398" s="15">
        <v>65.167000000000002</v>
      </c>
      <c r="R398" s="53">
        <v>442.2</v>
      </c>
      <c r="S398" s="76">
        <v>0.13161482999999999</v>
      </c>
      <c r="T398" s="138">
        <v>0.70683074000000001</v>
      </c>
    </row>
    <row r="399" spans="5:20">
      <c r="E399" s="130">
        <v>0.99475000000000002</v>
      </c>
      <c r="F399" s="77">
        <v>0.98297000000000001</v>
      </c>
      <c r="G399" s="75">
        <v>34.295999999999999</v>
      </c>
      <c r="H399" s="88">
        <v>0.99904320000000002</v>
      </c>
      <c r="I399" s="77">
        <v>0.99350130000000003</v>
      </c>
      <c r="J399" s="15">
        <v>65.168000000000006</v>
      </c>
      <c r="R399" s="53">
        <v>442.3</v>
      </c>
      <c r="S399" s="76">
        <v>0.13027841000000001</v>
      </c>
      <c r="T399" s="138">
        <v>0.70565829999999996</v>
      </c>
    </row>
    <row r="400" spans="5:20">
      <c r="E400" s="130">
        <v>0.99470999999999998</v>
      </c>
      <c r="F400" s="77">
        <v>0.98292999999999997</v>
      </c>
      <c r="G400" s="75">
        <v>34.296999999999997</v>
      </c>
      <c r="H400" s="88">
        <v>0.99904009999999999</v>
      </c>
      <c r="I400" s="77">
        <v>0.99348389999999998</v>
      </c>
      <c r="J400" s="15">
        <v>65.168999999999997</v>
      </c>
      <c r="R400" s="53">
        <v>442.4</v>
      </c>
      <c r="S400" s="76">
        <v>0.12896982000000001</v>
      </c>
      <c r="T400" s="138">
        <v>0.70448359999999999</v>
      </c>
    </row>
    <row r="401" spans="5:20">
      <c r="E401" s="130">
        <v>0.99467000000000005</v>
      </c>
      <c r="F401" s="77">
        <v>0.98289000000000004</v>
      </c>
      <c r="G401" s="75">
        <v>34.298000000000002</v>
      </c>
      <c r="H401" s="88">
        <v>0.99903697000000002</v>
      </c>
      <c r="I401" s="77">
        <v>0.99346650000000003</v>
      </c>
      <c r="J401" s="15">
        <v>65.17</v>
      </c>
      <c r="R401" s="53">
        <v>442.5</v>
      </c>
      <c r="S401" s="76">
        <v>0.12768795999999999</v>
      </c>
      <c r="T401" s="138">
        <v>0.70330669999999995</v>
      </c>
    </row>
    <row r="402" spans="5:20">
      <c r="E402" s="130">
        <v>0.99463999999999997</v>
      </c>
      <c r="F402" s="77">
        <v>0.98285</v>
      </c>
      <c r="G402" s="75">
        <v>34.298999999999999</v>
      </c>
      <c r="H402" s="88">
        <v>0.99903379999999997</v>
      </c>
      <c r="I402" s="77">
        <v>0.99344909999999997</v>
      </c>
      <c r="J402" s="15">
        <v>65.171000000000006</v>
      </c>
      <c r="R402" s="53">
        <v>442.6</v>
      </c>
      <c r="S402" s="76">
        <v>0.12643180000000001</v>
      </c>
      <c r="T402" s="138">
        <v>0.70212746000000004</v>
      </c>
    </row>
    <row r="403" spans="5:20">
      <c r="E403" s="130">
        <v>0.99460000000000004</v>
      </c>
      <c r="F403" s="77">
        <v>0.98280999999999996</v>
      </c>
      <c r="G403" s="75">
        <v>34.299999999999997</v>
      </c>
      <c r="H403" s="88">
        <v>0.99903059999999999</v>
      </c>
      <c r="I403" s="77">
        <v>0.99343170000000003</v>
      </c>
      <c r="J403" s="15">
        <v>65.171999999999997</v>
      </c>
      <c r="R403" s="53">
        <v>442.7</v>
      </c>
      <c r="S403" s="76">
        <v>0.12520034999999999</v>
      </c>
      <c r="T403" s="138">
        <v>0.70094579999999995</v>
      </c>
    </row>
    <row r="404" spans="5:20">
      <c r="E404" s="130">
        <v>0.99456</v>
      </c>
      <c r="F404" s="77">
        <v>0.98277000000000003</v>
      </c>
      <c r="G404" s="75">
        <v>34.301000000000002</v>
      </c>
      <c r="H404" s="88">
        <v>0.99902743000000005</v>
      </c>
      <c r="I404" s="77">
        <v>0.99341429999999997</v>
      </c>
      <c r="J404" s="15">
        <v>65.173000000000002</v>
      </c>
      <c r="R404" s="53">
        <v>442.8</v>
      </c>
      <c r="S404" s="76">
        <v>0.123992704</v>
      </c>
      <c r="T404" s="138">
        <v>0.69976179999999999</v>
      </c>
    </row>
    <row r="405" spans="5:20">
      <c r="E405" s="130">
        <v>0.99451000000000001</v>
      </c>
      <c r="F405" s="77">
        <v>0.98272000000000004</v>
      </c>
      <c r="G405" s="75">
        <v>34.302</v>
      </c>
      <c r="H405" s="88">
        <v>0.99902429999999998</v>
      </c>
      <c r="I405" s="77">
        <v>0.99339690000000003</v>
      </c>
      <c r="J405" s="15">
        <v>65.174000000000007</v>
      </c>
      <c r="R405" s="53">
        <v>442.9</v>
      </c>
      <c r="S405" s="76">
        <v>0.12280799000000001</v>
      </c>
      <c r="T405" s="138">
        <v>0.69857544000000005</v>
      </c>
    </row>
    <row r="406" spans="5:20">
      <c r="E406" s="130">
        <v>0.99446999999999997</v>
      </c>
      <c r="F406" s="77">
        <v>0.98268</v>
      </c>
      <c r="G406" s="75">
        <v>34.302999999999997</v>
      </c>
      <c r="H406" s="88">
        <v>0.9990211</v>
      </c>
      <c r="I406" s="77">
        <v>0.99337949999999997</v>
      </c>
      <c r="J406" s="15">
        <v>65.174999999999997</v>
      </c>
      <c r="R406" s="53">
        <v>443</v>
      </c>
      <c r="S406" s="76">
        <v>0.121645376</v>
      </c>
      <c r="T406" s="138">
        <v>0.69738655999999999</v>
      </c>
    </row>
    <row r="407" spans="5:20">
      <c r="E407" s="130">
        <v>0.99443000000000004</v>
      </c>
      <c r="F407" s="77">
        <v>0.98263999999999996</v>
      </c>
      <c r="G407" s="75">
        <v>34.304000000000002</v>
      </c>
      <c r="H407" s="88">
        <v>0.99901790000000001</v>
      </c>
      <c r="I407" s="77">
        <v>0.99336206999999999</v>
      </c>
      <c r="J407" s="15">
        <v>65.176000000000002</v>
      </c>
      <c r="R407" s="53">
        <v>443.1</v>
      </c>
      <c r="S407" s="76">
        <v>0.12050408999999999</v>
      </c>
      <c r="T407" s="138">
        <v>0.69619523999999999</v>
      </c>
    </row>
    <row r="408" spans="5:20">
      <c r="E408" s="130">
        <v>0.99439</v>
      </c>
      <c r="F408" s="77">
        <v>0.98260000000000003</v>
      </c>
      <c r="G408" s="75">
        <v>34.305</v>
      </c>
      <c r="H408" s="88">
        <v>0.99901474000000001</v>
      </c>
      <c r="I408" s="77">
        <v>0.99334465999999999</v>
      </c>
      <c r="J408" s="15">
        <v>65.177000000000007</v>
      </c>
      <c r="R408" s="53">
        <v>443.2</v>
      </c>
      <c r="S408" s="76">
        <v>0.11938339000000001</v>
      </c>
      <c r="T408" s="138">
        <v>0.69500139999999999</v>
      </c>
    </row>
    <row r="409" spans="5:20">
      <c r="E409" s="130">
        <v>0.99434999999999996</v>
      </c>
      <c r="F409" s="77">
        <v>0.98255999999999999</v>
      </c>
      <c r="G409" s="75">
        <v>34.305999999999997</v>
      </c>
      <c r="H409" s="88">
        <v>0.99901150000000005</v>
      </c>
      <c r="I409" s="77">
        <v>0.99332726000000005</v>
      </c>
      <c r="J409" s="15">
        <v>65.177999999999997</v>
      </c>
      <c r="R409" s="53">
        <v>443.3</v>
      </c>
      <c r="S409" s="76">
        <v>0.11828258</v>
      </c>
      <c r="T409" s="138">
        <v>0.69380503999999998</v>
      </c>
    </row>
    <row r="410" spans="5:20">
      <c r="E410" s="130">
        <v>0.99429999999999996</v>
      </c>
      <c r="F410" s="77">
        <v>0.98250999999999999</v>
      </c>
      <c r="G410" s="75">
        <v>34.307000000000002</v>
      </c>
      <c r="H410" s="88">
        <v>0.99900836000000004</v>
      </c>
      <c r="I410" s="77">
        <v>0.99330985999999999</v>
      </c>
      <c r="J410" s="15">
        <v>65.179000000000002</v>
      </c>
      <c r="R410" s="53">
        <v>443.4</v>
      </c>
      <c r="S410" s="76">
        <v>0.11720099</v>
      </c>
      <c r="T410" s="138">
        <v>0.69260615000000003</v>
      </c>
    </row>
    <row r="411" spans="5:20">
      <c r="E411" s="130">
        <v>0.99426000000000003</v>
      </c>
      <c r="F411" s="77">
        <v>0.98246999999999995</v>
      </c>
      <c r="G411" s="75">
        <v>34.308</v>
      </c>
      <c r="H411" s="88">
        <v>0.99900513999999996</v>
      </c>
      <c r="I411" s="77">
        <v>0.99329244999999999</v>
      </c>
      <c r="J411" s="15">
        <v>65.180000000000007</v>
      </c>
      <c r="R411" s="53">
        <v>443.5</v>
      </c>
      <c r="S411" s="76">
        <v>0.11613800000000001</v>
      </c>
      <c r="T411" s="138">
        <v>0.69140464000000001</v>
      </c>
    </row>
    <row r="412" spans="5:20">
      <c r="E412" s="130">
        <v>0.99421999999999999</v>
      </c>
      <c r="F412" s="77">
        <v>0.98243000000000003</v>
      </c>
      <c r="G412" s="75">
        <v>34.308999999999997</v>
      </c>
      <c r="H412" s="88">
        <v>0.9990019</v>
      </c>
      <c r="I412" s="77">
        <v>0.99327505000000005</v>
      </c>
      <c r="J412" s="15">
        <v>65.180999999999997</v>
      </c>
      <c r="R412" s="53">
        <v>443.6</v>
      </c>
      <c r="S412" s="76">
        <v>0.11509298499999999</v>
      </c>
      <c r="T412" s="138">
        <v>0.69020049999999999</v>
      </c>
    </row>
    <row r="413" spans="5:20">
      <c r="E413" s="130">
        <v>0.99417</v>
      </c>
      <c r="F413" s="77">
        <v>0.98238999999999999</v>
      </c>
      <c r="G413" s="75">
        <v>34.31</v>
      </c>
      <c r="H413" s="88">
        <v>0.99899870000000002</v>
      </c>
      <c r="I413" s="77">
        <v>0.99325759999999996</v>
      </c>
      <c r="J413" s="15">
        <v>65.182000000000002</v>
      </c>
      <c r="R413" s="53">
        <v>443.7</v>
      </c>
      <c r="S413" s="76">
        <v>0.114065394</v>
      </c>
      <c r="T413" s="138">
        <v>0.68899374999999996</v>
      </c>
    </row>
    <row r="414" spans="5:20">
      <c r="E414" s="130">
        <v>0.99412999999999996</v>
      </c>
      <c r="F414" s="77">
        <v>0.98234999999999995</v>
      </c>
      <c r="G414" s="75">
        <v>34.311</v>
      </c>
      <c r="H414" s="88">
        <v>0.99899550000000004</v>
      </c>
      <c r="I414" s="77">
        <v>0.99324020000000002</v>
      </c>
      <c r="J414" s="15">
        <v>65.183000000000007</v>
      </c>
      <c r="R414" s="53">
        <v>443.8</v>
      </c>
      <c r="S414" s="76">
        <v>0.11305467</v>
      </c>
      <c r="T414" s="138">
        <v>0.68778439999999996</v>
      </c>
    </row>
    <row r="415" spans="5:20">
      <c r="E415" s="130">
        <v>0.99407999999999996</v>
      </c>
      <c r="F415" s="77">
        <v>0.98229999999999995</v>
      </c>
      <c r="G415" s="75">
        <v>34.311999999999998</v>
      </c>
      <c r="H415" s="88">
        <v>0.99899230000000006</v>
      </c>
      <c r="I415" s="77">
        <v>0.99322279999999996</v>
      </c>
      <c r="J415" s="15">
        <v>65.183999999999997</v>
      </c>
      <c r="R415" s="53">
        <v>443.9</v>
      </c>
      <c r="S415" s="76">
        <v>0.1120603</v>
      </c>
      <c r="T415" s="138">
        <v>0.68657225</v>
      </c>
    </row>
    <row r="416" spans="5:20">
      <c r="E416" s="130">
        <v>0.99402999999999997</v>
      </c>
      <c r="F416" s="77">
        <v>0.98226000000000002</v>
      </c>
      <c r="G416" s="75">
        <v>34.313000000000002</v>
      </c>
      <c r="H416" s="88">
        <v>0.99898905000000005</v>
      </c>
      <c r="I416" s="77">
        <v>0.99320536999999998</v>
      </c>
      <c r="J416" s="15">
        <v>65.185000000000002</v>
      </c>
      <c r="R416" s="53">
        <v>444</v>
      </c>
      <c r="S416" s="76">
        <v>0.11108179</v>
      </c>
      <c r="T416" s="138">
        <v>0.68535745000000003</v>
      </c>
    </row>
    <row r="417" spans="5:20">
      <c r="E417" s="130">
        <v>0.99397999999999997</v>
      </c>
      <c r="F417" s="77">
        <v>0.98221999999999998</v>
      </c>
      <c r="G417" s="75">
        <v>34.314</v>
      </c>
      <c r="H417" s="88">
        <v>0.99898580000000003</v>
      </c>
      <c r="I417" s="77">
        <v>0.99318790000000001</v>
      </c>
      <c r="J417" s="15">
        <v>65.186000000000007</v>
      </c>
      <c r="R417" s="53">
        <v>444.1</v>
      </c>
      <c r="S417" s="76">
        <v>0.11011865</v>
      </c>
      <c r="T417" s="138">
        <v>0.68413997000000004</v>
      </c>
    </row>
    <row r="418" spans="5:20">
      <c r="E418" s="130">
        <v>0.99394000000000005</v>
      </c>
      <c r="F418" s="77">
        <v>0.98216999999999999</v>
      </c>
      <c r="G418" s="75">
        <v>34.314999999999998</v>
      </c>
      <c r="H418" s="88">
        <v>0.99898260000000005</v>
      </c>
      <c r="I418" s="77">
        <v>0.99317049999999996</v>
      </c>
      <c r="J418" s="15">
        <v>65.186999999999998</v>
      </c>
      <c r="R418" s="53">
        <v>444.2</v>
      </c>
      <c r="S418" s="76">
        <v>0.10917043999999999</v>
      </c>
      <c r="T418" s="138">
        <v>0.68291970000000002</v>
      </c>
    </row>
    <row r="419" spans="5:20">
      <c r="E419" s="130">
        <v>0.99389000000000005</v>
      </c>
      <c r="F419" s="77">
        <v>0.98212999999999995</v>
      </c>
      <c r="G419" s="75">
        <v>34.316000000000003</v>
      </c>
      <c r="H419" s="88">
        <v>0.99897939999999996</v>
      </c>
      <c r="I419" s="77">
        <v>0.99315310000000001</v>
      </c>
      <c r="J419" s="15">
        <v>65.188000000000002</v>
      </c>
      <c r="R419" s="53">
        <v>444.3</v>
      </c>
      <c r="S419" s="76">
        <v>0.10823671999999999</v>
      </c>
      <c r="T419" s="138">
        <v>0.68169665000000002</v>
      </c>
    </row>
    <row r="420" spans="5:20">
      <c r="E420" s="130">
        <v>0.99383999999999995</v>
      </c>
      <c r="F420" s="77">
        <v>0.98209000000000002</v>
      </c>
      <c r="G420" s="75">
        <v>34.317</v>
      </c>
      <c r="H420" s="88">
        <v>0.99897619999999998</v>
      </c>
      <c r="I420" s="77">
        <v>0.99313563000000005</v>
      </c>
      <c r="J420" s="15">
        <v>65.188999999999993</v>
      </c>
      <c r="R420" s="53">
        <v>444.4</v>
      </c>
      <c r="S420" s="76">
        <v>0.10731708</v>
      </c>
      <c r="T420" s="138">
        <v>0.68047080000000004</v>
      </c>
    </row>
    <row r="421" spans="5:20">
      <c r="E421" s="130">
        <v>0.99378999999999995</v>
      </c>
      <c r="F421" s="77">
        <v>0.98204000000000002</v>
      </c>
      <c r="G421" s="75">
        <v>34.317999999999998</v>
      </c>
      <c r="H421" s="88">
        <v>0.99897290000000005</v>
      </c>
      <c r="I421" s="77">
        <v>0.99311819999999995</v>
      </c>
      <c r="J421" s="15">
        <v>65.19</v>
      </c>
      <c r="R421" s="53">
        <v>444.5</v>
      </c>
      <c r="S421" s="76">
        <v>0.10641112</v>
      </c>
      <c r="T421" s="138">
        <v>0.67924220000000002</v>
      </c>
    </row>
    <row r="422" spans="5:20">
      <c r="E422" s="130">
        <v>0.99373999999999996</v>
      </c>
      <c r="F422" s="77">
        <v>0.98199999999999998</v>
      </c>
      <c r="G422" s="75">
        <v>34.319000000000003</v>
      </c>
      <c r="H422" s="88">
        <v>0.99896969999999996</v>
      </c>
      <c r="I422" s="77">
        <v>0.99310080000000001</v>
      </c>
      <c r="J422" s="15">
        <v>65.191000000000003</v>
      </c>
      <c r="R422" s="53">
        <v>444.6</v>
      </c>
      <c r="S422" s="76">
        <v>0.10551847</v>
      </c>
      <c r="T422" s="138">
        <v>0.67801069999999997</v>
      </c>
    </row>
    <row r="423" spans="5:20">
      <c r="E423" s="130">
        <v>0.99368000000000001</v>
      </c>
      <c r="F423" s="77">
        <v>0.98196000000000006</v>
      </c>
      <c r="G423" s="75">
        <v>34.32</v>
      </c>
      <c r="H423" s="88">
        <v>0.99896640000000003</v>
      </c>
      <c r="I423" s="77">
        <v>0.99308335999999997</v>
      </c>
      <c r="J423" s="15">
        <v>65.191999999999993</v>
      </c>
      <c r="R423" s="53">
        <v>444.7</v>
      </c>
      <c r="S423" s="76">
        <v>0.10463873999999999</v>
      </c>
      <c r="T423" s="138">
        <v>0.67677639999999994</v>
      </c>
    </row>
    <row r="424" spans="5:20">
      <c r="E424" s="130">
        <v>0.99363000000000001</v>
      </c>
      <c r="F424" s="77">
        <v>0.98190999999999995</v>
      </c>
      <c r="G424" s="75">
        <v>34.320999999999998</v>
      </c>
      <c r="H424" s="88">
        <v>0.99896320000000005</v>
      </c>
      <c r="I424" s="77">
        <v>0.99306594999999998</v>
      </c>
      <c r="J424" s="15">
        <v>65.192999999999998</v>
      </c>
      <c r="R424" s="53">
        <v>444.8</v>
      </c>
      <c r="S424" s="76">
        <v>0.103771605</v>
      </c>
      <c r="T424" s="138">
        <v>0.67553925999999997</v>
      </c>
    </row>
    <row r="425" spans="5:20">
      <c r="E425" s="130">
        <v>0.99358000000000002</v>
      </c>
      <c r="F425" s="77">
        <v>0.98187000000000002</v>
      </c>
      <c r="G425" s="75">
        <v>34.322000000000003</v>
      </c>
      <c r="H425" s="88">
        <v>0.99895990000000001</v>
      </c>
      <c r="I425" s="77">
        <v>0.9930485</v>
      </c>
      <c r="J425" s="15">
        <v>65.194000000000003</v>
      </c>
      <c r="R425" s="53">
        <v>444.9</v>
      </c>
      <c r="S425" s="76">
        <v>0.10291670999999999</v>
      </c>
      <c r="T425" s="138">
        <v>0.67429919999999999</v>
      </c>
    </row>
    <row r="426" spans="5:20">
      <c r="E426" s="130">
        <v>0.99351999999999996</v>
      </c>
      <c r="F426" s="77">
        <v>0.98182999999999998</v>
      </c>
      <c r="G426" s="75">
        <v>34.323</v>
      </c>
      <c r="H426" s="88">
        <v>0.99895659999999997</v>
      </c>
      <c r="I426" s="77">
        <v>0.99303110000000006</v>
      </c>
      <c r="J426" s="15">
        <v>65.194999999999993</v>
      </c>
      <c r="R426" s="53">
        <v>445</v>
      </c>
      <c r="S426" s="76">
        <v>0.10207374399999999</v>
      </c>
      <c r="T426" s="138">
        <v>0.67305623999999997</v>
      </c>
    </row>
    <row r="427" spans="5:20">
      <c r="E427" s="130">
        <v>0.99346999999999996</v>
      </c>
      <c r="F427" s="77">
        <v>0.98177999999999999</v>
      </c>
      <c r="G427" s="75">
        <v>34.323999999999998</v>
      </c>
      <c r="H427" s="88">
        <v>0.99895334000000002</v>
      </c>
      <c r="I427" s="77">
        <v>0.99301360000000005</v>
      </c>
      <c r="J427" s="15">
        <v>65.195999999999998</v>
      </c>
      <c r="R427" s="53">
        <v>445.1</v>
      </c>
      <c r="S427" s="76">
        <v>0.10124239</v>
      </c>
      <c r="T427" s="138">
        <v>0.67181029999999997</v>
      </c>
    </row>
    <row r="428" spans="5:20">
      <c r="E428" s="130">
        <v>0.99341000000000002</v>
      </c>
      <c r="F428" s="77">
        <v>0.98173999999999995</v>
      </c>
      <c r="G428" s="75">
        <v>34.325000000000003</v>
      </c>
      <c r="H428" s="88">
        <v>0.99895005999999997</v>
      </c>
      <c r="I428" s="77">
        <v>0.99299616000000002</v>
      </c>
      <c r="J428" s="15">
        <v>65.197000000000003</v>
      </c>
      <c r="R428" s="53">
        <v>445.2</v>
      </c>
      <c r="S428" s="76">
        <v>0.10042236</v>
      </c>
      <c r="T428" s="138">
        <v>0.67056154999999995</v>
      </c>
    </row>
    <row r="429" spans="5:20">
      <c r="E429" s="130">
        <v>0.99336000000000002</v>
      </c>
      <c r="F429" s="77">
        <v>0.98168999999999995</v>
      </c>
      <c r="G429" s="75">
        <v>34.326000000000001</v>
      </c>
      <c r="H429" s="88">
        <v>0.99894680000000002</v>
      </c>
      <c r="I429" s="77">
        <v>0.99297875000000002</v>
      </c>
      <c r="J429" s="15">
        <v>65.197999999999993</v>
      </c>
      <c r="R429" s="53">
        <v>445.3</v>
      </c>
      <c r="S429" s="76">
        <v>9.9613350000000003E-2</v>
      </c>
      <c r="T429" s="138">
        <v>0.66930973999999999</v>
      </c>
    </row>
    <row r="430" spans="5:20">
      <c r="E430" s="130">
        <v>0.99329999999999996</v>
      </c>
      <c r="F430" s="77">
        <v>0.98165000000000002</v>
      </c>
      <c r="G430" s="75">
        <v>34.326999999999998</v>
      </c>
      <c r="H430" s="88">
        <v>0.99894349999999998</v>
      </c>
      <c r="I430" s="77">
        <v>0.99296130000000005</v>
      </c>
      <c r="J430" s="15">
        <v>65.198999999999998</v>
      </c>
      <c r="R430" s="53">
        <v>445.4</v>
      </c>
      <c r="S430" s="76">
        <v>9.8815100000000003E-2</v>
      </c>
      <c r="T430" s="138">
        <v>0.66805499999999995</v>
      </c>
    </row>
    <row r="431" spans="5:20">
      <c r="E431" s="130">
        <v>0.99324000000000001</v>
      </c>
      <c r="F431" s="77">
        <v>0.98160000000000003</v>
      </c>
      <c r="G431" s="75">
        <v>34.328000000000003</v>
      </c>
      <c r="H431" s="88">
        <v>0.99894019999999994</v>
      </c>
      <c r="I431" s="77">
        <v>0.99294380000000004</v>
      </c>
      <c r="J431" s="15">
        <v>65.2</v>
      </c>
      <c r="R431" s="53">
        <v>445.5</v>
      </c>
      <c r="S431" s="76">
        <v>9.8027329999999996E-2</v>
      </c>
      <c r="T431" s="138">
        <v>0.66679730000000004</v>
      </c>
    </row>
    <row r="432" spans="5:20">
      <c r="E432" s="130">
        <v>0.99317999999999995</v>
      </c>
      <c r="F432" s="77">
        <v>0.98155999999999999</v>
      </c>
      <c r="G432" s="75">
        <v>34.329000000000001</v>
      </c>
      <c r="H432" s="88">
        <v>0.99893695000000005</v>
      </c>
      <c r="I432" s="77">
        <v>0.99292639999999999</v>
      </c>
      <c r="J432" s="15">
        <v>65.200999999999993</v>
      </c>
      <c r="R432" s="53">
        <v>445.6</v>
      </c>
      <c r="S432" s="76">
        <v>9.7249790000000003E-2</v>
      </c>
      <c r="T432" s="138">
        <v>0.66553660000000003</v>
      </c>
    </row>
    <row r="433" spans="5:20">
      <c r="E433" s="130">
        <v>0.99312</v>
      </c>
      <c r="F433" s="77">
        <v>0.98150999999999999</v>
      </c>
      <c r="G433" s="75">
        <v>34.33</v>
      </c>
      <c r="H433" s="88">
        <v>0.99893370000000004</v>
      </c>
      <c r="I433" s="77">
        <v>0.99290895000000001</v>
      </c>
      <c r="J433" s="15">
        <v>65.201999999999998</v>
      </c>
      <c r="R433" s="53">
        <v>445.7</v>
      </c>
      <c r="S433" s="76">
        <v>9.6482239999999997E-2</v>
      </c>
      <c r="T433" s="138">
        <v>0.66427283999999998</v>
      </c>
    </row>
    <row r="434" spans="5:20">
      <c r="E434" s="130">
        <v>0.99306000000000005</v>
      </c>
      <c r="F434" s="77">
        <v>0.98146999999999995</v>
      </c>
      <c r="G434" s="75">
        <v>34.331000000000003</v>
      </c>
      <c r="H434" s="88">
        <v>0.99893034000000003</v>
      </c>
      <c r="I434" s="77">
        <v>0.99289150000000004</v>
      </c>
      <c r="J434" s="15">
        <v>65.203000000000003</v>
      </c>
      <c r="R434" s="53">
        <v>445.8</v>
      </c>
      <c r="S434" s="76">
        <v>9.5724426000000001E-2</v>
      </c>
      <c r="T434" s="138">
        <v>0.66300607</v>
      </c>
    </row>
    <row r="435" spans="5:20">
      <c r="E435" s="130">
        <v>0.99299999999999999</v>
      </c>
      <c r="F435" s="77">
        <v>0.98141999999999996</v>
      </c>
      <c r="G435" s="75">
        <v>34.332000000000001</v>
      </c>
      <c r="H435" s="88">
        <v>0.99892705999999998</v>
      </c>
      <c r="I435" s="77">
        <v>0.99287409999999998</v>
      </c>
      <c r="J435" s="15">
        <v>65.203999999999994</v>
      </c>
      <c r="R435" s="53">
        <v>445.9</v>
      </c>
      <c r="S435" s="76">
        <v>9.4976130000000006E-2</v>
      </c>
      <c r="T435" s="138">
        <v>0.66173625000000003</v>
      </c>
    </row>
    <row r="436" spans="5:20">
      <c r="E436" s="130">
        <v>0.99292999999999998</v>
      </c>
      <c r="F436" s="77">
        <v>0.98138000000000003</v>
      </c>
      <c r="G436" s="75">
        <v>34.332999999999998</v>
      </c>
      <c r="H436" s="88">
        <v>0.99892380000000003</v>
      </c>
      <c r="I436" s="77">
        <v>0.99285659999999998</v>
      </c>
      <c r="J436" s="15">
        <v>65.204999999999998</v>
      </c>
      <c r="R436" s="53">
        <v>446</v>
      </c>
      <c r="S436" s="76">
        <v>9.4237130000000002E-2</v>
      </c>
      <c r="T436" s="138">
        <v>0.66046340000000003</v>
      </c>
    </row>
    <row r="437" spans="5:20">
      <c r="E437" s="130">
        <v>0.99287000000000003</v>
      </c>
      <c r="F437" s="77">
        <v>0.98133000000000004</v>
      </c>
      <c r="G437" s="75">
        <v>34.334000000000003</v>
      </c>
      <c r="H437" s="88">
        <v>0.99892044000000002</v>
      </c>
      <c r="I437" s="77">
        <v>0.99283916000000005</v>
      </c>
      <c r="J437" s="15">
        <v>65.206000000000003</v>
      </c>
      <c r="R437" s="53">
        <v>446.1</v>
      </c>
      <c r="S437" s="76">
        <v>9.3507190000000004E-2</v>
      </c>
      <c r="T437" s="138">
        <v>0.65918743999999996</v>
      </c>
    </row>
    <row r="438" spans="5:20">
      <c r="E438" s="130">
        <v>0.99280000000000002</v>
      </c>
      <c r="F438" s="77">
        <v>0.98128000000000004</v>
      </c>
      <c r="G438" s="75">
        <v>34.335000000000001</v>
      </c>
      <c r="H438" s="88">
        <v>0.9989171</v>
      </c>
      <c r="I438" s="77">
        <v>0.99282170000000003</v>
      </c>
      <c r="J438" s="15">
        <v>65.206999999999994</v>
      </c>
      <c r="R438" s="53">
        <v>446.2</v>
      </c>
      <c r="S438" s="76">
        <v>9.2786140000000003E-2</v>
      </c>
      <c r="T438" s="138">
        <v>0.65790839999999995</v>
      </c>
    </row>
    <row r="439" spans="5:20">
      <c r="E439" s="130">
        <v>0.99273</v>
      </c>
      <c r="F439" s="77">
        <v>0.98124</v>
      </c>
      <c r="G439" s="75">
        <v>34.335999999999999</v>
      </c>
      <c r="H439" s="88">
        <v>0.99891379999999996</v>
      </c>
      <c r="I439" s="77">
        <v>0.99280420000000003</v>
      </c>
      <c r="J439" s="15">
        <v>65.207999999999998</v>
      </c>
      <c r="R439" s="53">
        <v>446.3</v>
      </c>
      <c r="S439" s="76">
        <v>9.2073745999999998E-2</v>
      </c>
      <c r="T439" s="138">
        <v>0.65662620000000005</v>
      </c>
    </row>
    <row r="440" spans="5:20">
      <c r="E440" s="130">
        <v>0.99267000000000005</v>
      </c>
      <c r="F440" s="77">
        <v>0.98119000000000001</v>
      </c>
      <c r="G440" s="75">
        <v>34.337000000000003</v>
      </c>
      <c r="H440" s="88">
        <v>0.99891050000000003</v>
      </c>
      <c r="I440" s="77">
        <v>0.99278677000000004</v>
      </c>
      <c r="J440" s="15">
        <v>65.209000000000003</v>
      </c>
      <c r="R440" s="53">
        <v>446.4</v>
      </c>
      <c r="S440" s="76">
        <v>9.1369839999999994E-2</v>
      </c>
      <c r="T440" s="138">
        <v>0.65534097000000002</v>
      </c>
    </row>
    <row r="441" spans="5:20">
      <c r="E441" s="130">
        <v>0.99260000000000004</v>
      </c>
      <c r="F441" s="77">
        <v>0.98114999999999997</v>
      </c>
      <c r="G441" s="75">
        <v>34.338000000000001</v>
      </c>
      <c r="H441" s="88">
        <v>0.99890714999999997</v>
      </c>
      <c r="I441" s="77">
        <v>0.99276929999999997</v>
      </c>
      <c r="J441" s="15">
        <v>65.209999999999994</v>
      </c>
      <c r="R441" s="53">
        <v>446.5</v>
      </c>
      <c r="S441" s="76">
        <v>9.0674214000000003E-2</v>
      </c>
      <c r="T441" s="138">
        <v>0.65405256000000001</v>
      </c>
    </row>
    <row r="442" spans="5:20">
      <c r="E442" s="130">
        <v>0.99251999999999996</v>
      </c>
      <c r="F442" s="77">
        <v>0.98109999999999997</v>
      </c>
      <c r="G442" s="75">
        <v>34.338999999999999</v>
      </c>
      <c r="H442" s="88">
        <v>0.99890380000000001</v>
      </c>
      <c r="I442" s="77">
        <v>0.99275184000000005</v>
      </c>
      <c r="J442" s="15">
        <v>65.210999999999999</v>
      </c>
      <c r="R442" s="53">
        <v>446.6</v>
      </c>
      <c r="S442" s="76">
        <v>8.9986704000000001E-2</v>
      </c>
      <c r="T442" s="138">
        <v>0.65276104000000001</v>
      </c>
    </row>
    <row r="443" spans="5:20">
      <c r="E443" s="130">
        <v>0.99245000000000005</v>
      </c>
      <c r="F443" s="77">
        <v>0.98104999999999998</v>
      </c>
      <c r="G443" s="75">
        <v>34.340000000000003</v>
      </c>
      <c r="H443" s="88">
        <v>0.99890049999999997</v>
      </c>
      <c r="I443" s="77">
        <v>0.99273440000000002</v>
      </c>
      <c r="J443" s="15">
        <v>65.212000000000003</v>
      </c>
      <c r="R443" s="53">
        <v>446.7</v>
      </c>
      <c r="S443" s="76">
        <v>8.9307120000000004E-2</v>
      </c>
      <c r="T443" s="138">
        <v>0.65146636999999996</v>
      </c>
    </row>
    <row r="444" spans="5:20">
      <c r="E444" s="130">
        <v>0.99238000000000004</v>
      </c>
      <c r="F444" s="77">
        <v>0.98099999999999998</v>
      </c>
      <c r="G444" s="75">
        <v>34.341000000000001</v>
      </c>
      <c r="H444" s="88">
        <v>0.99889713999999996</v>
      </c>
      <c r="I444" s="77">
        <v>0.99271690000000001</v>
      </c>
      <c r="J444" s="15">
        <v>65.212999999999994</v>
      </c>
      <c r="R444" s="53">
        <v>446.8</v>
      </c>
      <c r="S444" s="76">
        <v>8.86353E-2</v>
      </c>
      <c r="T444" s="138">
        <v>0.65016850000000004</v>
      </c>
    </row>
    <row r="445" spans="5:20">
      <c r="E445" s="130">
        <v>0.99229999999999996</v>
      </c>
      <c r="F445" s="77">
        <v>0.98096000000000005</v>
      </c>
      <c r="G445" s="75">
        <v>34.341999999999999</v>
      </c>
      <c r="H445" s="88">
        <v>0.99889380000000005</v>
      </c>
      <c r="I445" s="77">
        <v>0.99269943999999999</v>
      </c>
      <c r="J445" s="15">
        <v>65.213999999999999</v>
      </c>
      <c r="R445" s="53">
        <v>446.9</v>
      </c>
      <c r="S445" s="76">
        <v>8.7971084000000005E-2</v>
      </c>
      <c r="T445" s="138">
        <v>0.64886739999999998</v>
      </c>
    </row>
    <row r="446" spans="5:20">
      <c r="E446" s="130">
        <v>0.99222999999999995</v>
      </c>
      <c r="F446" s="77">
        <v>0.98090999999999995</v>
      </c>
      <c r="G446" s="75">
        <v>34.343000000000004</v>
      </c>
      <c r="H446" s="88">
        <v>0.99889039999999996</v>
      </c>
      <c r="I446" s="77">
        <v>0.99268199999999995</v>
      </c>
      <c r="J446" s="15">
        <v>65.215000000000003</v>
      </c>
      <c r="R446" s="53">
        <v>447</v>
      </c>
      <c r="S446" s="76">
        <v>8.7314299999999997E-2</v>
      </c>
      <c r="T446" s="138">
        <v>0.64756316000000003</v>
      </c>
    </row>
    <row r="447" spans="5:20">
      <c r="E447" s="130">
        <v>0.99214999999999998</v>
      </c>
      <c r="F447" s="77">
        <v>0.98085999999999995</v>
      </c>
      <c r="G447" s="75">
        <v>34.344000000000001</v>
      </c>
      <c r="H447" s="88">
        <v>0.99888706000000005</v>
      </c>
      <c r="I447" s="77">
        <v>0.99266449999999995</v>
      </c>
      <c r="J447" s="15">
        <v>65.215999999999994</v>
      </c>
      <c r="R447" s="53">
        <v>447.1</v>
      </c>
      <c r="S447" s="76">
        <v>8.66648E-2</v>
      </c>
      <c r="T447" s="138">
        <v>0.64625573000000003</v>
      </c>
    </row>
    <row r="448" spans="5:20">
      <c r="E448" s="130">
        <v>0.99207000000000001</v>
      </c>
      <c r="F448" s="77">
        <v>0.98080999999999996</v>
      </c>
      <c r="G448" s="75">
        <v>34.344999999999999</v>
      </c>
      <c r="H448" s="88">
        <v>0.99888370000000004</v>
      </c>
      <c r="I448" s="77">
        <v>0.99264704999999998</v>
      </c>
      <c r="J448" s="15">
        <v>65.216999999999999</v>
      </c>
      <c r="R448" s="53">
        <v>447.2</v>
      </c>
      <c r="S448" s="76">
        <v>8.6022444000000003E-2</v>
      </c>
      <c r="T448" s="138">
        <v>0.64494499999999999</v>
      </c>
    </row>
    <row r="449" spans="5:20">
      <c r="E449" s="130">
        <v>0.99199000000000004</v>
      </c>
      <c r="F449" s="77">
        <v>0.98075999999999997</v>
      </c>
      <c r="G449" s="75">
        <v>34.345999999999997</v>
      </c>
      <c r="H449" s="88">
        <v>0.99888030000000005</v>
      </c>
      <c r="I449" s="77">
        <v>0.9926296</v>
      </c>
      <c r="J449" s="15">
        <v>65.218000000000004</v>
      </c>
      <c r="R449" s="53">
        <v>447.3</v>
      </c>
      <c r="S449" s="76">
        <v>8.5387069999999995E-2</v>
      </c>
      <c r="T449" s="138">
        <v>0.64363110000000001</v>
      </c>
    </row>
    <row r="450" spans="5:20">
      <c r="E450" s="130">
        <v>0.9919</v>
      </c>
      <c r="F450" s="77">
        <v>0.98072000000000004</v>
      </c>
      <c r="G450" s="75">
        <v>34.347000000000001</v>
      </c>
      <c r="H450" s="88">
        <v>0.99887700000000001</v>
      </c>
      <c r="I450" s="77">
        <v>0.9926121</v>
      </c>
      <c r="J450" s="15">
        <v>65.218999999999994</v>
      </c>
      <c r="R450" s="53">
        <v>447.4</v>
      </c>
      <c r="S450" s="76">
        <v>8.4758559999999997E-2</v>
      </c>
      <c r="T450" s="138">
        <v>0.64231395999999996</v>
      </c>
    </row>
    <row r="451" spans="5:20">
      <c r="E451" s="130">
        <v>0.99182000000000003</v>
      </c>
      <c r="F451" s="77">
        <v>0.98067000000000004</v>
      </c>
      <c r="G451" s="75">
        <v>34.347999999999999</v>
      </c>
      <c r="H451" s="88">
        <v>0.99887360000000003</v>
      </c>
      <c r="I451" s="77">
        <v>0.99259459999999999</v>
      </c>
      <c r="J451" s="15">
        <v>65.22</v>
      </c>
      <c r="R451" s="53">
        <v>447.5</v>
      </c>
      <c r="S451" s="76">
        <v>8.4136749999999996E-2</v>
      </c>
      <c r="T451" s="138">
        <v>0.64099353999999997</v>
      </c>
    </row>
    <row r="452" spans="5:20">
      <c r="E452" s="130">
        <v>0.99173</v>
      </c>
      <c r="F452" s="77">
        <v>0.98062000000000005</v>
      </c>
      <c r="G452" s="75">
        <v>34.348999999999997</v>
      </c>
      <c r="H452" s="88">
        <v>0.99887020000000004</v>
      </c>
      <c r="I452" s="77">
        <v>0.99257713999999997</v>
      </c>
      <c r="J452" s="15">
        <v>65.221000000000004</v>
      </c>
      <c r="R452" s="53">
        <v>447.6</v>
      </c>
      <c r="S452" s="76">
        <v>8.3521515000000005E-2</v>
      </c>
      <c r="T452" s="138">
        <v>0.63966984000000005</v>
      </c>
    </row>
    <row r="453" spans="5:20">
      <c r="E453" s="130">
        <v>0.99163999999999997</v>
      </c>
      <c r="F453" s="77">
        <v>0.98057000000000005</v>
      </c>
      <c r="G453" s="75">
        <v>34.35</v>
      </c>
      <c r="H453" s="88">
        <v>0.99886686000000002</v>
      </c>
      <c r="I453" s="77">
        <v>0.99255970000000004</v>
      </c>
      <c r="J453" s="15">
        <v>65.221999999999994</v>
      </c>
      <c r="R453" s="53">
        <v>447.7</v>
      </c>
      <c r="S453" s="76">
        <v>8.2912739999999999E-2</v>
      </c>
      <c r="T453" s="138">
        <v>0.63834285999999996</v>
      </c>
    </row>
    <row r="454" spans="5:20">
      <c r="E454" s="130">
        <v>0.99155000000000004</v>
      </c>
      <c r="F454" s="77">
        <v>0.98051999999999995</v>
      </c>
      <c r="G454" s="75">
        <v>34.350999999999999</v>
      </c>
      <c r="H454" s="88">
        <v>0.99886346000000004</v>
      </c>
      <c r="I454" s="77">
        <v>0.99254220000000004</v>
      </c>
      <c r="J454" s="15">
        <v>65.222999999999999</v>
      </c>
      <c r="R454" s="53">
        <v>447.8</v>
      </c>
      <c r="S454" s="76">
        <v>8.2310289999999994E-2</v>
      </c>
      <c r="T454" s="138">
        <v>0.63701260000000004</v>
      </c>
    </row>
    <row r="455" spans="5:20">
      <c r="E455" s="130">
        <v>0.99145000000000005</v>
      </c>
      <c r="F455" s="77">
        <v>0.98046999999999995</v>
      </c>
      <c r="G455" s="75">
        <v>34.351999999999997</v>
      </c>
      <c r="H455" s="88">
        <v>0.99886006000000005</v>
      </c>
      <c r="I455" s="77">
        <v>0.99252470000000004</v>
      </c>
      <c r="J455" s="15">
        <v>65.224000000000004</v>
      </c>
      <c r="R455" s="53">
        <v>447.9</v>
      </c>
      <c r="S455" s="76">
        <v>8.1714040000000002E-2</v>
      </c>
      <c r="T455" s="138">
        <v>0.63567899999999999</v>
      </c>
    </row>
    <row r="456" spans="5:20">
      <c r="E456" s="130">
        <v>0.99136000000000002</v>
      </c>
      <c r="F456" s="77">
        <v>0.98041999999999996</v>
      </c>
      <c r="G456" s="75">
        <v>34.353000000000002</v>
      </c>
      <c r="H456" s="88">
        <v>0.99885665999999995</v>
      </c>
      <c r="I456" s="77">
        <v>0.99250720000000003</v>
      </c>
      <c r="J456" s="15">
        <v>65.224999999999994</v>
      </c>
      <c r="R456" s="53">
        <v>448</v>
      </c>
      <c r="S456" s="76">
        <v>8.1123879999999995E-2</v>
      </c>
      <c r="T456" s="138">
        <v>0.63434212999999995</v>
      </c>
    </row>
    <row r="457" spans="5:20">
      <c r="E457" s="130">
        <v>0.99126000000000003</v>
      </c>
      <c r="F457" s="77">
        <v>0.98036999999999996</v>
      </c>
      <c r="G457" s="75">
        <v>34.353999999999999</v>
      </c>
      <c r="H457" s="88">
        <v>0.99885327000000002</v>
      </c>
      <c r="I457" s="77">
        <v>0.99248976</v>
      </c>
      <c r="J457" s="15">
        <v>65.225999999999999</v>
      </c>
      <c r="R457" s="53">
        <v>448.1</v>
      </c>
      <c r="S457" s="76">
        <v>8.0539689999999997E-2</v>
      </c>
      <c r="T457" s="138">
        <v>0.63300190000000001</v>
      </c>
    </row>
    <row r="458" spans="5:20">
      <c r="E458" s="130">
        <v>0.99116000000000004</v>
      </c>
      <c r="F458" s="77">
        <v>0.98031999999999997</v>
      </c>
      <c r="G458" s="75">
        <v>34.354999999999997</v>
      </c>
      <c r="H458" s="88">
        <v>0.99884987000000003</v>
      </c>
      <c r="I458" s="77">
        <v>0.99247222999999996</v>
      </c>
      <c r="J458" s="15">
        <v>65.227000000000004</v>
      </c>
      <c r="R458" s="53">
        <v>448.2</v>
      </c>
      <c r="S458" s="76">
        <v>7.9961359999999995E-2</v>
      </c>
      <c r="T458" s="138">
        <v>0.63165839999999995</v>
      </c>
    </row>
    <row r="459" spans="5:20">
      <c r="E459" s="130">
        <v>0.99106000000000005</v>
      </c>
      <c r="F459" s="77">
        <v>0.98026000000000002</v>
      </c>
      <c r="G459" s="75">
        <v>34.356000000000002</v>
      </c>
      <c r="H459" s="88">
        <v>0.99884640000000002</v>
      </c>
      <c r="I459" s="77">
        <v>0.99245477000000004</v>
      </c>
      <c r="J459" s="15">
        <v>65.227999999999994</v>
      </c>
      <c r="R459" s="53">
        <v>448.3</v>
      </c>
      <c r="S459" s="76">
        <v>7.9388774999999995E-2</v>
      </c>
      <c r="T459" s="138">
        <v>0.63031150000000002</v>
      </c>
    </row>
    <row r="460" spans="5:20">
      <c r="E460" s="130">
        <v>0.99095</v>
      </c>
      <c r="F460" s="77">
        <v>0.98021000000000003</v>
      </c>
      <c r="G460" s="75">
        <v>34.356999999999999</v>
      </c>
      <c r="H460" s="88">
        <v>0.99884300000000004</v>
      </c>
      <c r="I460" s="77">
        <v>0.99243724</v>
      </c>
      <c r="J460" s="15">
        <v>65.228999999999999</v>
      </c>
      <c r="R460" s="53">
        <v>448.4</v>
      </c>
      <c r="S460" s="76">
        <v>7.8821840000000004E-2</v>
      </c>
      <c r="T460" s="138">
        <v>0.6289612</v>
      </c>
    </row>
    <row r="461" spans="5:20">
      <c r="E461" s="130">
        <v>0.99084000000000005</v>
      </c>
      <c r="F461" s="77">
        <v>0.98016000000000003</v>
      </c>
      <c r="G461" s="75">
        <v>34.357999999999997</v>
      </c>
      <c r="H461" s="88">
        <v>0.99883960000000005</v>
      </c>
      <c r="I461" s="77">
        <v>0.99241979999999996</v>
      </c>
      <c r="J461" s="15">
        <v>65.23</v>
      </c>
      <c r="R461" s="53">
        <v>448.5</v>
      </c>
      <c r="S461" s="76">
        <v>7.8260443999999998E-2</v>
      </c>
      <c r="T461" s="138">
        <v>0.62760760000000004</v>
      </c>
    </row>
    <row r="462" spans="5:20">
      <c r="E462" s="130">
        <v>0.99073</v>
      </c>
      <c r="F462" s="77">
        <v>0.98011000000000004</v>
      </c>
      <c r="G462" s="75">
        <v>34.359000000000002</v>
      </c>
      <c r="H462" s="88">
        <v>0.99883615999999997</v>
      </c>
      <c r="I462" s="77">
        <v>0.99240225999999998</v>
      </c>
      <c r="J462" s="15">
        <v>65.230999999999995</v>
      </c>
      <c r="R462" s="53">
        <v>448.6</v>
      </c>
      <c r="S462" s="76">
        <v>7.7704499999999996E-2</v>
      </c>
      <c r="T462" s="138">
        <v>0.62625059999999999</v>
      </c>
    </row>
    <row r="463" spans="5:20">
      <c r="E463" s="130">
        <v>0.99060999999999999</v>
      </c>
      <c r="F463" s="77">
        <v>0.98004999999999998</v>
      </c>
      <c r="G463" s="75">
        <v>34.36</v>
      </c>
      <c r="H463" s="88">
        <v>0.99883275999999999</v>
      </c>
      <c r="I463" s="77">
        <v>0.99238479999999996</v>
      </c>
      <c r="J463" s="15">
        <v>65.231999999999999</v>
      </c>
      <c r="R463" s="53">
        <v>448.7</v>
      </c>
      <c r="S463" s="76">
        <v>7.7153890000000003E-2</v>
      </c>
      <c r="T463" s="138">
        <v>0.62489019999999995</v>
      </c>
    </row>
    <row r="464" spans="5:20">
      <c r="E464" s="130">
        <v>0.99048999999999998</v>
      </c>
      <c r="F464" s="77">
        <v>0.98</v>
      </c>
      <c r="G464" s="75">
        <v>34.360999999999997</v>
      </c>
      <c r="H464" s="88">
        <v>0.99882930000000003</v>
      </c>
      <c r="I464" s="77">
        <v>0.99236727000000002</v>
      </c>
      <c r="J464" s="15">
        <v>65.233000000000004</v>
      </c>
      <c r="R464" s="53">
        <v>448.8</v>
      </c>
      <c r="S464" s="76">
        <v>7.6608529999999994E-2</v>
      </c>
      <c r="T464" s="138">
        <v>0.62352640000000004</v>
      </c>
    </row>
    <row r="465" spans="5:20">
      <c r="E465" s="130">
        <v>0.99036999999999997</v>
      </c>
      <c r="F465" s="77">
        <v>0.97994999999999999</v>
      </c>
      <c r="G465" s="75">
        <v>34.362000000000002</v>
      </c>
      <c r="H465" s="88">
        <v>0.99882585000000002</v>
      </c>
      <c r="I465" s="77">
        <v>0.99234979999999995</v>
      </c>
      <c r="J465" s="15">
        <v>65.233999999999995</v>
      </c>
      <c r="R465" s="53">
        <v>448.9</v>
      </c>
      <c r="S465" s="76">
        <v>7.6068334000000001E-2</v>
      </c>
      <c r="T465" s="138">
        <v>0.62215920000000002</v>
      </c>
    </row>
    <row r="466" spans="5:20">
      <c r="E466" s="130">
        <v>0.99024999999999996</v>
      </c>
      <c r="F466" s="77">
        <v>0.97989000000000004</v>
      </c>
      <c r="G466" s="75">
        <v>34.363</v>
      </c>
      <c r="H466" s="88">
        <v>0.9988224</v>
      </c>
      <c r="I466" s="77">
        <v>0.99233229999999994</v>
      </c>
      <c r="J466" s="15">
        <v>65.234999999999999</v>
      </c>
      <c r="R466" s="53">
        <v>449</v>
      </c>
      <c r="S466" s="76">
        <v>7.5533199999999995E-2</v>
      </c>
      <c r="T466" s="138">
        <v>0.62078860000000002</v>
      </c>
    </row>
    <row r="467" spans="5:20">
      <c r="E467" s="130">
        <v>0.99012</v>
      </c>
      <c r="F467" s="77">
        <v>0.97984000000000004</v>
      </c>
      <c r="G467" s="75">
        <v>34.363999999999997</v>
      </c>
      <c r="H467" s="88">
        <v>0.99881892999999999</v>
      </c>
      <c r="I467" s="77">
        <v>0.99231475999999996</v>
      </c>
      <c r="J467" s="15">
        <v>65.236000000000004</v>
      </c>
      <c r="R467" s="53">
        <v>449.1</v>
      </c>
      <c r="S467" s="76">
        <v>7.5003040000000007E-2</v>
      </c>
      <c r="T467" s="138">
        <v>0.61941449999999998</v>
      </c>
    </row>
    <row r="468" spans="5:20">
      <c r="E468" s="130">
        <v>0.98997999999999997</v>
      </c>
      <c r="F468" s="77">
        <v>0.97977999999999998</v>
      </c>
      <c r="G468" s="75">
        <v>34.365000000000002</v>
      </c>
      <c r="H468" s="88">
        <v>0.99881553999999995</v>
      </c>
      <c r="I468" s="77">
        <v>0.99229730000000005</v>
      </c>
      <c r="J468" s="15">
        <v>65.236999999999995</v>
      </c>
      <c r="R468" s="53">
        <v>449.2</v>
      </c>
      <c r="S468" s="76">
        <v>7.4477784000000005E-2</v>
      </c>
      <c r="T468" s="138">
        <v>0.61803699999999995</v>
      </c>
    </row>
    <row r="469" spans="5:20">
      <c r="E469" s="130">
        <v>0.98984000000000005</v>
      </c>
      <c r="F469" s="77">
        <v>0.97972000000000004</v>
      </c>
      <c r="G469" s="75">
        <v>34.366</v>
      </c>
      <c r="H469" s="88">
        <v>0.99881209999999998</v>
      </c>
      <c r="I469" s="77">
        <v>0.99227977000000001</v>
      </c>
      <c r="J469" s="15">
        <v>65.238</v>
      </c>
      <c r="R469" s="53">
        <v>449.3</v>
      </c>
      <c r="S469" s="76">
        <v>7.3957339999999996E-2</v>
      </c>
      <c r="T469" s="138">
        <v>0.61665599999999998</v>
      </c>
    </row>
    <row r="470" spans="5:20">
      <c r="E470" s="130">
        <v>0.98970000000000002</v>
      </c>
      <c r="F470" s="77">
        <v>0.97967000000000004</v>
      </c>
      <c r="G470" s="75">
        <v>34.366999999999997</v>
      </c>
      <c r="H470" s="88">
        <v>0.99880855999999996</v>
      </c>
      <c r="I470" s="77">
        <v>0.99226223999999996</v>
      </c>
      <c r="J470" s="15">
        <v>65.239000000000004</v>
      </c>
      <c r="R470" s="53">
        <v>449.4</v>
      </c>
      <c r="S470" s="76">
        <v>7.3441619999999999E-2</v>
      </c>
      <c r="T470" s="138">
        <v>0.61527156999999999</v>
      </c>
    </row>
    <row r="471" spans="5:20">
      <c r="E471" s="130">
        <v>0.98955000000000004</v>
      </c>
      <c r="F471" s="77">
        <v>0.97960999999999998</v>
      </c>
      <c r="G471" s="75">
        <v>34.368000000000002</v>
      </c>
      <c r="H471" s="88">
        <v>0.9988051</v>
      </c>
      <c r="I471" s="77">
        <v>0.99224480000000004</v>
      </c>
      <c r="J471" s="15">
        <v>65.239999999999995</v>
      </c>
      <c r="R471" s="53">
        <v>449.5</v>
      </c>
      <c r="S471" s="76">
        <v>7.2930544999999999E-2</v>
      </c>
      <c r="T471" s="138">
        <v>0.61388370000000003</v>
      </c>
    </row>
    <row r="472" spans="5:20">
      <c r="E472" s="130">
        <v>0.98939999999999995</v>
      </c>
      <c r="F472" s="77">
        <v>0.97955000000000003</v>
      </c>
      <c r="G472" s="75">
        <v>34.369</v>
      </c>
      <c r="H472" s="88">
        <v>0.99880164999999999</v>
      </c>
      <c r="I472" s="77">
        <v>0.99222726000000006</v>
      </c>
      <c r="J472" s="15">
        <v>65.241</v>
      </c>
      <c r="R472" s="53">
        <v>449.6</v>
      </c>
      <c r="S472" s="76">
        <v>7.2424039999999995E-2</v>
      </c>
      <c r="T472" s="138">
        <v>0.61249229999999999</v>
      </c>
    </row>
    <row r="473" spans="5:20">
      <c r="E473" s="130">
        <v>0.98924000000000001</v>
      </c>
      <c r="F473" s="77">
        <v>0.97948999999999997</v>
      </c>
      <c r="G473" s="75">
        <v>34.369999999999997</v>
      </c>
      <c r="H473" s="88">
        <v>0.99879819999999997</v>
      </c>
      <c r="I473" s="77">
        <v>0.99220973000000001</v>
      </c>
      <c r="J473" s="15">
        <v>65.242000000000004</v>
      </c>
      <c r="R473" s="53">
        <v>449.7</v>
      </c>
      <c r="S473" s="76">
        <v>7.1922040000000007E-2</v>
      </c>
      <c r="T473" s="138">
        <v>0.61109745999999998</v>
      </c>
    </row>
    <row r="474" spans="5:20">
      <c r="E474" s="130">
        <v>0.98907</v>
      </c>
      <c r="F474" s="77">
        <v>0.97943000000000002</v>
      </c>
      <c r="G474" s="75">
        <v>34.371000000000002</v>
      </c>
      <c r="H474" s="88">
        <v>0.99879470000000004</v>
      </c>
      <c r="I474" s="77">
        <v>0.99219219999999997</v>
      </c>
      <c r="J474" s="15">
        <v>65.242999999999995</v>
      </c>
      <c r="R474" s="53">
        <v>449.8</v>
      </c>
      <c r="S474" s="76">
        <v>7.1424459999999995E-2</v>
      </c>
      <c r="T474" s="138">
        <v>0.60969910000000005</v>
      </c>
    </row>
    <row r="475" spans="5:20">
      <c r="E475" s="130">
        <v>0.9889</v>
      </c>
      <c r="F475" s="77">
        <v>0.97936999999999996</v>
      </c>
      <c r="G475" s="75">
        <v>34.372</v>
      </c>
      <c r="H475" s="88">
        <v>0.99879119999999999</v>
      </c>
      <c r="I475" s="77">
        <v>0.99217469999999996</v>
      </c>
      <c r="J475" s="15">
        <v>65.244</v>
      </c>
      <c r="R475" s="53">
        <v>449.9</v>
      </c>
      <c r="S475" s="76">
        <v>7.0931226E-2</v>
      </c>
      <c r="T475" s="138">
        <v>0.60829719999999998</v>
      </c>
    </row>
    <row r="476" spans="5:20">
      <c r="E476" s="130">
        <v>0.98872000000000004</v>
      </c>
      <c r="F476" s="77">
        <v>0.97931000000000001</v>
      </c>
      <c r="G476" s="75">
        <v>34.372999999999998</v>
      </c>
      <c r="H476" s="88">
        <v>0.99878769999999994</v>
      </c>
      <c r="I476" s="77">
        <v>0.99215715999999998</v>
      </c>
      <c r="J476" s="15">
        <v>65.245000000000005</v>
      </c>
      <c r="R476" s="53">
        <v>450</v>
      </c>
      <c r="S476" s="76">
        <v>7.0442279999999996E-2</v>
      </c>
      <c r="T476" s="138">
        <v>0.60689179999999998</v>
      </c>
    </row>
    <row r="477" spans="5:20">
      <c r="E477" s="130">
        <v>0.98853000000000002</v>
      </c>
      <c r="F477" s="77">
        <v>0.97924999999999995</v>
      </c>
      <c r="G477" s="75">
        <v>34.374000000000002</v>
      </c>
      <c r="H477" s="88">
        <v>0.99878420000000001</v>
      </c>
      <c r="I477" s="77">
        <v>0.99213963999999999</v>
      </c>
      <c r="J477" s="15">
        <v>65.245999999999995</v>
      </c>
      <c r="R477" s="53">
        <v>450.1</v>
      </c>
      <c r="S477" s="76">
        <v>6.9957539999999999E-2</v>
      </c>
      <c r="T477" s="138">
        <v>0.60548290000000005</v>
      </c>
    </row>
    <row r="478" spans="5:20">
      <c r="E478" s="130">
        <v>0.98833000000000004</v>
      </c>
      <c r="F478" s="77">
        <v>0.97918000000000005</v>
      </c>
      <c r="G478" s="75">
        <v>34.375</v>
      </c>
      <c r="H478" s="88">
        <v>0.99878069999999997</v>
      </c>
      <c r="I478" s="77">
        <v>0.99212210000000001</v>
      </c>
      <c r="J478" s="15">
        <v>65.247</v>
      </c>
      <c r="R478" s="53">
        <v>450.2</v>
      </c>
      <c r="S478" s="76">
        <v>6.9476949999999996E-2</v>
      </c>
      <c r="T478" s="138">
        <v>0.60407040000000001</v>
      </c>
    </row>
    <row r="479" spans="5:20">
      <c r="E479" s="130">
        <v>0.98812999999999995</v>
      </c>
      <c r="F479" s="77">
        <v>0.97911999999999999</v>
      </c>
      <c r="G479" s="75">
        <v>34.375999999999998</v>
      </c>
      <c r="H479" s="88">
        <v>0.99877720000000003</v>
      </c>
      <c r="I479" s="77">
        <v>0.99210465000000003</v>
      </c>
      <c r="J479" s="15">
        <v>65.248000000000005</v>
      </c>
      <c r="R479" s="53">
        <v>450.3</v>
      </c>
      <c r="S479" s="76">
        <v>6.9000430000000001E-2</v>
      </c>
      <c r="T479" s="138">
        <v>0.60265440000000003</v>
      </c>
    </row>
    <row r="480" spans="5:20">
      <c r="E480" s="130">
        <v>0.98790999999999995</v>
      </c>
      <c r="F480" s="77">
        <v>0.97904999999999998</v>
      </c>
      <c r="G480" s="75">
        <v>34.377000000000002</v>
      </c>
      <c r="H480" s="88">
        <v>0.99877369999999999</v>
      </c>
      <c r="I480" s="77">
        <v>0.99208706999999996</v>
      </c>
      <c r="J480" s="15">
        <v>65.248999999999995</v>
      </c>
      <c r="R480" s="53">
        <v>450.4</v>
      </c>
      <c r="S480" s="76">
        <v>6.8527939999999996E-2</v>
      </c>
      <c r="T480" s="138">
        <v>0.60123479999999996</v>
      </c>
    </row>
    <row r="481" spans="5:20">
      <c r="E481" s="130">
        <v>0.98768</v>
      </c>
      <c r="F481" s="77">
        <v>0.97897999999999996</v>
      </c>
      <c r="G481" s="75">
        <v>34.378</v>
      </c>
      <c r="H481" s="88">
        <v>0.99877020000000005</v>
      </c>
      <c r="I481" s="77">
        <v>0.99206954000000003</v>
      </c>
      <c r="J481" s="15">
        <v>65.25</v>
      </c>
      <c r="R481" s="53">
        <v>450.5</v>
      </c>
      <c r="S481" s="76">
        <v>6.8059389999999997E-2</v>
      </c>
      <c r="T481" s="138">
        <v>0.59981169999999995</v>
      </c>
    </row>
    <row r="482" spans="5:20">
      <c r="E482" s="130">
        <v>0.98743999999999998</v>
      </c>
      <c r="F482" s="77">
        <v>0.97890999999999995</v>
      </c>
      <c r="G482" s="75">
        <v>34.378999999999998</v>
      </c>
      <c r="H482" s="88">
        <v>0.99876666000000003</v>
      </c>
      <c r="I482" s="77">
        <v>0.99205200000000004</v>
      </c>
      <c r="J482" s="15">
        <v>65.251000000000005</v>
      </c>
      <c r="R482" s="53">
        <v>450.6</v>
      </c>
      <c r="S482" s="76">
        <v>6.759474E-2</v>
      </c>
      <c r="T482" s="138">
        <v>0.59838499999999994</v>
      </c>
    </row>
    <row r="483" spans="5:20">
      <c r="E483" s="130">
        <v>0.98717999999999995</v>
      </c>
      <c r="F483" s="77">
        <v>0.97884000000000004</v>
      </c>
      <c r="G483" s="75">
        <v>34.380000000000003</v>
      </c>
      <c r="H483" s="88">
        <v>0.99876313999999999</v>
      </c>
      <c r="I483" s="77">
        <v>0.99203450000000004</v>
      </c>
      <c r="J483" s="15">
        <v>65.251999999999995</v>
      </c>
      <c r="R483" s="53">
        <v>450.7</v>
      </c>
      <c r="S483" s="76">
        <v>6.7133910000000005E-2</v>
      </c>
      <c r="T483" s="138">
        <v>0.59695463999999998</v>
      </c>
    </row>
    <row r="484" spans="5:20">
      <c r="E484" s="130">
        <v>0.98690999999999995</v>
      </c>
      <c r="F484" s="77">
        <v>0.97877000000000003</v>
      </c>
      <c r="G484" s="75">
        <v>34.381</v>
      </c>
      <c r="H484" s="88">
        <v>0.99875957000000004</v>
      </c>
      <c r="I484" s="77">
        <v>0.99201700000000004</v>
      </c>
      <c r="J484" s="15">
        <v>65.253</v>
      </c>
      <c r="R484" s="53">
        <v>450.8</v>
      </c>
      <c r="S484" s="76">
        <v>6.6676860000000004E-2</v>
      </c>
      <c r="T484" s="138">
        <v>0.59552079999999996</v>
      </c>
    </row>
    <row r="485" spans="5:20">
      <c r="E485" s="130">
        <v>0.98660999999999999</v>
      </c>
      <c r="F485" s="77">
        <v>0.97868999999999995</v>
      </c>
      <c r="G485" s="75">
        <v>34.381999999999998</v>
      </c>
      <c r="H485" s="88">
        <v>0.99875605000000001</v>
      </c>
      <c r="I485" s="77">
        <v>0.99199945</v>
      </c>
      <c r="J485" s="15">
        <v>65.254000000000005</v>
      </c>
      <c r="R485" s="53">
        <v>450.9</v>
      </c>
      <c r="S485" s="76">
        <v>6.6223530000000003E-2</v>
      </c>
      <c r="T485" s="138">
        <v>0.59408329999999998</v>
      </c>
    </row>
    <row r="486" spans="5:20">
      <c r="E486" s="130">
        <v>0.98629999999999995</v>
      </c>
      <c r="F486" s="77">
        <v>0.97862000000000005</v>
      </c>
      <c r="G486" s="75">
        <v>34.383000000000003</v>
      </c>
      <c r="H486" s="88">
        <v>0.99875252999999997</v>
      </c>
      <c r="I486" s="77">
        <v>0.99198189999999997</v>
      </c>
      <c r="J486" s="15">
        <v>65.254999999999995</v>
      </c>
      <c r="R486" s="53">
        <v>451</v>
      </c>
      <c r="S486" s="76">
        <v>6.5773860000000003E-2</v>
      </c>
      <c r="T486" s="138">
        <v>0.59264220000000001</v>
      </c>
    </row>
    <row r="487" spans="5:20">
      <c r="E487" s="130">
        <v>0.98595999999999995</v>
      </c>
      <c r="F487" s="77">
        <v>0.97853999999999997</v>
      </c>
      <c r="G487" s="75">
        <v>34.384</v>
      </c>
      <c r="H487" s="88">
        <v>0.99874896000000002</v>
      </c>
      <c r="I487" s="77">
        <v>0.99196439999999997</v>
      </c>
      <c r="J487" s="15">
        <v>65.256</v>
      </c>
      <c r="R487" s="53">
        <v>451.1</v>
      </c>
      <c r="S487" s="76">
        <v>6.5327789999999997E-2</v>
      </c>
      <c r="T487" s="138">
        <v>0.59119743000000002</v>
      </c>
    </row>
    <row r="488" spans="5:20">
      <c r="E488" s="130">
        <v>0.98558999999999997</v>
      </c>
      <c r="F488" s="77">
        <v>0.97845000000000004</v>
      </c>
      <c r="G488" s="75">
        <v>34.384999999999998</v>
      </c>
      <c r="H488" s="88">
        <v>0.99874540000000001</v>
      </c>
      <c r="I488" s="77">
        <v>0.99194680000000002</v>
      </c>
      <c r="J488" s="15">
        <v>65.257000000000005</v>
      </c>
      <c r="R488" s="53">
        <v>451.2</v>
      </c>
      <c r="S488" s="76">
        <v>6.4885280000000004E-2</v>
      </c>
      <c r="T488" s="138">
        <v>0.58974910000000003</v>
      </c>
    </row>
    <row r="489" spans="5:20">
      <c r="E489" s="130">
        <v>0.98517999999999994</v>
      </c>
      <c r="F489" s="77">
        <v>0.97836999999999996</v>
      </c>
      <c r="G489" s="75">
        <v>34.386000000000003</v>
      </c>
      <c r="H489" s="88">
        <v>0.99874187000000003</v>
      </c>
      <c r="I489" s="77">
        <v>0.99192930000000001</v>
      </c>
      <c r="J489" s="15">
        <v>65.257999999999996</v>
      </c>
      <c r="R489" s="53">
        <v>451.3</v>
      </c>
      <c r="S489" s="76">
        <v>6.4446260000000005E-2</v>
      </c>
      <c r="T489" s="138">
        <v>0.58829710000000002</v>
      </c>
    </row>
    <row r="490" spans="5:20">
      <c r="E490" s="130">
        <v>0.99048999999999998</v>
      </c>
      <c r="F490" s="77">
        <v>0.98</v>
      </c>
      <c r="G490" s="75">
        <v>34.360999999999997</v>
      </c>
      <c r="H490" s="88">
        <v>0.99873829999999997</v>
      </c>
      <c r="I490" s="77">
        <v>0.99191176999999997</v>
      </c>
      <c r="J490" s="15">
        <v>65.259</v>
      </c>
      <c r="R490" s="53">
        <v>451.4</v>
      </c>
      <c r="S490" s="76">
        <v>6.4010700000000004E-2</v>
      </c>
      <c r="T490" s="138">
        <v>0.58684146000000004</v>
      </c>
    </row>
    <row r="491" spans="5:20">
      <c r="E491" s="130">
        <v>0.99036999999999997</v>
      </c>
      <c r="F491" s="77">
        <v>0.97994999999999999</v>
      </c>
      <c r="G491" s="75">
        <v>34.362000000000002</v>
      </c>
      <c r="H491" s="88">
        <v>0.99873469999999998</v>
      </c>
      <c r="I491" s="77">
        <v>0.99189419999999995</v>
      </c>
      <c r="J491" s="15">
        <v>65.260000000000005</v>
      </c>
      <c r="R491" s="53">
        <v>451.5</v>
      </c>
      <c r="S491" s="76">
        <v>6.3578529999999994E-2</v>
      </c>
      <c r="T491" s="138">
        <v>0.58538219999999996</v>
      </c>
    </row>
    <row r="492" spans="5:20">
      <c r="E492" s="130">
        <v>0.99024999999999996</v>
      </c>
      <c r="F492" s="77">
        <v>0.97989000000000004</v>
      </c>
      <c r="G492" s="75">
        <v>34.363</v>
      </c>
      <c r="H492" s="88">
        <v>0.99873113999999996</v>
      </c>
      <c r="I492" s="77">
        <v>0.99187665999999997</v>
      </c>
      <c r="J492" s="15">
        <v>65.260999999999996</v>
      </c>
      <c r="R492" s="53">
        <v>451.6</v>
      </c>
      <c r="S492" s="76">
        <v>6.3149720000000006E-2</v>
      </c>
      <c r="T492" s="138">
        <v>0.58391919999999997</v>
      </c>
    </row>
    <row r="493" spans="5:20">
      <c r="E493" s="130">
        <v>0.99012</v>
      </c>
      <c r="F493" s="77">
        <v>0.97984000000000004</v>
      </c>
      <c r="G493" s="75">
        <v>34.363999999999997</v>
      </c>
      <c r="H493" s="88">
        <v>0.99872755999999996</v>
      </c>
      <c r="I493" s="77">
        <v>0.99185913999999997</v>
      </c>
      <c r="J493" s="15">
        <v>65.262</v>
      </c>
      <c r="R493" s="53">
        <v>451.7</v>
      </c>
      <c r="S493" s="76">
        <v>6.2724199999999994E-2</v>
      </c>
      <c r="T493" s="138">
        <v>0.58245265000000002</v>
      </c>
    </row>
    <row r="494" spans="5:20">
      <c r="E494" s="130">
        <v>0.98997999999999997</v>
      </c>
      <c r="F494" s="77">
        <v>0.97977999999999998</v>
      </c>
      <c r="G494" s="75">
        <v>34.365000000000002</v>
      </c>
      <c r="H494" s="88">
        <v>0.99872399999999995</v>
      </c>
      <c r="I494" s="77">
        <v>0.99184154999999996</v>
      </c>
      <c r="J494" s="15">
        <v>65.263000000000005</v>
      </c>
      <c r="R494" s="53">
        <v>451.8</v>
      </c>
      <c r="S494" s="76">
        <v>6.230194E-2</v>
      </c>
      <c r="T494" s="138">
        <v>0.58098229999999995</v>
      </c>
    </row>
    <row r="495" spans="5:20">
      <c r="E495" s="130">
        <v>0.98984000000000005</v>
      </c>
      <c r="F495" s="77">
        <v>0.97972000000000004</v>
      </c>
      <c r="G495" s="75">
        <v>34.366</v>
      </c>
      <c r="H495" s="88">
        <v>0.99872039999999995</v>
      </c>
      <c r="I495" s="77">
        <v>0.99182402999999997</v>
      </c>
      <c r="J495" s="15">
        <v>65.263999999999996</v>
      </c>
      <c r="R495" s="53">
        <v>451.9</v>
      </c>
      <c r="S495" s="76">
        <v>6.1882890000000003E-2</v>
      </c>
      <c r="T495" s="138">
        <v>0.57950835999999994</v>
      </c>
    </row>
    <row r="496" spans="5:20">
      <c r="E496" s="130">
        <v>0.98970000000000002</v>
      </c>
      <c r="F496" s="77">
        <v>0.97967000000000004</v>
      </c>
      <c r="G496" s="75">
        <v>34.366999999999997</v>
      </c>
      <c r="H496" s="88">
        <v>0.99871683</v>
      </c>
      <c r="I496" s="77">
        <v>0.99180645000000001</v>
      </c>
      <c r="J496" s="15">
        <v>65.265000000000001</v>
      </c>
      <c r="R496" s="53">
        <v>452</v>
      </c>
      <c r="S496" s="76">
        <v>6.1467002999999999E-2</v>
      </c>
      <c r="T496" s="138">
        <v>0.57803064999999998</v>
      </c>
    </row>
    <row r="497" spans="5:20">
      <c r="E497" s="130">
        <v>0.98955000000000004</v>
      </c>
      <c r="F497" s="77">
        <v>0.97960999999999998</v>
      </c>
      <c r="G497" s="75">
        <v>34.368000000000002</v>
      </c>
      <c r="H497" s="88">
        <v>0.99871319999999997</v>
      </c>
      <c r="I497" s="77">
        <v>0.99178889999999997</v>
      </c>
      <c r="J497" s="15">
        <v>65.266000000000005</v>
      </c>
      <c r="R497" s="53">
        <v>452.1</v>
      </c>
      <c r="S497" s="76">
        <v>6.1054232999999999E-2</v>
      </c>
      <c r="T497" s="138">
        <v>0.57654930000000004</v>
      </c>
    </row>
    <row r="498" spans="5:20">
      <c r="E498" s="130">
        <v>0.98939999999999995</v>
      </c>
      <c r="F498" s="77">
        <v>0.97955000000000003</v>
      </c>
      <c r="G498" s="75">
        <v>34.369</v>
      </c>
      <c r="H498" s="88">
        <v>0.99870959999999998</v>
      </c>
      <c r="I498" s="77">
        <v>0.99177134</v>
      </c>
      <c r="J498" s="15">
        <v>65.266999999999996</v>
      </c>
      <c r="R498" s="53">
        <v>452.2</v>
      </c>
      <c r="S498" s="76">
        <v>6.0644536999999998E-2</v>
      </c>
      <c r="T498" s="138">
        <v>0.57506420000000003</v>
      </c>
    </row>
    <row r="499" spans="5:20">
      <c r="E499" s="130">
        <v>0.98924000000000001</v>
      </c>
      <c r="F499" s="77">
        <v>0.97948999999999997</v>
      </c>
      <c r="G499" s="75">
        <v>34.369999999999997</v>
      </c>
      <c r="H499" s="88">
        <v>0.99870603999999996</v>
      </c>
      <c r="I499" s="77">
        <v>0.99175380000000002</v>
      </c>
      <c r="J499" s="15">
        <v>65.268000000000001</v>
      </c>
      <c r="R499" s="53">
        <v>452.3</v>
      </c>
      <c r="S499" s="76">
        <v>6.0237877000000002E-2</v>
      </c>
      <c r="T499" s="138">
        <v>0.57357539999999996</v>
      </c>
    </row>
    <row r="500" spans="5:20">
      <c r="E500" s="130">
        <v>0.98907</v>
      </c>
      <c r="F500" s="77">
        <v>0.97943000000000002</v>
      </c>
      <c r="G500" s="75">
        <v>34.371000000000002</v>
      </c>
      <c r="H500" s="88">
        <v>0.99870239999999999</v>
      </c>
      <c r="I500" s="77">
        <v>0.99173623</v>
      </c>
      <c r="J500" s="15">
        <v>65.269000000000005</v>
      </c>
      <c r="R500" s="53">
        <v>452.4</v>
      </c>
      <c r="S500" s="76">
        <v>5.9834209999999999E-2</v>
      </c>
      <c r="T500" s="138">
        <v>0.5720828</v>
      </c>
    </row>
    <row r="501" spans="5:20">
      <c r="E501" s="130">
        <v>0.9889</v>
      </c>
      <c r="F501" s="77">
        <v>0.97936999999999996</v>
      </c>
      <c r="G501" s="75">
        <v>34.372</v>
      </c>
      <c r="H501" s="88">
        <v>0.9986988</v>
      </c>
      <c r="I501" s="77">
        <v>0.99171865000000003</v>
      </c>
      <c r="J501" s="15">
        <v>65.27</v>
      </c>
      <c r="R501" s="53">
        <v>452.5</v>
      </c>
      <c r="S501" s="76">
        <v>5.9433489999999999E-2</v>
      </c>
      <c r="T501" s="138">
        <v>0.57058655999999996</v>
      </c>
    </row>
    <row r="502" spans="5:20">
      <c r="E502" s="130">
        <v>0.98872000000000004</v>
      </c>
      <c r="F502" s="77">
        <v>0.97931000000000001</v>
      </c>
      <c r="G502" s="75">
        <v>34.372999999999998</v>
      </c>
      <c r="H502" s="88">
        <v>0.99869520000000001</v>
      </c>
      <c r="I502" s="77">
        <v>0.9917011</v>
      </c>
      <c r="J502" s="15">
        <v>65.271000000000001</v>
      </c>
      <c r="R502" s="53">
        <v>452.6</v>
      </c>
      <c r="S502" s="76">
        <v>5.903568E-2</v>
      </c>
      <c r="T502" s="138">
        <v>0.56908650000000005</v>
      </c>
    </row>
    <row r="503" spans="5:20">
      <c r="E503" s="130">
        <v>0.98853000000000002</v>
      </c>
      <c r="F503" s="77">
        <v>0.97924999999999995</v>
      </c>
      <c r="G503" s="75">
        <v>34.374000000000002</v>
      </c>
      <c r="H503" s="88">
        <v>0.99869156000000003</v>
      </c>
      <c r="I503" s="77">
        <v>0.99168354000000003</v>
      </c>
      <c r="J503" s="15">
        <v>65.272000000000006</v>
      </c>
      <c r="R503" s="53">
        <v>452.7</v>
      </c>
      <c r="S503" s="76">
        <v>5.8640745000000001E-2</v>
      </c>
      <c r="T503" s="138">
        <v>0.5675827</v>
      </c>
    </row>
    <row r="504" spans="5:20">
      <c r="E504" s="130">
        <v>0.98833000000000004</v>
      </c>
      <c r="F504" s="77">
        <v>0.97918000000000005</v>
      </c>
      <c r="G504" s="75">
        <v>34.375</v>
      </c>
      <c r="H504" s="88">
        <v>0.99868789999999996</v>
      </c>
      <c r="I504" s="77">
        <v>0.99166595999999996</v>
      </c>
      <c r="J504" s="15">
        <v>65.272999999999996</v>
      </c>
      <c r="R504" s="53">
        <v>452.8</v>
      </c>
      <c r="S504" s="76">
        <v>5.8248643000000003E-2</v>
      </c>
      <c r="T504" s="138">
        <v>0.5660752</v>
      </c>
    </row>
    <row r="505" spans="5:20">
      <c r="E505" s="130">
        <v>0.98812999999999995</v>
      </c>
      <c r="F505" s="77">
        <v>0.97911999999999999</v>
      </c>
      <c r="G505" s="75">
        <v>34.375999999999998</v>
      </c>
      <c r="H505" s="88">
        <v>0.99868429999999997</v>
      </c>
      <c r="I505" s="77">
        <v>0.99164843999999996</v>
      </c>
      <c r="J505" s="15">
        <v>65.274000000000001</v>
      </c>
      <c r="R505" s="53">
        <v>452.9</v>
      </c>
      <c r="S505" s="76">
        <v>5.7859334999999998E-2</v>
      </c>
      <c r="T505" s="138">
        <v>0.56456390000000001</v>
      </c>
    </row>
    <row r="506" spans="5:20">
      <c r="E506" s="130">
        <v>0.98790999999999995</v>
      </c>
      <c r="F506" s="77">
        <v>0.97904999999999998</v>
      </c>
      <c r="G506" s="75">
        <v>34.377000000000002</v>
      </c>
      <c r="H506" s="88">
        <v>0.99868064999999995</v>
      </c>
      <c r="I506" s="77">
        <v>0.99163084999999995</v>
      </c>
      <c r="J506" s="15">
        <v>65.275000000000006</v>
      </c>
      <c r="R506" s="53">
        <v>453</v>
      </c>
      <c r="S506" s="76">
        <v>5.7472787999999997E-2</v>
      </c>
      <c r="T506" s="138">
        <v>0.56304880000000002</v>
      </c>
    </row>
    <row r="507" spans="5:20">
      <c r="E507" s="130">
        <v>0.98768</v>
      </c>
      <c r="F507" s="77">
        <v>0.97897999999999996</v>
      </c>
      <c r="G507" s="75">
        <v>34.378</v>
      </c>
      <c r="H507" s="88">
        <v>0.99867695999999995</v>
      </c>
      <c r="I507" s="77">
        <v>0.99161326999999999</v>
      </c>
      <c r="J507" s="15">
        <v>65.275999999999996</v>
      </c>
      <c r="R507" s="53">
        <v>453.1</v>
      </c>
      <c r="S507" s="76">
        <v>5.7088960000000001E-2</v>
      </c>
      <c r="T507" s="138">
        <v>0.56152992999999995</v>
      </c>
    </row>
    <row r="508" spans="5:20">
      <c r="E508" s="130">
        <v>0.98743999999999998</v>
      </c>
      <c r="F508" s="77">
        <v>0.97890999999999995</v>
      </c>
      <c r="G508" s="75">
        <v>34.378999999999998</v>
      </c>
      <c r="H508" s="88">
        <v>0.99867329999999999</v>
      </c>
      <c r="I508" s="77">
        <v>0.99159569999999997</v>
      </c>
      <c r="J508" s="15">
        <v>65.277000000000001</v>
      </c>
      <c r="R508" s="53">
        <v>453.2</v>
      </c>
      <c r="S508" s="76">
        <v>5.6707818E-2</v>
      </c>
      <c r="T508" s="138">
        <v>0.56000729999999999</v>
      </c>
    </row>
    <row r="509" spans="5:20">
      <c r="E509" s="130">
        <v>0.98717999999999995</v>
      </c>
      <c r="F509" s="77">
        <v>0.97884000000000004</v>
      </c>
      <c r="G509" s="75">
        <v>34.380000000000003</v>
      </c>
      <c r="H509" s="88">
        <v>0.99866969999999999</v>
      </c>
      <c r="I509" s="77">
        <v>0.99157810000000002</v>
      </c>
      <c r="J509" s="15">
        <v>65.278000000000006</v>
      </c>
      <c r="R509" s="53">
        <v>453.3</v>
      </c>
      <c r="S509" s="76">
        <v>5.6329332000000003E-2</v>
      </c>
      <c r="T509" s="138">
        <v>0.5584808</v>
      </c>
    </row>
    <row r="510" spans="5:20">
      <c r="E510" s="130">
        <v>0.98690999999999995</v>
      </c>
      <c r="F510" s="77">
        <v>0.97877000000000003</v>
      </c>
      <c r="G510" s="75">
        <v>34.381</v>
      </c>
      <c r="H510" s="88">
        <v>0.99866600000000005</v>
      </c>
      <c r="I510" s="77">
        <v>0.99156049999999996</v>
      </c>
      <c r="J510" s="15">
        <v>65.278999999999996</v>
      </c>
      <c r="R510" s="53">
        <v>453.4</v>
      </c>
      <c r="S510" s="76">
        <v>5.5953457999999998E-2</v>
      </c>
      <c r="T510" s="138">
        <v>0.55695057000000003</v>
      </c>
    </row>
    <row r="511" spans="5:20">
      <c r="E511" s="130">
        <v>0.98660999999999999</v>
      </c>
      <c r="F511" s="77">
        <v>0.97868999999999995</v>
      </c>
      <c r="G511" s="75">
        <v>34.381999999999998</v>
      </c>
      <c r="H511" s="88">
        <v>0.99866235000000003</v>
      </c>
      <c r="I511" s="77">
        <v>0.99154293999999998</v>
      </c>
      <c r="J511" s="15">
        <v>65.28</v>
      </c>
      <c r="R511" s="53">
        <v>453.5</v>
      </c>
      <c r="S511" s="76">
        <v>5.5580172999999997E-2</v>
      </c>
      <c r="T511" s="138">
        <v>0.55541646</v>
      </c>
    </row>
    <row r="512" spans="5:20">
      <c r="E512" s="130">
        <v>0.98629999999999995</v>
      </c>
      <c r="F512" s="77">
        <v>0.97862000000000005</v>
      </c>
      <c r="G512" s="75">
        <v>34.383000000000003</v>
      </c>
      <c r="H512" s="88">
        <v>0.99865866000000003</v>
      </c>
      <c r="I512" s="77">
        <v>0.99152534999999997</v>
      </c>
      <c r="J512" s="15">
        <v>65.281000000000006</v>
      </c>
      <c r="R512" s="53">
        <v>453.6</v>
      </c>
      <c r="S512" s="76">
        <v>5.5209429999999997E-2</v>
      </c>
      <c r="T512" s="138">
        <v>0.55387854999999997</v>
      </c>
    </row>
    <row r="513" spans="5:20">
      <c r="E513" s="130">
        <v>0.98595999999999995</v>
      </c>
      <c r="F513" s="77">
        <v>0.97853999999999997</v>
      </c>
      <c r="G513" s="75">
        <v>34.384</v>
      </c>
      <c r="H513" s="88">
        <v>0.99865495999999998</v>
      </c>
      <c r="I513" s="77">
        <v>0.99150777000000001</v>
      </c>
      <c r="J513" s="15">
        <v>65.281999999999996</v>
      </c>
      <c r="R513" s="53">
        <v>453.7</v>
      </c>
      <c r="S513" s="76">
        <v>5.4841213E-2</v>
      </c>
      <c r="T513" s="138">
        <v>0.55233679999999996</v>
      </c>
    </row>
    <row r="514" spans="5:20">
      <c r="E514" s="130">
        <v>0.98558999999999997</v>
      </c>
      <c r="F514" s="77">
        <v>0.97845000000000004</v>
      </c>
      <c r="G514" s="75">
        <v>34.384999999999998</v>
      </c>
      <c r="H514" s="88">
        <v>0.99865130000000002</v>
      </c>
      <c r="I514" s="77">
        <v>0.99149019999999999</v>
      </c>
      <c r="J514" s="15">
        <v>65.283000000000001</v>
      </c>
      <c r="R514" s="53">
        <v>453.8</v>
      </c>
      <c r="S514" s="76">
        <v>5.4475482999999998E-2</v>
      </c>
      <c r="T514" s="138">
        <v>0.55079126</v>
      </c>
    </row>
    <row r="515" spans="5:20">
      <c r="E515" s="130">
        <v>0.98517999999999994</v>
      </c>
      <c r="F515" s="77">
        <v>0.97836999999999996</v>
      </c>
      <c r="G515" s="75">
        <v>34.386000000000003</v>
      </c>
      <c r="H515" s="88">
        <v>0.99864763000000001</v>
      </c>
      <c r="I515" s="77">
        <v>0.99147260000000004</v>
      </c>
      <c r="J515" s="15">
        <v>65.284000000000006</v>
      </c>
      <c r="R515" s="53">
        <v>453.9</v>
      </c>
      <c r="S515" s="76">
        <v>5.4112202999999998E-2</v>
      </c>
      <c r="T515" s="138">
        <v>0.54924183999999998</v>
      </c>
    </row>
    <row r="516" spans="5:20">
      <c r="E516" s="130">
        <v>0.98472000000000004</v>
      </c>
      <c r="F516" s="77">
        <v>0.97826999999999997</v>
      </c>
      <c r="G516" s="75">
        <v>34.387</v>
      </c>
      <c r="H516" s="88">
        <v>0.99864392999999996</v>
      </c>
      <c r="I516" s="77">
        <v>0.99145499999999998</v>
      </c>
      <c r="J516" s="15">
        <v>65.284999999999997</v>
      </c>
      <c r="R516" s="53">
        <v>454</v>
      </c>
      <c r="S516" s="76">
        <v>5.3751350000000003E-2</v>
      </c>
      <c r="T516" s="138">
        <v>0.54768859999999997</v>
      </c>
    </row>
    <row r="517" spans="5:20">
      <c r="E517" s="130">
        <v>0.98421000000000003</v>
      </c>
      <c r="F517" s="77">
        <v>0.97816999999999998</v>
      </c>
      <c r="G517" s="75">
        <v>34.387999999999998</v>
      </c>
      <c r="H517" s="88">
        <v>0.99864023999999996</v>
      </c>
      <c r="I517" s="77">
        <v>0.99143744</v>
      </c>
      <c r="J517" s="15">
        <v>65.286000000000001</v>
      </c>
      <c r="R517" s="53">
        <v>454.1</v>
      </c>
      <c r="S517" s="76">
        <v>5.3392889999999998E-2</v>
      </c>
      <c r="T517" s="138">
        <v>0.54613142999999997</v>
      </c>
    </row>
    <row r="518" spans="5:20">
      <c r="E518" s="130">
        <v>0.98360999999999998</v>
      </c>
      <c r="F518" s="77">
        <v>0.97806999999999999</v>
      </c>
      <c r="G518" s="75">
        <v>34.389000000000003</v>
      </c>
      <c r="H518" s="88">
        <v>0.99863654000000002</v>
      </c>
      <c r="I518" s="77">
        <v>0.99141984999999999</v>
      </c>
      <c r="J518" s="15">
        <v>65.287000000000006</v>
      </c>
      <c r="R518" s="53">
        <v>454.2</v>
      </c>
      <c r="S518" s="76">
        <v>5.3036793999999998E-2</v>
      </c>
      <c r="T518" s="138">
        <v>0.54457045000000004</v>
      </c>
    </row>
    <row r="519" spans="5:20">
      <c r="E519" s="130">
        <v>0.9829</v>
      </c>
      <c r="F519" s="77">
        <v>0.97794999999999999</v>
      </c>
      <c r="G519" s="75">
        <v>34.39</v>
      </c>
      <c r="H519" s="88">
        <v>0.99863279999999999</v>
      </c>
      <c r="I519" s="77">
        <v>0.99140227000000003</v>
      </c>
      <c r="J519" s="15">
        <v>65.287999999999997</v>
      </c>
      <c r="R519" s="53">
        <v>454.3</v>
      </c>
      <c r="S519" s="76">
        <v>5.2683032999999997E-2</v>
      </c>
      <c r="T519" s="138">
        <v>0.54300559999999998</v>
      </c>
    </row>
    <row r="520" spans="5:20">
      <c r="E520" s="130">
        <v>0.98201000000000005</v>
      </c>
      <c r="F520" s="77">
        <v>0.97780999999999996</v>
      </c>
      <c r="G520" s="75">
        <v>34.390999999999998</v>
      </c>
      <c r="H520" s="88">
        <v>0.99862910000000005</v>
      </c>
      <c r="I520" s="77">
        <v>0.99138470000000001</v>
      </c>
      <c r="J520" s="15">
        <v>65.289000000000001</v>
      </c>
      <c r="R520" s="53">
        <v>454.4</v>
      </c>
      <c r="S520" s="76">
        <v>5.2331580000000003E-2</v>
      </c>
      <c r="T520" s="138">
        <v>0.54143684999999997</v>
      </c>
    </row>
    <row r="521" spans="5:20">
      <c r="E521" s="130">
        <v>0.98075999999999997</v>
      </c>
      <c r="F521" s="77">
        <v>0.97763999999999995</v>
      </c>
      <c r="G521" s="75">
        <v>34.392000000000003</v>
      </c>
      <c r="H521" s="88">
        <v>0.9986254</v>
      </c>
      <c r="I521" s="77">
        <v>0.99136703999999998</v>
      </c>
      <c r="J521" s="15">
        <v>65.290000000000006</v>
      </c>
      <c r="R521" s="53">
        <v>454.5</v>
      </c>
      <c r="S521" s="76">
        <v>5.1982407000000001E-2</v>
      </c>
      <c r="T521" s="138">
        <v>0.53986420000000002</v>
      </c>
    </row>
    <row r="522" spans="5:20">
      <c r="E522" s="130">
        <v>0.99988999999999995</v>
      </c>
      <c r="F522" s="77">
        <v>0.99897000000000002</v>
      </c>
      <c r="G522" s="75">
        <v>33.835000000000001</v>
      </c>
      <c r="H522" s="88">
        <v>0.99862163999999998</v>
      </c>
      <c r="I522" s="77">
        <v>0.99134946000000002</v>
      </c>
      <c r="J522" s="15">
        <v>65.290999999999997</v>
      </c>
      <c r="R522" s="53">
        <v>454.6</v>
      </c>
      <c r="S522" s="76">
        <v>5.1635485000000002E-2</v>
      </c>
      <c r="T522" s="138">
        <v>0.53828763999999996</v>
      </c>
    </row>
    <row r="523" spans="5:20">
      <c r="E523" s="130">
        <v>0.99988999999999995</v>
      </c>
      <c r="F523" s="77">
        <v>0.99894000000000005</v>
      </c>
      <c r="G523" s="75">
        <v>33.835999999999999</v>
      </c>
      <c r="H523" s="88">
        <v>0.99861789999999995</v>
      </c>
      <c r="I523" s="77">
        <v>0.99133190000000004</v>
      </c>
      <c r="J523" s="15">
        <v>65.292000000000002</v>
      </c>
      <c r="R523" s="53">
        <v>454.7</v>
      </c>
      <c r="S523" s="76">
        <v>5.1290787999999997E-2</v>
      </c>
      <c r="T523" s="138">
        <v>0.53670720000000005</v>
      </c>
    </row>
    <row r="524" spans="5:20">
      <c r="E524" s="130">
        <v>0.99987999999999999</v>
      </c>
      <c r="F524" s="77">
        <v>0.99890000000000001</v>
      </c>
      <c r="G524" s="75">
        <v>33.837000000000003</v>
      </c>
      <c r="H524" s="88">
        <v>0.99861420000000001</v>
      </c>
      <c r="I524" s="77">
        <v>0.99131422999999996</v>
      </c>
      <c r="J524" s="15">
        <v>65.293000000000006</v>
      </c>
      <c r="R524" s="53">
        <v>454.8</v>
      </c>
      <c r="S524" s="76">
        <v>5.0948285000000003E-2</v>
      </c>
      <c r="T524" s="138">
        <v>0.53512289999999996</v>
      </c>
    </row>
    <row r="525" spans="5:20">
      <c r="E525" s="130">
        <v>0.99987999999999999</v>
      </c>
      <c r="F525" s="77">
        <v>0.99887000000000004</v>
      </c>
      <c r="G525" s="75">
        <v>33.838000000000001</v>
      </c>
      <c r="H525" s="88">
        <v>0.99861043999999999</v>
      </c>
      <c r="I525" s="77">
        <v>0.99129665</v>
      </c>
      <c r="J525" s="15">
        <v>65.293999999999997</v>
      </c>
      <c r="R525" s="53">
        <v>454.9</v>
      </c>
      <c r="S525" s="76">
        <v>5.0607957000000002E-2</v>
      </c>
      <c r="T525" s="138">
        <v>0.53353459999999997</v>
      </c>
    </row>
    <row r="526" spans="5:20">
      <c r="E526" s="130">
        <v>0.99987999999999999</v>
      </c>
      <c r="F526" s="77">
        <v>0.99883999999999995</v>
      </c>
      <c r="G526" s="75">
        <v>33.838999999999999</v>
      </c>
      <c r="H526" s="88">
        <v>0.99860669999999996</v>
      </c>
      <c r="I526" s="77">
        <v>0.99127907000000004</v>
      </c>
      <c r="J526" s="15">
        <v>65.295000000000002</v>
      </c>
      <c r="R526" s="53">
        <v>455</v>
      </c>
      <c r="S526" s="76">
        <v>5.0269769999999998E-2</v>
      </c>
      <c r="T526" s="138">
        <v>0.53194240000000004</v>
      </c>
    </row>
    <row r="527" spans="5:20">
      <c r="E527" s="130">
        <v>0.99987000000000004</v>
      </c>
      <c r="F527" s="77">
        <v>0.99880999999999998</v>
      </c>
      <c r="G527" s="75">
        <v>33.840000000000003</v>
      </c>
      <c r="H527" s="88">
        <v>0.99860289999999996</v>
      </c>
      <c r="I527" s="77">
        <v>0.99126139999999996</v>
      </c>
      <c r="J527" s="15">
        <v>65.296000000000006</v>
      </c>
      <c r="R527" s="53">
        <v>455.1</v>
      </c>
      <c r="S527" s="76">
        <v>4.9933705000000002E-2</v>
      </c>
      <c r="T527" s="138">
        <v>0.53034630000000005</v>
      </c>
    </row>
    <row r="528" spans="5:20">
      <c r="E528" s="130">
        <v>0.99987000000000004</v>
      </c>
      <c r="F528" s="77">
        <v>0.99877000000000005</v>
      </c>
      <c r="G528" s="75">
        <v>33.841000000000001</v>
      </c>
      <c r="H528" s="88">
        <v>0.99859920000000002</v>
      </c>
      <c r="I528" s="77">
        <v>0.99124383999999999</v>
      </c>
      <c r="J528" s="15">
        <v>65.296999999999997</v>
      </c>
      <c r="R528" s="53">
        <v>455.2</v>
      </c>
      <c r="S528" s="76">
        <v>4.9599736999999998E-2</v>
      </c>
      <c r="T528" s="138">
        <v>0.52874620000000006</v>
      </c>
    </row>
    <row r="529" spans="5:20">
      <c r="E529" s="130">
        <v>0.99987000000000004</v>
      </c>
      <c r="F529" s="77">
        <v>0.99873999999999996</v>
      </c>
      <c r="G529" s="75">
        <v>33.841999999999999</v>
      </c>
      <c r="H529" s="88">
        <v>0.99859540000000002</v>
      </c>
      <c r="I529" s="77">
        <v>0.99122619999999995</v>
      </c>
      <c r="J529" s="15">
        <v>65.298000000000002</v>
      </c>
      <c r="R529" s="53">
        <v>455.3</v>
      </c>
      <c r="S529" s="76">
        <v>4.926784E-2</v>
      </c>
      <c r="T529" s="138">
        <v>0.52714216999999997</v>
      </c>
    </row>
    <row r="530" spans="5:20">
      <c r="E530" s="130">
        <v>0.99985999999999997</v>
      </c>
      <c r="F530" s="77">
        <v>0.99870999999999999</v>
      </c>
      <c r="G530" s="75">
        <v>33.843000000000004</v>
      </c>
      <c r="H530" s="88">
        <v>0.99859165999999999</v>
      </c>
      <c r="I530" s="77">
        <v>0.9912086</v>
      </c>
      <c r="J530" s="15">
        <v>65.299000000000007</v>
      </c>
      <c r="R530" s="53">
        <v>455.4</v>
      </c>
      <c r="S530" s="76">
        <v>4.8937988000000002E-2</v>
      </c>
      <c r="T530" s="138">
        <v>0.52553419999999995</v>
      </c>
    </row>
    <row r="531" spans="5:20">
      <c r="E531" s="130">
        <v>0.99985999999999997</v>
      </c>
      <c r="F531" s="77">
        <v>0.99868000000000001</v>
      </c>
      <c r="G531" s="75">
        <v>33.844000000000001</v>
      </c>
      <c r="H531" s="88">
        <v>0.99858785000000005</v>
      </c>
      <c r="I531" s="77">
        <v>0.99119097</v>
      </c>
      <c r="J531" s="15">
        <v>65.3</v>
      </c>
      <c r="R531" s="53">
        <v>455.5</v>
      </c>
      <c r="S531" s="76">
        <v>4.8610159999999999E-2</v>
      </c>
      <c r="T531" s="138">
        <v>0.52392229999999995</v>
      </c>
    </row>
    <row r="532" spans="5:20">
      <c r="E532" s="130">
        <v>0.99985999999999997</v>
      </c>
      <c r="F532" s="77">
        <v>0.99863999999999997</v>
      </c>
      <c r="G532" s="75">
        <v>33.844999999999999</v>
      </c>
      <c r="H532" s="88">
        <v>0.99858409999999997</v>
      </c>
      <c r="I532" s="77">
        <v>0.99117339999999998</v>
      </c>
      <c r="J532" s="15">
        <v>65.301000000000002</v>
      </c>
      <c r="R532" s="53">
        <v>455.6</v>
      </c>
      <c r="S532" s="76">
        <v>4.828433E-2</v>
      </c>
      <c r="T532" s="138">
        <v>0.52230639999999995</v>
      </c>
    </row>
    <row r="533" spans="5:20">
      <c r="E533" s="130">
        <v>0.99985000000000002</v>
      </c>
      <c r="F533" s="77">
        <v>0.99861</v>
      </c>
      <c r="G533" s="75">
        <v>33.845999999999997</v>
      </c>
      <c r="H533" s="88">
        <v>0.99858033999999996</v>
      </c>
      <c r="I533" s="77">
        <v>0.99115573999999995</v>
      </c>
      <c r="J533" s="15">
        <v>65.302000000000007</v>
      </c>
      <c r="R533" s="53">
        <v>455.7</v>
      </c>
      <c r="S533" s="76">
        <v>4.796048E-2</v>
      </c>
      <c r="T533" s="138">
        <v>0.52068650000000005</v>
      </c>
    </row>
    <row r="534" spans="5:20">
      <c r="E534" s="130">
        <v>0.99985000000000002</v>
      </c>
      <c r="F534" s="77">
        <v>0.99858000000000002</v>
      </c>
      <c r="G534" s="75">
        <v>33.847000000000001</v>
      </c>
      <c r="H534" s="88">
        <v>0.99857649999999998</v>
      </c>
      <c r="I534" s="77">
        <v>0.99113810000000002</v>
      </c>
      <c r="J534" s="15">
        <v>65.302999999999997</v>
      </c>
      <c r="R534" s="53">
        <v>455.8</v>
      </c>
      <c r="S534" s="76">
        <v>4.763858E-2</v>
      </c>
      <c r="T534" s="138">
        <v>0.51906269999999999</v>
      </c>
    </row>
    <row r="535" spans="5:20">
      <c r="E535" s="130">
        <v>0.99983999999999995</v>
      </c>
      <c r="F535" s="77">
        <v>0.99855000000000005</v>
      </c>
      <c r="G535" s="75">
        <v>33.847999999999999</v>
      </c>
      <c r="H535" s="88">
        <v>0.99857269999999998</v>
      </c>
      <c r="I535" s="77">
        <v>0.99112049999999996</v>
      </c>
      <c r="J535" s="15">
        <v>65.304000000000002</v>
      </c>
      <c r="R535" s="53">
        <v>455.9</v>
      </c>
      <c r="S535" s="76">
        <v>4.7318615000000001E-2</v>
      </c>
      <c r="T535" s="138">
        <v>0.51743483999999995</v>
      </c>
    </row>
    <row r="536" spans="5:20">
      <c r="E536" s="130">
        <v>0.99983999999999995</v>
      </c>
      <c r="F536" s="77">
        <v>0.99851000000000001</v>
      </c>
      <c r="G536" s="75">
        <v>33.848999999999997</v>
      </c>
      <c r="H536" s="88">
        <v>0.99856889999999998</v>
      </c>
      <c r="I536" s="77">
        <v>0.99110290000000001</v>
      </c>
      <c r="J536" s="15">
        <v>65.305000000000007</v>
      </c>
      <c r="R536" s="53">
        <v>456</v>
      </c>
      <c r="S536" s="76">
        <v>4.7000559999999997E-2</v>
      </c>
      <c r="T536" s="138">
        <v>0.51580303999999999</v>
      </c>
    </row>
    <row r="537" spans="5:20">
      <c r="E537" s="130">
        <v>0.99983999999999995</v>
      </c>
      <c r="F537" s="77">
        <v>0.99848000000000003</v>
      </c>
      <c r="G537" s="75">
        <v>33.85</v>
      </c>
      <c r="H537" s="88">
        <v>0.99856513999999996</v>
      </c>
      <c r="I537" s="77">
        <v>0.99108523000000004</v>
      </c>
      <c r="J537" s="15">
        <v>65.305999999999997</v>
      </c>
      <c r="R537" s="53">
        <v>456.1</v>
      </c>
      <c r="S537" s="76">
        <v>4.6684396000000003E-2</v>
      </c>
      <c r="T537" s="138">
        <v>0.51416720000000005</v>
      </c>
    </row>
    <row r="538" spans="5:20">
      <c r="E538" s="130">
        <v>0.99983</v>
      </c>
      <c r="F538" s="77">
        <v>0.99844999999999995</v>
      </c>
      <c r="G538" s="75">
        <v>33.850999999999999</v>
      </c>
      <c r="H538" s="88">
        <v>0.99856129999999999</v>
      </c>
      <c r="I538" s="77">
        <v>0.99106760000000005</v>
      </c>
      <c r="J538" s="15">
        <v>65.307000000000002</v>
      </c>
      <c r="R538" s="53">
        <v>456.2</v>
      </c>
      <c r="S538" s="76">
        <v>4.6370096999999999E-2</v>
      </c>
      <c r="T538" s="138">
        <v>0.51252735000000005</v>
      </c>
    </row>
    <row r="539" spans="5:20">
      <c r="E539" s="130">
        <v>0.99983</v>
      </c>
      <c r="F539" s="77">
        <v>0.99841999999999997</v>
      </c>
      <c r="G539" s="75">
        <v>33.851999999999997</v>
      </c>
      <c r="H539" s="88">
        <v>0.99855749999999999</v>
      </c>
      <c r="I539" s="77">
        <v>0.99104999999999999</v>
      </c>
      <c r="J539" s="15">
        <v>65.308000000000007</v>
      </c>
      <c r="R539" s="53">
        <v>456.3</v>
      </c>
      <c r="S539" s="76">
        <v>4.6057645000000001E-2</v>
      </c>
      <c r="T539" s="138">
        <v>0.51088345000000002</v>
      </c>
    </row>
    <row r="540" spans="5:20">
      <c r="E540" s="130">
        <v>0.99983</v>
      </c>
      <c r="F540" s="77">
        <v>0.99838000000000005</v>
      </c>
      <c r="G540" s="75">
        <v>33.853000000000002</v>
      </c>
      <c r="H540" s="88">
        <v>0.99855362999999997</v>
      </c>
      <c r="I540" s="77">
        <v>0.99103235999999995</v>
      </c>
      <c r="J540" s="15">
        <v>65.308999999999997</v>
      </c>
      <c r="R540" s="53">
        <v>456.4</v>
      </c>
      <c r="S540" s="76">
        <v>4.5747019999999999E-2</v>
      </c>
      <c r="T540" s="138">
        <v>0.50923560000000001</v>
      </c>
    </row>
    <row r="541" spans="5:20">
      <c r="E541" s="130">
        <v>0.99982000000000004</v>
      </c>
      <c r="F541" s="77">
        <v>0.99834999999999996</v>
      </c>
      <c r="G541" s="75">
        <v>33.853999999999999</v>
      </c>
      <c r="H541" s="88">
        <v>0.99854980000000004</v>
      </c>
      <c r="I541" s="77">
        <v>0.99101470000000003</v>
      </c>
      <c r="J541" s="15">
        <v>65.31</v>
      </c>
      <c r="R541" s="53">
        <v>456.5</v>
      </c>
      <c r="S541" s="76">
        <v>4.5438204000000003E-2</v>
      </c>
      <c r="T541" s="138">
        <v>0.50758369999999997</v>
      </c>
    </row>
    <row r="542" spans="5:20">
      <c r="E542" s="130">
        <v>0.99982000000000004</v>
      </c>
      <c r="F542" s="77">
        <v>0.99831999999999999</v>
      </c>
      <c r="G542" s="75">
        <v>33.854999999999997</v>
      </c>
      <c r="H542" s="88">
        <v>0.99854600000000004</v>
      </c>
      <c r="I542" s="77">
        <v>0.99099709999999996</v>
      </c>
      <c r="J542" s="15">
        <v>65.311000000000007</v>
      </c>
      <c r="R542" s="53">
        <v>456.6</v>
      </c>
      <c r="S542" s="76">
        <v>4.5131172999999997E-2</v>
      </c>
      <c r="T542" s="138">
        <v>0.50592773999999996</v>
      </c>
    </row>
    <row r="543" spans="5:20">
      <c r="E543" s="130">
        <v>0.99980999999999998</v>
      </c>
      <c r="F543" s="77">
        <v>0.99829000000000001</v>
      </c>
      <c r="G543" s="75">
        <v>33.856000000000002</v>
      </c>
      <c r="H543" s="88">
        <v>0.99854213000000003</v>
      </c>
      <c r="I543" s="77">
        <v>0.99097942999999999</v>
      </c>
      <c r="J543" s="15">
        <v>65.311999999999998</v>
      </c>
      <c r="R543" s="53">
        <v>456.7</v>
      </c>
      <c r="S543" s="76">
        <v>4.4825907999999998E-2</v>
      </c>
      <c r="T543" s="138">
        <v>0.50426775000000001</v>
      </c>
    </row>
    <row r="544" spans="5:20">
      <c r="E544" s="130">
        <v>0.99980999999999998</v>
      </c>
      <c r="F544" s="77">
        <v>0.99826000000000004</v>
      </c>
      <c r="G544" s="75">
        <v>33.856999999999999</v>
      </c>
      <c r="H544" s="88">
        <v>0.99853829999999999</v>
      </c>
      <c r="I544" s="77">
        <v>0.9909618</v>
      </c>
      <c r="J544" s="15">
        <v>65.313000000000002</v>
      </c>
      <c r="R544" s="53">
        <v>456.8</v>
      </c>
      <c r="S544" s="76">
        <v>4.4522390000000002E-2</v>
      </c>
      <c r="T544" s="138">
        <v>0.50260369999999999</v>
      </c>
    </row>
    <row r="545" spans="5:20">
      <c r="E545" s="130">
        <v>0.99980999999999998</v>
      </c>
      <c r="F545" s="77">
        <v>0.99822</v>
      </c>
      <c r="G545" s="75">
        <v>33.857999999999997</v>
      </c>
      <c r="H545" s="88">
        <v>0.99853444000000002</v>
      </c>
      <c r="I545" s="77">
        <v>0.99094415000000002</v>
      </c>
      <c r="J545" s="15">
        <v>65.313999999999993</v>
      </c>
      <c r="R545" s="53">
        <v>456.9</v>
      </c>
      <c r="S545" s="76">
        <v>4.4220599999999999E-2</v>
      </c>
      <c r="T545" s="138">
        <v>0.50093560000000004</v>
      </c>
    </row>
    <row r="546" spans="5:20">
      <c r="E546" s="130">
        <v>0.99980000000000002</v>
      </c>
      <c r="F546" s="77">
        <v>0.99819000000000002</v>
      </c>
      <c r="G546" s="75">
        <v>33.859000000000002</v>
      </c>
      <c r="H546" s="88">
        <v>0.99853060000000005</v>
      </c>
      <c r="I546" s="77">
        <v>0.99092650000000004</v>
      </c>
      <c r="J546" s="15">
        <v>65.314999999999998</v>
      </c>
      <c r="R546" s="53">
        <v>457</v>
      </c>
      <c r="S546" s="76">
        <v>4.3920524000000002E-2</v>
      </c>
      <c r="T546" s="138">
        <v>0.49926350000000003</v>
      </c>
    </row>
    <row r="547" spans="5:20">
      <c r="E547" s="130">
        <v>0.99980000000000002</v>
      </c>
      <c r="F547" s="77">
        <v>0.99816000000000005</v>
      </c>
      <c r="G547" s="75">
        <v>33.86</v>
      </c>
      <c r="H547" s="88">
        <v>0.99852675000000002</v>
      </c>
      <c r="I547" s="77">
        <v>0.99090886</v>
      </c>
      <c r="J547" s="15">
        <v>65.316000000000003</v>
      </c>
      <c r="R547" s="53">
        <v>457.1</v>
      </c>
      <c r="S547" s="76">
        <v>4.3622139999999997E-2</v>
      </c>
      <c r="T547" s="138">
        <v>0.49758725999999998</v>
      </c>
    </row>
    <row r="548" spans="5:20">
      <c r="E548" s="130">
        <v>0.99980000000000002</v>
      </c>
      <c r="F548" s="77">
        <v>0.99812999999999996</v>
      </c>
      <c r="G548" s="75">
        <v>33.860999999999997</v>
      </c>
      <c r="H548" s="88">
        <v>0.99852289999999999</v>
      </c>
      <c r="I548" s="77">
        <v>0.99089119999999997</v>
      </c>
      <c r="J548" s="15">
        <v>65.316999999999993</v>
      </c>
      <c r="R548" s="53">
        <v>457.2</v>
      </c>
      <c r="S548" s="76">
        <v>4.3325427999999999E-2</v>
      </c>
      <c r="T548" s="138">
        <v>0.49590698</v>
      </c>
    </row>
    <row r="549" spans="5:20">
      <c r="E549" s="130">
        <v>0.99978999999999996</v>
      </c>
      <c r="F549" s="77">
        <v>0.99809000000000003</v>
      </c>
      <c r="G549" s="75">
        <v>33.862000000000002</v>
      </c>
      <c r="H549" s="88">
        <v>0.99851900000000005</v>
      </c>
      <c r="I549" s="77">
        <v>0.99087360000000002</v>
      </c>
      <c r="J549" s="15">
        <v>65.317999999999998</v>
      </c>
      <c r="R549" s="53">
        <v>457.3</v>
      </c>
      <c r="S549" s="76">
        <v>4.3030374000000003E-2</v>
      </c>
      <c r="T549" s="138">
        <v>0.49422260000000001</v>
      </c>
    </row>
    <row r="550" spans="5:20">
      <c r="E550" s="130">
        <v>0.99978999999999996</v>
      </c>
      <c r="F550" s="77">
        <v>0.99805999999999995</v>
      </c>
      <c r="G550" s="75">
        <v>33.863</v>
      </c>
      <c r="H550" s="88">
        <v>0.99851509999999999</v>
      </c>
      <c r="I550" s="77">
        <v>0.99085590000000001</v>
      </c>
      <c r="J550" s="15">
        <v>65.319000000000003</v>
      </c>
      <c r="R550" s="53">
        <v>457.4</v>
      </c>
      <c r="S550" s="76">
        <v>4.2736955E-2</v>
      </c>
      <c r="T550" s="138">
        <v>0.49253416</v>
      </c>
    </row>
    <row r="551" spans="5:20">
      <c r="E551" s="130">
        <v>0.99978</v>
      </c>
      <c r="F551" s="77">
        <v>0.99802999999999997</v>
      </c>
      <c r="G551" s="75">
        <v>33.863999999999997</v>
      </c>
      <c r="H551" s="88">
        <v>0.99851124999999996</v>
      </c>
      <c r="I551" s="77">
        <v>0.9908382</v>
      </c>
      <c r="J551" s="15">
        <v>65.319999999999993</v>
      </c>
      <c r="R551" s="53">
        <v>457.5</v>
      </c>
      <c r="S551" s="76">
        <v>4.2445160000000003E-2</v>
      </c>
      <c r="T551" s="138">
        <v>0.49084159999999999</v>
      </c>
    </row>
    <row r="552" spans="5:20">
      <c r="E552" s="130">
        <v>0.99978</v>
      </c>
      <c r="F552" s="77">
        <v>0.99799000000000004</v>
      </c>
      <c r="G552" s="75">
        <v>33.865000000000002</v>
      </c>
      <c r="H552" s="88">
        <v>0.99850729999999999</v>
      </c>
      <c r="I552" s="77">
        <v>0.99082060000000005</v>
      </c>
      <c r="J552" s="15">
        <v>65.320999999999998</v>
      </c>
      <c r="R552" s="53">
        <v>457.6</v>
      </c>
      <c r="S552" s="76">
        <v>4.2154968000000001E-2</v>
      </c>
      <c r="T552" s="138">
        <v>0.48914495000000002</v>
      </c>
    </row>
    <row r="553" spans="5:20">
      <c r="E553" s="130">
        <v>0.99978</v>
      </c>
      <c r="F553" s="77">
        <v>0.99795999999999996</v>
      </c>
      <c r="G553" s="75">
        <v>33.866</v>
      </c>
      <c r="H553" s="88">
        <v>0.99850344999999996</v>
      </c>
      <c r="I553" s="77">
        <v>0.99080294000000002</v>
      </c>
      <c r="J553" s="15">
        <v>65.322000000000003</v>
      </c>
      <c r="R553" s="53">
        <v>457.7</v>
      </c>
      <c r="S553" s="76">
        <v>4.1866366000000002E-2</v>
      </c>
      <c r="T553" s="138">
        <v>0.48744419999999999</v>
      </c>
    </row>
    <row r="554" spans="5:20">
      <c r="E554" s="130">
        <v>0.99977000000000005</v>
      </c>
      <c r="F554" s="77">
        <v>0.99792999999999998</v>
      </c>
      <c r="G554" s="75">
        <v>33.866999999999997</v>
      </c>
      <c r="H554" s="88">
        <v>0.99849949999999998</v>
      </c>
      <c r="I554" s="77">
        <v>0.99078524000000001</v>
      </c>
      <c r="J554" s="15">
        <v>65.322999999999993</v>
      </c>
      <c r="R554" s="53">
        <v>457.8</v>
      </c>
      <c r="S554" s="76">
        <v>4.1579331999999997E-2</v>
      </c>
      <c r="T554" s="138">
        <v>0.48573931999999997</v>
      </c>
    </row>
    <row r="555" spans="5:20">
      <c r="E555" s="130">
        <v>0.99977000000000005</v>
      </c>
      <c r="F555" s="77">
        <v>0.99790000000000001</v>
      </c>
      <c r="G555" s="75">
        <v>33.868000000000002</v>
      </c>
      <c r="H555" s="88">
        <v>0.99849564000000002</v>
      </c>
      <c r="I555" s="77">
        <v>0.99076759999999997</v>
      </c>
      <c r="J555" s="15">
        <v>65.323999999999998</v>
      </c>
      <c r="R555" s="53">
        <v>457.9</v>
      </c>
      <c r="S555" s="76">
        <v>4.1293851999999999E-2</v>
      </c>
      <c r="T555" s="138">
        <v>0.48403034</v>
      </c>
    </row>
    <row r="556" spans="5:20">
      <c r="E556" s="130">
        <v>0.99975999999999998</v>
      </c>
      <c r="F556" s="77">
        <v>0.99785999999999997</v>
      </c>
      <c r="G556" s="75">
        <v>33.869</v>
      </c>
      <c r="H556" s="88">
        <v>0.99849169999999998</v>
      </c>
      <c r="I556" s="77">
        <v>0.99074996000000004</v>
      </c>
      <c r="J556" s="15">
        <v>65.325000000000003</v>
      </c>
      <c r="R556" s="53">
        <v>458</v>
      </c>
      <c r="S556" s="76">
        <v>4.1009914000000001E-2</v>
      </c>
      <c r="T556" s="138">
        <v>0.4823172</v>
      </c>
    </row>
    <row r="557" spans="5:20">
      <c r="E557" s="130">
        <v>0.99975999999999998</v>
      </c>
      <c r="F557" s="77">
        <v>0.99782999999999999</v>
      </c>
      <c r="G557" s="75">
        <v>33.869999999999997</v>
      </c>
      <c r="H557" s="88">
        <v>0.99848780000000004</v>
      </c>
      <c r="I557" s="77">
        <v>0.99073224999999998</v>
      </c>
      <c r="J557" s="15">
        <v>65.325999999999993</v>
      </c>
      <c r="R557" s="53">
        <v>458.1</v>
      </c>
      <c r="S557" s="76">
        <v>4.0727496000000002E-2</v>
      </c>
      <c r="T557" s="138">
        <v>0.48059996999999999</v>
      </c>
    </row>
    <row r="558" spans="5:20">
      <c r="E558" s="130">
        <v>0.99975999999999998</v>
      </c>
      <c r="F558" s="77">
        <v>0.99780000000000002</v>
      </c>
      <c r="G558" s="75">
        <v>33.871000000000002</v>
      </c>
      <c r="H558" s="88">
        <v>0.99848389999999998</v>
      </c>
      <c r="I558" s="77">
        <v>0.9907146</v>
      </c>
      <c r="J558" s="15">
        <v>65.326999999999998</v>
      </c>
      <c r="R558" s="53">
        <v>458.2</v>
      </c>
      <c r="S558" s="76">
        <v>4.0446586999999999E-2</v>
      </c>
      <c r="T558" s="138">
        <v>0.47887859999999999</v>
      </c>
    </row>
    <row r="559" spans="5:20">
      <c r="E559" s="130">
        <v>0.99975000000000003</v>
      </c>
      <c r="F559" s="77">
        <v>0.99777000000000005</v>
      </c>
      <c r="G559" s="75">
        <v>33.872</v>
      </c>
      <c r="H559" s="88">
        <v>0.99847996000000006</v>
      </c>
      <c r="I559" s="77">
        <v>0.99069689999999999</v>
      </c>
      <c r="J559" s="15">
        <v>65.328000000000003</v>
      </c>
      <c r="R559" s="53">
        <v>458.3</v>
      </c>
      <c r="S559" s="76">
        <v>4.0167170000000002E-2</v>
      </c>
      <c r="T559" s="138">
        <v>0.47715306000000002</v>
      </c>
    </row>
    <row r="560" spans="5:20">
      <c r="E560" s="130">
        <v>0.99975000000000003</v>
      </c>
      <c r="F560" s="77">
        <v>0.99773000000000001</v>
      </c>
      <c r="G560" s="75">
        <v>33.872999999999998</v>
      </c>
      <c r="H560" s="88">
        <v>0.99847600000000003</v>
      </c>
      <c r="I560" s="77">
        <v>0.99067925999999995</v>
      </c>
      <c r="J560" s="15">
        <v>65.328999999999994</v>
      </c>
      <c r="R560" s="53">
        <v>458.4</v>
      </c>
      <c r="S560" s="76">
        <v>3.9889229999999998E-2</v>
      </c>
      <c r="T560" s="138">
        <v>0.4754234</v>
      </c>
    </row>
    <row r="561" spans="5:20">
      <c r="E561" s="130">
        <v>0.99973999999999996</v>
      </c>
      <c r="F561" s="77">
        <v>0.99770000000000003</v>
      </c>
      <c r="G561" s="75">
        <v>33.874000000000002</v>
      </c>
      <c r="H561" s="88">
        <v>0.99847202999999995</v>
      </c>
      <c r="I561" s="77">
        <v>0.99066156000000005</v>
      </c>
      <c r="J561" s="15">
        <v>65.33</v>
      </c>
      <c r="R561" s="53">
        <v>458.5</v>
      </c>
      <c r="S561" s="76">
        <v>3.9612750000000002E-2</v>
      </c>
      <c r="T561" s="138">
        <v>0.47368956000000001</v>
      </c>
    </row>
    <row r="562" spans="5:20">
      <c r="E562" s="130">
        <v>0.99973999999999996</v>
      </c>
      <c r="F562" s="77">
        <v>0.99766999999999995</v>
      </c>
      <c r="G562" s="75">
        <v>33.875</v>
      </c>
      <c r="H562" s="88">
        <v>0.99846809999999997</v>
      </c>
      <c r="I562" s="77">
        <v>0.99064390000000002</v>
      </c>
      <c r="J562" s="15">
        <v>65.331000000000003</v>
      </c>
      <c r="R562" s="53">
        <v>458.6</v>
      </c>
      <c r="S562" s="76">
        <v>3.933772E-2</v>
      </c>
      <c r="T562" s="138">
        <v>0.47195156999999999</v>
      </c>
    </row>
    <row r="563" spans="5:20">
      <c r="E563" s="130">
        <v>0.99973999999999996</v>
      </c>
      <c r="F563" s="77">
        <v>0.99763999999999997</v>
      </c>
      <c r="G563" s="75">
        <v>33.875999999999998</v>
      </c>
      <c r="H563" s="88">
        <v>0.99846416999999998</v>
      </c>
      <c r="I563" s="77">
        <v>0.99062620000000001</v>
      </c>
      <c r="J563" s="15">
        <v>65.331999999999994</v>
      </c>
      <c r="R563" s="53">
        <v>458.7</v>
      </c>
      <c r="S563" s="76">
        <v>3.9064120000000001E-2</v>
      </c>
      <c r="T563" s="138">
        <v>0.47020941999999999</v>
      </c>
    </row>
    <row r="564" spans="5:20">
      <c r="E564" s="130">
        <v>0.99973000000000001</v>
      </c>
      <c r="F564" s="77">
        <v>0.99760000000000004</v>
      </c>
      <c r="G564" s="75">
        <v>33.877000000000002</v>
      </c>
      <c r="H564" s="88">
        <v>0.99846020000000002</v>
      </c>
      <c r="I564" s="77">
        <v>0.9906085</v>
      </c>
      <c r="J564" s="15">
        <v>65.332999999999998</v>
      </c>
      <c r="R564" s="53">
        <v>458.8</v>
      </c>
      <c r="S564" s="76">
        <v>3.8791939999999997E-2</v>
      </c>
      <c r="T564" s="138">
        <v>0.46846310000000002</v>
      </c>
    </row>
    <row r="565" spans="5:20">
      <c r="E565" s="130">
        <v>0.99973000000000001</v>
      </c>
      <c r="F565" s="77">
        <v>0.99756999999999996</v>
      </c>
      <c r="G565" s="75">
        <v>33.878</v>
      </c>
      <c r="H565" s="88">
        <v>0.99845623999999999</v>
      </c>
      <c r="I565" s="77">
        <v>0.99059090000000005</v>
      </c>
      <c r="J565" s="15">
        <v>65.334000000000003</v>
      </c>
      <c r="R565" s="53">
        <v>458.9</v>
      </c>
      <c r="S565" s="76">
        <v>3.8521162999999997E-2</v>
      </c>
      <c r="T565" s="138">
        <v>0.46671256</v>
      </c>
    </row>
    <row r="566" spans="5:20">
      <c r="E566" s="130">
        <v>0.99972000000000005</v>
      </c>
      <c r="F566" s="77">
        <v>0.99753999999999998</v>
      </c>
      <c r="G566" s="75">
        <v>33.878999999999998</v>
      </c>
      <c r="H566" s="88">
        <v>0.99845225000000004</v>
      </c>
      <c r="I566" s="77">
        <v>0.99057317</v>
      </c>
      <c r="J566" s="15">
        <v>65.334999999999994</v>
      </c>
      <c r="R566" s="53">
        <v>459</v>
      </c>
      <c r="S566" s="76">
        <v>3.8251779999999999E-2</v>
      </c>
      <c r="T566" s="138">
        <v>0.46495789999999998</v>
      </c>
    </row>
    <row r="567" spans="5:20">
      <c r="E567" s="130">
        <v>0.99972000000000005</v>
      </c>
      <c r="F567" s="77">
        <v>0.99751000000000001</v>
      </c>
      <c r="G567" s="75">
        <v>33.880000000000003</v>
      </c>
      <c r="H567" s="88">
        <v>0.99844825000000004</v>
      </c>
      <c r="I567" s="77">
        <v>0.99055546999999999</v>
      </c>
      <c r="J567" s="15">
        <v>65.335999999999999</v>
      </c>
      <c r="R567" s="53">
        <v>459.1</v>
      </c>
      <c r="S567" s="76">
        <v>3.798377E-2</v>
      </c>
      <c r="T567" s="138">
        <v>0.46319900000000003</v>
      </c>
    </row>
    <row r="568" spans="5:20">
      <c r="E568" s="130">
        <v>0.99972000000000005</v>
      </c>
      <c r="F568" s="77">
        <v>0.99746999999999997</v>
      </c>
      <c r="G568" s="75">
        <v>33.881</v>
      </c>
      <c r="H568" s="88">
        <v>0.99844429999999995</v>
      </c>
      <c r="I568" s="77">
        <v>0.99053780000000002</v>
      </c>
      <c r="J568" s="15">
        <v>65.337000000000003</v>
      </c>
      <c r="R568" s="53">
        <v>459.2</v>
      </c>
      <c r="S568" s="76">
        <v>3.7717122999999998E-2</v>
      </c>
      <c r="T568" s="138">
        <v>0.46143590000000001</v>
      </c>
    </row>
    <row r="569" spans="5:20">
      <c r="E569" s="130">
        <v>0.99970999999999999</v>
      </c>
      <c r="F569" s="77">
        <v>0.99743999999999999</v>
      </c>
      <c r="G569" s="75">
        <v>33.881999999999998</v>
      </c>
      <c r="H569" s="88">
        <v>0.99844029999999995</v>
      </c>
      <c r="I569" s="77">
        <v>0.99052010000000001</v>
      </c>
      <c r="J569" s="15">
        <v>65.337999999999994</v>
      </c>
      <c r="R569" s="53">
        <v>459.3</v>
      </c>
      <c r="S569" s="76">
        <v>3.7451829999999998E-2</v>
      </c>
      <c r="T569" s="138">
        <v>0.45966864000000002</v>
      </c>
    </row>
    <row r="570" spans="5:20">
      <c r="E570" s="130">
        <v>0.99970999999999999</v>
      </c>
      <c r="F570" s="77">
        <v>0.99741000000000002</v>
      </c>
      <c r="G570" s="75">
        <v>33.883000000000003</v>
      </c>
      <c r="H570" s="88">
        <v>0.99843632999999998</v>
      </c>
      <c r="I570" s="77">
        <v>0.99050240000000001</v>
      </c>
      <c r="J570" s="15">
        <v>65.338999999999999</v>
      </c>
      <c r="R570" s="53">
        <v>459.4</v>
      </c>
      <c r="S570" s="76">
        <v>3.7187869999999998E-2</v>
      </c>
      <c r="T570" s="138">
        <v>0.45789712999999999</v>
      </c>
    </row>
    <row r="571" spans="5:20">
      <c r="E571" s="130">
        <v>0.99970000000000003</v>
      </c>
      <c r="F571" s="77">
        <v>0.99738000000000004</v>
      </c>
      <c r="G571" s="75">
        <v>33.884</v>
      </c>
      <c r="H571" s="88">
        <v>0.99843234000000003</v>
      </c>
      <c r="I571" s="77">
        <v>0.9904847</v>
      </c>
      <c r="J571" s="15">
        <v>65.34</v>
      </c>
      <c r="R571" s="53">
        <v>459.5</v>
      </c>
      <c r="S571" s="76">
        <v>3.6925234000000001E-2</v>
      </c>
      <c r="T571" s="138">
        <v>0.45612140000000001</v>
      </c>
    </row>
    <row r="572" spans="5:20">
      <c r="E572" s="130">
        <v>0.99970000000000003</v>
      </c>
      <c r="F572" s="77">
        <v>0.99734</v>
      </c>
      <c r="G572" s="75">
        <v>33.884999999999998</v>
      </c>
      <c r="H572" s="88">
        <v>0.99842830000000005</v>
      </c>
      <c r="I572" s="77">
        <v>0.99046699999999999</v>
      </c>
      <c r="J572" s="15">
        <v>65.340999999999994</v>
      </c>
      <c r="R572" s="53">
        <v>459.6</v>
      </c>
      <c r="S572" s="76">
        <v>3.6663910000000001E-2</v>
      </c>
      <c r="T572" s="138">
        <v>0.45434150000000001</v>
      </c>
    </row>
    <row r="573" spans="5:20">
      <c r="E573" s="130">
        <v>0.99970000000000003</v>
      </c>
      <c r="F573" s="77">
        <v>0.99731000000000003</v>
      </c>
      <c r="G573" s="75">
        <v>33.886000000000003</v>
      </c>
      <c r="H573" s="88">
        <v>0.99842430000000004</v>
      </c>
      <c r="I573" s="77">
        <v>0.99044929999999998</v>
      </c>
      <c r="J573" s="15">
        <v>65.341999999999999</v>
      </c>
      <c r="R573" s="53">
        <v>459.7</v>
      </c>
      <c r="S573" s="76">
        <v>3.6403882999999998E-2</v>
      </c>
      <c r="T573" s="138">
        <v>0.45255732999999998</v>
      </c>
    </row>
    <row r="574" spans="5:20">
      <c r="E574" s="130">
        <v>0.99968999999999997</v>
      </c>
      <c r="F574" s="77">
        <v>0.99728000000000006</v>
      </c>
      <c r="G574" s="75">
        <v>33.887</v>
      </c>
      <c r="H574" s="88">
        <v>0.99842023999999996</v>
      </c>
      <c r="I574" s="77">
        <v>0.99043159999999997</v>
      </c>
      <c r="J574" s="15">
        <v>65.343000000000004</v>
      </c>
      <c r="R574" s="53">
        <v>459.8</v>
      </c>
      <c r="S574" s="76">
        <v>3.6145139999999999E-2</v>
      </c>
      <c r="T574" s="138">
        <v>0.45076895</v>
      </c>
    </row>
    <row r="575" spans="5:20">
      <c r="E575" s="130">
        <v>0.99968999999999997</v>
      </c>
      <c r="F575" s="77">
        <v>0.99724999999999997</v>
      </c>
      <c r="G575" s="75">
        <v>33.887999999999998</v>
      </c>
      <c r="H575" s="88">
        <v>0.99841623999999995</v>
      </c>
      <c r="I575" s="77">
        <v>0.99041389999999996</v>
      </c>
      <c r="J575" s="15">
        <v>65.343999999999994</v>
      </c>
      <c r="R575" s="53">
        <v>459.9</v>
      </c>
      <c r="S575" s="76">
        <v>3.5887673000000002E-2</v>
      </c>
      <c r="T575" s="138">
        <v>0.44897633999999997</v>
      </c>
    </row>
    <row r="576" spans="5:20">
      <c r="E576" s="130">
        <v>0.99968000000000001</v>
      </c>
      <c r="F576" s="77">
        <v>0.99721000000000004</v>
      </c>
      <c r="G576" s="75">
        <v>33.889000000000003</v>
      </c>
      <c r="H576" s="88">
        <v>0.99841219999999997</v>
      </c>
      <c r="I576" s="77">
        <v>0.99039619999999995</v>
      </c>
      <c r="J576" s="15">
        <v>65.344999999999999</v>
      </c>
      <c r="R576" s="53">
        <v>460</v>
      </c>
      <c r="S576" s="76">
        <v>3.5631467E-2</v>
      </c>
      <c r="T576" s="138">
        <v>0.44717947000000002</v>
      </c>
    </row>
    <row r="577" spans="5:20">
      <c r="E577" s="130">
        <v>0.99968000000000001</v>
      </c>
      <c r="F577" s="77">
        <v>0.99717999999999996</v>
      </c>
      <c r="G577" s="75">
        <v>33.89</v>
      </c>
      <c r="H577" s="88">
        <v>0.99840819999999997</v>
      </c>
      <c r="I577" s="77">
        <v>0.99037850000000005</v>
      </c>
      <c r="J577" s="15">
        <v>65.346000000000004</v>
      </c>
      <c r="R577" s="53">
        <v>460.1</v>
      </c>
      <c r="S577" s="76">
        <v>3.537651E-2</v>
      </c>
      <c r="T577" s="138">
        <v>0.44537832999999999</v>
      </c>
    </row>
    <row r="578" spans="5:20">
      <c r="E578" s="130">
        <v>0.99968000000000001</v>
      </c>
      <c r="F578" s="77">
        <v>0.99714999999999998</v>
      </c>
      <c r="G578" s="75">
        <v>33.890999999999998</v>
      </c>
      <c r="H578" s="88">
        <v>0.99840415000000005</v>
      </c>
      <c r="I578" s="77">
        <v>0.99036080000000004</v>
      </c>
      <c r="J578" s="15">
        <v>65.346999999999994</v>
      </c>
      <c r="R578" s="53">
        <v>460.2</v>
      </c>
      <c r="S578" s="76">
        <v>3.5122792999999999E-2</v>
      </c>
      <c r="T578" s="138">
        <v>0.44357297000000001</v>
      </c>
    </row>
    <row r="579" spans="5:20">
      <c r="E579" s="130">
        <v>0.99966999999999995</v>
      </c>
      <c r="F579" s="77">
        <v>0.99712000000000001</v>
      </c>
      <c r="G579" s="75">
        <v>33.892000000000003</v>
      </c>
      <c r="H579" s="88">
        <v>0.99840010000000001</v>
      </c>
      <c r="I579" s="77">
        <v>0.99034310000000003</v>
      </c>
      <c r="J579" s="15">
        <v>65.347999999999999</v>
      </c>
      <c r="R579" s="53">
        <v>460.3</v>
      </c>
      <c r="S579" s="76">
        <v>3.4870297000000001E-2</v>
      </c>
      <c r="T579" s="138">
        <v>0.44176334</v>
      </c>
    </row>
    <row r="580" spans="5:20">
      <c r="E580" s="130">
        <v>0.99966999999999995</v>
      </c>
      <c r="F580" s="77">
        <v>0.99707999999999997</v>
      </c>
      <c r="G580" s="75">
        <v>33.893000000000001</v>
      </c>
      <c r="H580" s="88">
        <v>0.99839604000000004</v>
      </c>
      <c r="I580" s="77">
        <v>0.99032540000000002</v>
      </c>
      <c r="J580" s="15">
        <v>65.349000000000004</v>
      </c>
      <c r="R580" s="53">
        <v>460.4</v>
      </c>
      <c r="S580" s="76">
        <v>3.461902E-2</v>
      </c>
      <c r="T580" s="138">
        <v>0.43994945000000002</v>
      </c>
    </row>
    <row r="581" spans="5:20">
      <c r="E581" s="130">
        <v>0.99965999999999999</v>
      </c>
      <c r="F581" s="77">
        <v>0.99704999999999999</v>
      </c>
      <c r="G581" s="75">
        <v>33.893999999999998</v>
      </c>
      <c r="H581" s="88">
        <v>0.99839199999999995</v>
      </c>
      <c r="I581" s="77">
        <v>0.99030759999999995</v>
      </c>
      <c r="J581" s="15">
        <v>65.349999999999994</v>
      </c>
      <c r="R581" s="53">
        <v>460.5</v>
      </c>
      <c r="S581" s="76">
        <v>3.4368942999999999E-2</v>
      </c>
      <c r="T581" s="138">
        <v>0.4381313</v>
      </c>
    </row>
    <row r="582" spans="5:20">
      <c r="E582" s="130">
        <v>0.99965999999999999</v>
      </c>
      <c r="F582" s="77">
        <v>0.99702000000000002</v>
      </c>
      <c r="G582" s="75">
        <v>33.895000000000003</v>
      </c>
      <c r="H582" s="88">
        <v>0.99838789999999999</v>
      </c>
      <c r="I582" s="77">
        <v>0.99028989999999995</v>
      </c>
      <c r="J582" s="15">
        <v>65.350999999999999</v>
      </c>
      <c r="R582" s="53">
        <v>460.6</v>
      </c>
      <c r="S582" s="76">
        <v>3.4120060000000001E-2</v>
      </c>
      <c r="T582" s="138">
        <v>0.43630886000000002</v>
      </c>
    </row>
    <row r="583" spans="5:20">
      <c r="E583" s="130">
        <v>0.99965000000000004</v>
      </c>
      <c r="F583" s="77">
        <v>0.99697999999999998</v>
      </c>
      <c r="G583" s="75">
        <v>33.896000000000001</v>
      </c>
      <c r="H583" s="88">
        <v>0.99838380000000004</v>
      </c>
      <c r="I583" s="77">
        <v>0.99027220000000005</v>
      </c>
      <c r="J583" s="15">
        <v>65.352000000000004</v>
      </c>
      <c r="R583" s="53">
        <v>460.7</v>
      </c>
      <c r="S583" s="76">
        <v>3.3872359999999997E-2</v>
      </c>
      <c r="T583" s="138">
        <v>0.43448213000000002</v>
      </c>
    </row>
    <row r="584" spans="5:20">
      <c r="E584" s="130">
        <v>0.99965000000000004</v>
      </c>
      <c r="F584" s="77">
        <v>0.99695</v>
      </c>
      <c r="G584" s="75">
        <v>33.896999999999998</v>
      </c>
      <c r="H584" s="88">
        <v>0.99837977</v>
      </c>
      <c r="I584" s="77">
        <v>0.99025445999999995</v>
      </c>
      <c r="J584" s="15">
        <v>65.352999999999994</v>
      </c>
      <c r="R584" s="53">
        <v>460.8</v>
      </c>
      <c r="S584" s="76">
        <v>3.3625822999999999E-2</v>
      </c>
      <c r="T584" s="138">
        <v>0.43265110000000001</v>
      </c>
    </row>
    <row r="585" spans="5:20">
      <c r="E585" s="130">
        <v>0.99965000000000004</v>
      </c>
      <c r="F585" s="77">
        <v>0.99692000000000003</v>
      </c>
      <c r="G585" s="75">
        <v>33.898000000000003</v>
      </c>
      <c r="H585" s="88">
        <v>0.99837564999999995</v>
      </c>
      <c r="I585" s="77">
        <v>0.99023676000000005</v>
      </c>
      <c r="J585" s="15">
        <v>65.353999999999999</v>
      </c>
      <c r="R585" s="53">
        <v>460.9</v>
      </c>
      <c r="S585" s="76">
        <v>3.3380449999999999E-2</v>
      </c>
      <c r="T585" s="138">
        <v>0.43081582000000002</v>
      </c>
    </row>
    <row r="586" spans="5:20">
      <c r="E586" s="130">
        <v>0.99963999999999997</v>
      </c>
      <c r="F586" s="77">
        <v>0.99689000000000005</v>
      </c>
      <c r="G586" s="75">
        <v>33.899000000000001</v>
      </c>
      <c r="H586" s="88">
        <v>0.99837153999999995</v>
      </c>
      <c r="I586" s="77">
        <v>0.99021906000000004</v>
      </c>
      <c r="J586" s="15">
        <v>65.355000000000004</v>
      </c>
      <c r="R586" s="53">
        <v>461</v>
      </c>
      <c r="S586" s="76">
        <v>3.3136222999999999E-2</v>
      </c>
      <c r="T586" s="138">
        <v>0.42897619999999997</v>
      </c>
    </row>
    <row r="587" spans="5:20">
      <c r="E587" s="130">
        <v>0.99963999999999997</v>
      </c>
      <c r="F587" s="77">
        <v>0.99685000000000001</v>
      </c>
      <c r="G587" s="75">
        <v>33.9</v>
      </c>
      <c r="H587" s="88">
        <v>0.99836749999999996</v>
      </c>
      <c r="I587" s="77">
        <v>0.99020129999999995</v>
      </c>
      <c r="J587" s="15">
        <v>65.355999999999995</v>
      </c>
      <c r="R587" s="53">
        <v>461.1</v>
      </c>
      <c r="S587" s="76">
        <v>3.2893136000000003E-2</v>
      </c>
      <c r="T587" s="138">
        <v>0.42713230000000002</v>
      </c>
    </row>
    <row r="588" spans="5:20">
      <c r="E588" s="130">
        <v>0.99963000000000002</v>
      </c>
      <c r="F588" s="77">
        <v>0.99682000000000004</v>
      </c>
      <c r="G588" s="75">
        <v>33.901000000000003</v>
      </c>
      <c r="H588" s="88">
        <v>0.99836340000000001</v>
      </c>
      <c r="I588" s="77">
        <v>0.99018360000000005</v>
      </c>
      <c r="J588" s="15">
        <v>65.356999999999999</v>
      </c>
      <c r="R588" s="53">
        <v>461.2</v>
      </c>
      <c r="S588" s="76">
        <v>3.2651174999999998E-2</v>
      </c>
      <c r="T588" s="138">
        <v>0.42528411999999999</v>
      </c>
    </row>
    <row r="589" spans="5:20">
      <c r="E589" s="130">
        <v>0.99963000000000002</v>
      </c>
      <c r="F589" s="77">
        <v>0.99678999999999995</v>
      </c>
      <c r="G589" s="75">
        <v>33.902000000000001</v>
      </c>
      <c r="H589" s="88">
        <v>0.99835925999999997</v>
      </c>
      <c r="I589" s="77">
        <v>0.99016579999999998</v>
      </c>
      <c r="J589" s="15">
        <v>65.358000000000004</v>
      </c>
      <c r="R589" s="53">
        <v>461.3</v>
      </c>
      <c r="S589" s="76">
        <v>3.2410334999999998E-2</v>
      </c>
      <c r="T589" s="138">
        <v>0.42343157999999997</v>
      </c>
    </row>
    <row r="590" spans="5:20">
      <c r="E590" s="130">
        <v>0.99961999999999995</v>
      </c>
      <c r="F590" s="77">
        <v>0.99675999999999998</v>
      </c>
      <c r="G590" s="75">
        <v>33.902999999999999</v>
      </c>
      <c r="H590" s="88">
        <v>0.99835514999999997</v>
      </c>
      <c r="I590" s="77">
        <v>0.99014809999999998</v>
      </c>
      <c r="J590" s="15">
        <v>65.358999999999995</v>
      </c>
      <c r="R590" s="53">
        <v>461.4</v>
      </c>
      <c r="S590" s="76">
        <v>3.2170597000000002E-2</v>
      </c>
      <c r="T590" s="138">
        <v>0.42157474</v>
      </c>
    </row>
    <row r="591" spans="5:20">
      <c r="E591" s="130">
        <v>0.99961999999999995</v>
      </c>
      <c r="F591" s="77">
        <v>0.99672000000000005</v>
      </c>
      <c r="G591" s="75">
        <v>33.904000000000003</v>
      </c>
      <c r="H591" s="88">
        <v>0.99835099999999999</v>
      </c>
      <c r="I591" s="77">
        <v>0.99013035999999999</v>
      </c>
      <c r="J591" s="15">
        <v>65.36</v>
      </c>
      <c r="R591" s="53">
        <v>461.5</v>
      </c>
      <c r="S591" s="76">
        <v>3.1931960000000002E-2</v>
      </c>
      <c r="T591" s="138">
        <v>0.41971360000000002</v>
      </c>
    </row>
    <row r="592" spans="5:20">
      <c r="E592" s="130">
        <v>0.99961</v>
      </c>
      <c r="F592" s="77">
        <v>0.99668999999999996</v>
      </c>
      <c r="G592" s="75">
        <v>33.905000000000001</v>
      </c>
      <c r="H592" s="88">
        <v>0.99834687</v>
      </c>
      <c r="I592" s="77">
        <v>0.99011265999999998</v>
      </c>
      <c r="J592" s="15">
        <v>65.361000000000004</v>
      </c>
      <c r="R592" s="53">
        <v>461.6</v>
      </c>
      <c r="S592" s="76">
        <v>3.1694409999999999E-2</v>
      </c>
      <c r="T592" s="138">
        <v>0.41784808000000001</v>
      </c>
    </row>
    <row r="593" spans="5:20">
      <c r="E593" s="130">
        <v>0.99961</v>
      </c>
      <c r="F593" s="77">
        <v>0.99665999999999999</v>
      </c>
      <c r="G593" s="75">
        <v>33.905999999999999</v>
      </c>
      <c r="H593" s="88">
        <v>0.99834274999999995</v>
      </c>
      <c r="I593" s="77">
        <v>0.9900949</v>
      </c>
      <c r="J593" s="15">
        <v>65.361999999999995</v>
      </c>
      <c r="R593" s="53">
        <v>461.7</v>
      </c>
      <c r="S593" s="76">
        <v>3.1457934999999999E-2</v>
      </c>
      <c r="T593" s="138">
        <v>0.41597824999999999</v>
      </c>
    </row>
    <row r="594" spans="5:20">
      <c r="E594" s="130">
        <v>0.99961</v>
      </c>
      <c r="F594" s="77">
        <v>0.99661999999999995</v>
      </c>
      <c r="G594" s="75">
        <v>33.906999999999996</v>
      </c>
      <c r="H594" s="88">
        <v>0.99833859999999996</v>
      </c>
      <c r="I594" s="77">
        <v>0.99007714000000002</v>
      </c>
      <c r="J594" s="15">
        <v>65.363</v>
      </c>
      <c r="R594" s="53">
        <v>461.8</v>
      </c>
      <c r="S594" s="76">
        <v>3.1222527999999999E-2</v>
      </c>
      <c r="T594" s="138">
        <v>0.41410409999999997</v>
      </c>
    </row>
    <row r="595" spans="5:20">
      <c r="E595" s="130">
        <v>0.99960000000000004</v>
      </c>
      <c r="F595" s="77">
        <v>0.99658999999999998</v>
      </c>
      <c r="G595" s="75">
        <v>33.908000000000001</v>
      </c>
      <c r="H595" s="88">
        <v>0.99833446999999997</v>
      </c>
      <c r="I595" s="77">
        <v>0.99005940000000003</v>
      </c>
      <c r="J595" s="15">
        <v>65.364000000000004</v>
      </c>
      <c r="R595" s="53">
        <v>461.9</v>
      </c>
      <c r="S595" s="76">
        <v>3.0988181E-2</v>
      </c>
      <c r="T595" s="138">
        <v>0.41222556999999999</v>
      </c>
    </row>
    <row r="596" spans="5:20">
      <c r="E596" s="130">
        <v>0.99960000000000004</v>
      </c>
      <c r="F596" s="77">
        <v>0.99656</v>
      </c>
      <c r="G596" s="75">
        <v>33.908999999999999</v>
      </c>
      <c r="H596" s="88">
        <v>0.9983303</v>
      </c>
      <c r="I596" s="77">
        <v>0.99004170000000002</v>
      </c>
      <c r="J596" s="15">
        <v>65.364999999999995</v>
      </c>
      <c r="R596" s="53">
        <v>462</v>
      </c>
      <c r="S596" s="76">
        <v>3.0754883E-2</v>
      </c>
      <c r="T596" s="138">
        <v>0.41034271999999999</v>
      </c>
    </row>
    <row r="597" spans="5:20">
      <c r="E597" s="130">
        <v>0.99958999999999998</v>
      </c>
      <c r="F597" s="77">
        <v>0.99653000000000003</v>
      </c>
      <c r="G597" s="75">
        <v>33.909999999999997</v>
      </c>
      <c r="H597" s="88">
        <v>0.99832609999999999</v>
      </c>
      <c r="I597" s="77">
        <v>0.99002389999999996</v>
      </c>
      <c r="J597" s="15">
        <v>65.366</v>
      </c>
      <c r="R597" s="53">
        <v>462.1</v>
      </c>
      <c r="S597" s="76">
        <v>3.0522624000000002E-2</v>
      </c>
      <c r="T597" s="138">
        <v>0.40845552000000002</v>
      </c>
    </row>
    <row r="598" spans="5:20">
      <c r="E598" s="130">
        <v>0.99958999999999998</v>
      </c>
      <c r="F598" s="77">
        <v>0.99648999999999999</v>
      </c>
      <c r="G598" s="75">
        <v>33.911000000000001</v>
      </c>
      <c r="H598" s="88">
        <v>0.99832195000000001</v>
      </c>
      <c r="I598" s="77">
        <v>0.99000615000000003</v>
      </c>
      <c r="J598" s="15">
        <v>65.367000000000004</v>
      </c>
      <c r="R598" s="53">
        <v>462.2</v>
      </c>
      <c r="S598" s="76">
        <v>3.0291394999999999E-2</v>
      </c>
      <c r="T598" s="138">
        <v>0.40656394000000001</v>
      </c>
    </row>
    <row r="599" spans="5:20">
      <c r="E599" s="130">
        <v>0.99958000000000002</v>
      </c>
      <c r="F599" s="77">
        <v>0.99646000000000001</v>
      </c>
      <c r="G599" s="75">
        <v>33.911999999999999</v>
      </c>
      <c r="H599" s="88">
        <v>0.99831780000000003</v>
      </c>
      <c r="I599" s="77">
        <v>0.98998839999999999</v>
      </c>
      <c r="J599" s="15">
        <v>65.367999999999995</v>
      </c>
      <c r="R599" s="53">
        <v>462.3</v>
      </c>
      <c r="S599" s="76">
        <v>3.0061190000000002E-2</v>
      </c>
      <c r="T599" s="138">
        <v>0.40466800000000003</v>
      </c>
    </row>
    <row r="600" spans="5:20">
      <c r="E600" s="130">
        <v>0.99958000000000002</v>
      </c>
      <c r="F600" s="77">
        <v>0.99643000000000004</v>
      </c>
      <c r="G600" s="75">
        <v>33.912999999999997</v>
      </c>
      <c r="H600" s="88">
        <v>0.99831360000000002</v>
      </c>
      <c r="I600" s="77">
        <v>0.98997060000000003</v>
      </c>
      <c r="J600" s="15">
        <v>65.369</v>
      </c>
      <c r="R600" s="53">
        <v>462.4</v>
      </c>
      <c r="S600" s="76">
        <v>2.9831996E-2</v>
      </c>
      <c r="T600" s="138">
        <v>0.40276770000000001</v>
      </c>
    </row>
    <row r="601" spans="5:20">
      <c r="E601" s="130">
        <v>0.99956999999999996</v>
      </c>
      <c r="F601" s="77">
        <v>0.99639999999999995</v>
      </c>
      <c r="G601" s="75">
        <v>33.914000000000001</v>
      </c>
      <c r="H601" s="88">
        <v>0.99830943000000005</v>
      </c>
      <c r="I601" s="77">
        <v>0.98995286000000005</v>
      </c>
      <c r="J601" s="15">
        <v>65.37</v>
      </c>
      <c r="R601" s="53">
        <v>462.5</v>
      </c>
      <c r="S601" s="76">
        <v>2.9603805E-2</v>
      </c>
      <c r="T601" s="138">
        <v>0.40086302000000001</v>
      </c>
    </row>
    <row r="602" spans="5:20">
      <c r="E602" s="130">
        <v>0.99956999999999996</v>
      </c>
      <c r="F602" s="77">
        <v>0.99636000000000002</v>
      </c>
      <c r="G602" s="75">
        <v>33.914999999999999</v>
      </c>
      <c r="H602" s="88">
        <v>0.99830525999999997</v>
      </c>
      <c r="I602" s="77">
        <v>0.98993509999999996</v>
      </c>
      <c r="J602" s="15">
        <v>65.370999999999995</v>
      </c>
      <c r="R602" s="53">
        <v>462.6</v>
      </c>
      <c r="S602" s="76">
        <v>2.9376611E-2</v>
      </c>
      <c r="T602" s="138">
        <v>0.39895394000000001</v>
      </c>
    </row>
    <row r="603" spans="5:20">
      <c r="E603" s="130">
        <v>0.99956999999999996</v>
      </c>
      <c r="F603" s="77">
        <v>0.99633000000000005</v>
      </c>
      <c r="G603" s="75">
        <v>33.915999999999997</v>
      </c>
      <c r="H603" s="88">
        <v>0.99830099999999999</v>
      </c>
      <c r="I603" s="77">
        <v>0.98991733999999998</v>
      </c>
      <c r="J603" s="15">
        <v>65.372</v>
      </c>
      <c r="R603" s="53">
        <v>462.7</v>
      </c>
      <c r="S603" s="76">
        <v>2.9150401999999999E-2</v>
      </c>
      <c r="T603" s="138">
        <v>0.39704052000000001</v>
      </c>
    </row>
    <row r="604" spans="5:20">
      <c r="E604" s="130">
        <v>0.99956</v>
      </c>
      <c r="F604" s="77">
        <v>0.99629999999999996</v>
      </c>
      <c r="G604" s="75">
        <v>33.917000000000002</v>
      </c>
      <c r="H604" s="88">
        <v>0.99829685999999995</v>
      </c>
      <c r="I604" s="77">
        <v>0.98989959999999999</v>
      </c>
      <c r="J604" s="15">
        <v>65.373000000000005</v>
      </c>
      <c r="R604" s="53">
        <v>462.8</v>
      </c>
      <c r="S604" s="76">
        <v>2.8925171E-2</v>
      </c>
      <c r="T604" s="138">
        <v>0.39512268</v>
      </c>
    </row>
    <row r="605" spans="5:20">
      <c r="E605" s="130">
        <v>0.99956</v>
      </c>
      <c r="F605" s="77">
        <v>0.99626000000000003</v>
      </c>
      <c r="G605" s="75">
        <v>33.917999999999999</v>
      </c>
      <c r="H605" s="88">
        <v>0.99829259999999997</v>
      </c>
      <c r="I605" s="77">
        <v>0.98988180000000003</v>
      </c>
      <c r="J605" s="15">
        <v>65.373999999999995</v>
      </c>
      <c r="R605" s="53">
        <v>462.9</v>
      </c>
      <c r="S605" s="76">
        <v>2.870091E-2</v>
      </c>
      <c r="T605" s="138">
        <v>0.39320045999999997</v>
      </c>
    </row>
    <row r="606" spans="5:20">
      <c r="E606" s="130">
        <v>0.99955000000000005</v>
      </c>
      <c r="F606" s="77">
        <v>0.99622999999999995</v>
      </c>
      <c r="G606" s="75">
        <v>33.918999999999997</v>
      </c>
      <c r="H606" s="88">
        <v>0.99828839999999996</v>
      </c>
      <c r="I606" s="77">
        <v>0.98986405</v>
      </c>
      <c r="J606" s="15">
        <v>65.375</v>
      </c>
      <c r="R606" s="53">
        <v>463</v>
      </c>
      <c r="S606" s="76">
        <v>2.8477611E-2</v>
      </c>
      <c r="T606" s="138">
        <v>0.39127382999999999</v>
      </c>
    </row>
    <row r="607" spans="5:20">
      <c r="E607" s="130">
        <v>0.99955000000000005</v>
      </c>
      <c r="F607" s="77">
        <v>0.99619999999999997</v>
      </c>
      <c r="G607" s="75">
        <v>33.92</v>
      </c>
      <c r="H607" s="88">
        <v>0.99828415999999998</v>
      </c>
      <c r="I607" s="77">
        <v>0.98984629999999996</v>
      </c>
      <c r="J607" s="15">
        <v>65.376000000000005</v>
      </c>
      <c r="R607" s="53">
        <v>463.1</v>
      </c>
      <c r="S607" s="76">
        <v>2.8255262999999999E-2</v>
      </c>
      <c r="T607" s="138">
        <v>0.38934279999999999</v>
      </c>
    </row>
    <row r="608" spans="5:20">
      <c r="E608" s="130">
        <v>0.99953999999999998</v>
      </c>
      <c r="F608" s="77">
        <v>0.99617</v>
      </c>
      <c r="G608" s="75">
        <v>33.920999999999999</v>
      </c>
      <c r="H608" s="88">
        <v>0.9982799</v>
      </c>
      <c r="I608" s="77">
        <v>0.9898285</v>
      </c>
      <c r="J608" s="15">
        <v>65.376999999999995</v>
      </c>
      <c r="R608" s="53">
        <v>463.2</v>
      </c>
      <c r="S608" s="76">
        <v>2.8033860000000001E-2</v>
      </c>
      <c r="T608" s="138">
        <v>0.38740740000000001</v>
      </c>
    </row>
    <row r="609" spans="5:20">
      <c r="E609" s="130">
        <v>0.99953999999999998</v>
      </c>
      <c r="F609" s="77">
        <v>0.99612999999999996</v>
      </c>
      <c r="G609" s="75">
        <v>33.921999999999997</v>
      </c>
      <c r="H609" s="88">
        <v>0.99827569999999999</v>
      </c>
      <c r="I609" s="77">
        <v>0.98981076000000001</v>
      </c>
      <c r="J609" s="15">
        <v>65.378</v>
      </c>
      <c r="R609" s="53">
        <v>463.3</v>
      </c>
      <c r="S609" s="76">
        <v>2.7813395000000001E-2</v>
      </c>
      <c r="T609" s="138">
        <v>0.38546755999999999</v>
      </c>
    </row>
    <row r="610" spans="5:20">
      <c r="E610" s="130">
        <v>0.99953000000000003</v>
      </c>
      <c r="F610" s="77">
        <v>0.99609999999999999</v>
      </c>
      <c r="G610" s="75">
        <v>33.923000000000002</v>
      </c>
      <c r="H610" s="88">
        <v>0.99827147000000005</v>
      </c>
      <c r="I610" s="77">
        <v>0.98979293999999995</v>
      </c>
      <c r="J610" s="15">
        <v>65.379000000000005</v>
      </c>
      <c r="R610" s="53">
        <v>463.4</v>
      </c>
      <c r="S610" s="76">
        <v>2.7593858999999998E-2</v>
      </c>
      <c r="T610" s="138">
        <v>0.38352330000000001</v>
      </c>
    </row>
    <row r="611" spans="5:20">
      <c r="E611" s="130">
        <v>0.99953000000000003</v>
      </c>
      <c r="F611" s="77">
        <v>0.99607000000000001</v>
      </c>
      <c r="G611" s="75">
        <v>33.923999999999999</v>
      </c>
      <c r="H611" s="88">
        <v>0.99826722999999995</v>
      </c>
      <c r="I611" s="77">
        <v>0.98977519999999997</v>
      </c>
      <c r="J611" s="15">
        <v>65.38</v>
      </c>
      <c r="R611" s="53">
        <v>463.5</v>
      </c>
      <c r="S611" s="76">
        <v>2.7375242000000001E-2</v>
      </c>
      <c r="T611" s="138">
        <v>0.38157459999999999</v>
      </c>
    </row>
    <row r="612" spans="5:20">
      <c r="E612" s="130">
        <v>0.99951999999999996</v>
      </c>
      <c r="F612" s="77">
        <v>0.99602999999999997</v>
      </c>
      <c r="G612" s="75">
        <v>33.924999999999997</v>
      </c>
      <c r="H612" s="88">
        <v>0.99826294000000004</v>
      </c>
      <c r="I612" s="77">
        <v>0.98975740000000001</v>
      </c>
      <c r="J612" s="15">
        <v>65.381</v>
      </c>
      <c r="R612" s="53">
        <v>463.6</v>
      </c>
      <c r="S612" s="76">
        <v>2.7157540000000001E-2</v>
      </c>
      <c r="T612" s="138">
        <v>0.3796215</v>
      </c>
    </row>
    <row r="613" spans="5:20">
      <c r="E613" s="130">
        <v>0.99951999999999996</v>
      </c>
      <c r="F613" s="77">
        <v>0.996</v>
      </c>
      <c r="G613" s="75">
        <v>33.926000000000002</v>
      </c>
      <c r="H613" s="88">
        <v>0.99825870000000005</v>
      </c>
      <c r="I613" s="77">
        <v>0.98973960000000005</v>
      </c>
      <c r="J613" s="15">
        <v>65.382000000000005</v>
      </c>
      <c r="R613" s="53">
        <v>463.7</v>
      </c>
      <c r="S613" s="76">
        <v>2.6940743E-2</v>
      </c>
      <c r="T613" s="138">
        <v>0.37766397000000002</v>
      </c>
    </row>
    <row r="614" spans="5:20">
      <c r="E614" s="130">
        <v>0.99951000000000001</v>
      </c>
      <c r="F614" s="77">
        <v>0.99597000000000002</v>
      </c>
      <c r="G614" s="75">
        <v>33.927</v>
      </c>
      <c r="H614" s="88">
        <v>0.99825439999999999</v>
      </c>
      <c r="I614" s="77">
        <v>0.98972183000000002</v>
      </c>
      <c r="J614" s="15">
        <v>65.382999999999996</v>
      </c>
      <c r="R614" s="53">
        <v>463.8</v>
      </c>
      <c r="S614" s="76">
        <v>2.6724843000000002E-2</v>
      </c>
      <c r="T614" s="138">
        <v>0.37570199999999998</v>
      </c>
    </row>
    <row r="615" spans="5:20">
      <c r="E615" s="130">
        <v>0.99951000000000001</v>
      </c>
      <c r="F615" s="77">
        <v>0.99594000000000005</v>
      </c>
      <c r="G615" s="75">
        <v>33.927999999999997</v>
      </c>
      <c r="H615" s="88">
        <v>0.99825010000000003</v>
      </c>
      <c r="I615" s="77">
        <v>0.98970400000000003</v>
      </c>
      <c r="J615" s="15">
        <v>65.384</v>
      </c>
      <c r="R615" s="53">
        <v>463.9</v>
      </c>
      <c r="S615" s="76">
        <v>2.6509833E-2</v>
      </c>
      <c r="T615" s="138">
        <v>0.3737356</v>
      </c>
    </row>
    <row r="616" spans="5:20">
      <c r="E616" s="130">
        <v>0.99951000000000001</v>
      </c>
      <c r="F616" s="77">
        <v>0.99590000000000001</v>
      </c>
      <c r="G616" s="75">
        <v>33.929000000000002</v>
      </c>
      <c r="H616" s="88">
        <v>0.99824584000000005</v>
      </c>
      <c r="I616" s="77">
        <v>0.98968624999999999</v>
      </c>
      <c r="J616" s="15">
        <v>65.385000000000005</v>
      </c>
      <c r="R616" s="53">
        <v>464</v>
      </c>
      <c r="S616" s="76">
        <v>2.6295707000000001E-2</v>
      </c>
      <c r="T616" s="138">
        <v>0.37176474999999998</v>
      </c>
    </row>
    <row r="617" spans="5:20">
      <c r="E617" s="130">
        <v>0.99950000000000006</v>
      </c>
      <c r="F617" s="77">
        <v>0.99587000000000003</v>
      </c>
      <c r="G617" s="75">
        <v>33.93</v>
      </c>
      <c r="H617" s="88">
        <v>0.99824153999999998</v>
      </c>
      <c r="I617" s="77">
        <v>0.9896684</v>
      </c>
      <c r="J617" s="15">
        <v>65.385999999999996</v>
      </c>
      <c r="R617" s="53">
        <v>464.1</v>
      </c>
      <c r="S617" s="76">
        <v>2.6082456E-2</v>
      </c>
      <c r="T617" s="138">
        <v>0.36978945000000002</v>
      </c>
    </row>
    <row r="618" spans="5:20">
      <c r="E618" s="130">
        <v>0.99950000000000006</v>
      </c>
      <c r="F618" s="77">
        <v>0.99583999999999995</v>
      </c>
      <c r="G618" s="75">
        <v>33.930999999999997</v>
      </c>
      <c r="H618" s="88">
        <v>0.99823724999999996</v>
      </c>
      <c r="I618" s="77">
        <v>0.98965066999999995</v>
      </c>
      <c r="J618" s="15">
        <v>65.387</v>
      </c>
      <c r="R618" s="53">
        <v>464.2</v>
      </c>
      <c r="S618" s="76">
        <v>2.5870074999999999E-2</v>
      </c>
      <c r="T618" s="138">
        <v>0.36780970000000002</v>
      </c>
    </row>
    <row r="619" spans="5:20">
      <c r="E619" s="130">
        <v>0.99948999999999999</v>
      </c>
      <c r="F619" s="77">
        <v>0.99580000000000002</v>
      </c>
      <c r="G619" s="75">
        <v>33.932000000000002</v>
      </c>
      <c r="H619" s="88">
        <v>0.99823295999999995</v>
      </c>
      <c r="I619" s="77">
        <v>0.98963283999999996</v>
      </c>
      <c r="J619" s="15">
        <v>65.388000000000005</v>
      </c>
      <c r="R619" s="53">
        <v>464.3</v>
      </c>
      <c r="S619" s="76">
        <v>2.5658553000000001E-2</v>
      </c>
      <c r="T619" s="138">
        <v>0.36582550000000003</v>
      </c>
    </row>
    <row r="620" spans="5:20">
      <c r="E620" s="130">
        <v>0.99948999999999999</v>
      </c>
      <c r="F620" s="77">
        <v>0.99577000000000004</v>
      </c>
      <c r="G620" s="75">
        <v>33.933</v>
      </c>
      <c r="H620" s="88">
        <v>0.99822867000000004</v>
      </c>
      <c r="I620" s="77">
        <v>0.98961509999999997</v>
      </c>
      <c r="J620" s="15">
        <v>65.388999999999996</v>
      </c>
      <c r="R620" s="53">
        <v>464.4</v>
      </c>
      <c r="S620" s="76">
        <v>2.5447887999999998E-2</v>
      </c>
      <c r="T620" s="138">
        <v>0.36383684999999999</v>
      </c>
    </row>
    <row r="621" spans="5:20">
      <c r="E621" s="130">
        <v>0.99948000000000004</v>
      </c>
      <c r="F621" s="77">
        <v>0.99573999999999996</v>
      </c>
      <c r="G621" s="75">
        <v>33.933999999999997</v>
      </c>
      <c r="H621" s="88">
        <v>0.99822429999999995</v>
      </c>
      <c r="I621" s="77">
        <v>0.98959726000000003</v>
      </c>
      <c r="J621" s="15">
        <v>65.39</v>
      </c>
      <c r="R621" s="53">
        <v>464.5</v>
      </c>
      <c r="S621" s="76">
        <v>2.5238068999999998E-2</v>
      </c>
      <c r="T621" s="138">
        <v>0.36184369999999999</v>
      </c>
    </row>
    <row r="622" spans="5:20">
      <c r="E622" s="130">
        <v>0.99948000000000004</v>
      </c>
      <c r="F622" s="77">
        <v>0.99570999999999998</v>
      </c>
      <c r="G622" s="75">
        <v>33.935000000000002</v>
      </c>
      <c r="H622" s="88">
        <v>0.99822</v>
      </c>
      <c r="I622" s="77">
        <v>0.98957943999999998</v>
      </c>
      <c r="J622" s="15">
        <v>65.391000000000005</v>
      </c>
      <c r="R622" s="53">
        <v>464.6</v>
      </c>
      <c r="S622" s="76">
        <v>2.502909E-2</v>
      </c>
      <c r="T622" s="138">
        <v>0.35984611999999999</v>
      </c>
    </row>
    <row r="623" spans="5:20">
      <c r="E623" s="130">
        <v>0.99946999999999997</v>
      </c>
      <c r="F623" s="77">
        <v>0.99567000000000005</v>
      </c>
      <c r="G623" s="75">
        <v>33.936</v>
      </c>
      <c r="H623" s="88">
        <v>0.99821570000000004</v>
      </c>
      <c r="I623" s="77">
        <v>0.98956160000000004</v>
      </c>
      <c r="J623" s="15">
        <v>65.391999999999996</v>
      </c>
      <c r="R623" s="53">
        <v>464.7</v>
      </c>
      <c r="S623" s="76">
        <v>2.4820941999999999E-2</v>
      </c>
      <c r="T623" s="138">
        <v>0.35784405000000002</v>
      </c>
    </row>
    <row r="624" spans="5:20">
      <c r="E624" s="130">
        <v>0.99946999999999997</v>
      </c>
      <c r="F624" s="77">
        <v>0.99563999999999997</v>
      </c>
      <c r="G624" s="75">
        <v>33.936999999999998</v>
      </c>
      <c r="H624" s="88">
        <v>0.99821130000000002</v>
      </c>
      <c r="I624" s="77">
        <v>0.98954386000000005</v>
      </c>
      <c r="J624" s="15">
        <v>65.393000000000001</v>
      </c>
      <c r="R624" s="53">
        <v>464.8</v>
      </c>
      <c r="S624" s="76">
        <v>2.4613624000000001E-2</v>
      </c>
      <c r="T624" s="138">
        <v>0.35583749999999997</v>
      </c>
    </row>
    <row r="625" spans="5:20">
      <c r="E625" s="130">
        <v>0.99946000000000002</v>
      </c>
      <c r="F625" s="77">
        <v>0.99560999999999999</v>
      </c>
      <c r="G625" s="75">
        <v>33.938000000000002</v>
      </c>
      <c r="H625" s="88">
        <v>0.99820699999999996</v>
      </c>
      <c r="I625" s="77">
        <v>0.98952602999999995</v>
      </c>
      <c r="J625" s="15">
        <v>65.394000000000005</v>
      </c>
      <c r="R625" s="53">
        <v>464.9</v>
      </c>
      <c r="S625" s="76">
        <v>2.4407123999999999E-2</v>
      </c>
      <c r="T625" s="138">
        <v>0.35382649999999999</v>
      </c>
    </row>
    <row r="626" spans="5:20">
      <c r="E626" s="130">
        <v>0.99946000000000002</v>
      </c>
      <c r="F626" s="77">
        <v>0.99556999999999995</v>
      </c>
      <c r="G626" s="75">
        <v>33.939</v>
      </c>
      <c r="H626" s="88">
        <v>0.99820260000000005</v>
      </c>
      <c r="I626" s="77">
        <v>0.98950819999999995</v>
      </c>
      <c r="J626" s="15">
        <v>65.394999999999996</v>
      </c>
      <c r="R626" s="53">
        <v>465</v>
      </c>
      <c r="S626" s="76">
        <v>2.4201437999999999E-2</v>
      </c>
      <c r="T626" s="138">
        <v>0.35181096000000001</v>
      </c>
    </row>
    <row r="627" spans="5:20">
      <c r="E627" s="130">
        <v>0.99944999999999995</v>
      </c>
      <c r="F627" s="77">
        <v>0.99553999999999998</v>
      </c>
      <c r="G627" s="75">
        <v>33.94</v>
      </c>
      <c r="H627" s="88">
        <v>0.99819829999999998</v>
      </c>
      <c r="I627" s="77">
        <v>0.98949039999999999</v>
      </c>
      <c r="J627" s="15">
        <v>65.396000000000001</v>
      </c>
      <c r="R627" s="53">
        <v>465.1</v>
      </c>
      <c r="S627" s="76">
        <v>2.3996558000000001E-2</v>
      </c>
      <c r="T627" s="138">
        <v>0.34979095999999998</v>
      </c>
    </row>
    <row r="628" spans="5:20">
      <c r="E628" s="130">
        <v>0.99944999999999995</v>
      </c>
      <c r="F628" s="77">
        <v>0.99551000000000001</v>
      </c>
      <c r="G628" s="75">
        <v>33.941000000000003</v>
      </c>
      <c r="H628" s="88">
        <v>0.99819389999999997</v>
      </c>
      <c r="I628" s="77">
        <v>0.98947257</v>
      </c>
      <c r="J628" s="15">
        <v>65.397000000000006</v>
      </c>
      <c r="R628" s="53">
        <v>465.2</v>
      </c>
      <c r="S628" s="76">
        <v>2.3792480000000001E-2</v>
      </c>
      <c r="T628" s="138">
        <v>0.34776649999999998</v>
      </c>
    </row>
    <row r="629" spans="5:20">
      <c r="E629" s="130">
        <v>0.99944</v>
      </c>
      <c r="F629" s="77">
        <v>0.99548000000000003</v>
      </c>
      <c r="G629" s="75">
        <v>33.942</v>
      </c>
      <c r="H629" s="88">
        <v>0.99818956999999997</v>
      </c>
      <c r="I629" s="77">
        <v>0.98945475000000005</v>
      </c>
      <c r="J629" s="15">
        <v>65.397999999999996</v>
      </c>
      <c r="R629" s="53">
        <v>465.3</v>
      </c>
      <c r="S629" s="76">
        <v>2.3589194000000001E-2</v>
      </c>
      <c r="T629" s="138">
        <v>0.34573749999999998</v>
      </c>
    </row>
    <row r="630" spans="5:20">
      <c r="E630" s="130">
        <v>0.99944</v>
      </c>
      <c r="F630" s="77">
        <v>0.99543999999999999</v>
      </c>
      <c r="G630" s="75">
        <v>33.942999999999998</v>
      </c>
      <c r="H630" s="88">
        <v>0.99818516000000002</v>
      </c>
      <c r="I630" s="77">
        <v>0.98943689999999995</v>
      </c>
      <c r="J630" s="15">
        <v>65.399000000000001</v>
      </c>
      <c r="R630" s="53">
        <v>465.4</v>
      </c>
      <c r="S630" s="76">
        <v>2.3386695999999998E-2</v>
      </c>
      <c r="T630" s="138">
        <v>0.34370400000000001</v>
      </c>
    </row>
    <row r="631" spans="5:20">
      <c r="E631" s="130">
        <v>0.99943000000000004</v>
      </c>
      <c r="F631" s="77">
        <v>0.99541000000000002</v>
      </c>
      <c r="G631" s="75">
        <v>33.944000000000003</v>
      </c>
      <c r="H631" s="88">
        <v>0.99818079999999998</v>
      </c>
      <c r="I631" s="77">
        <v>0.9894191</v>
      </c>
      <c r="J631" s="15">
        <v>65.400000000000006</v>
      </c>
      <c r="R631" s="53">
        <v>465.5</v>
      </c>
      <c r="S631" s="76">
        <v>2.3184980000000001E-2</v>
      </c>
      <c r="T631" s="138">
        <v>0.34166600000000003</v>
      </c>
    </row>
    <row r="632" spans="5:20">
      <c r="E632" s="130">
        <v>0.99943000000000004</v>
      </c>
      <c r="F632" s="77">
        <v>0.99538000000000004</v>
      </c>
      <c r="G632" s="75">
        <v>33.945</v>
      </c>
      <c r="H632" s="88">
        <v>0.99817639999999996</v>
      </c>
      <c r="I632" s="77">
        <v>0.98940130000000004</v>
      </c>
      <c r="J632" s="15">
        <v>65.400999999999996</v>
      </c>
      <c r="R632" s="53">
        <v>465.6</v>
      </c>
      <c r="S632" s="76">
        <v>2.2984036999999999E-2</v>
      </c>
      <c r="T632" s="138">
        <v>0.33962347999999998</v>
      </c>
    </row>
    <row r="633" spans="5:20">
      <c r="E633" s="130">
        <v>0.99941999999999998</v>
      </c>
      <c r="F633" s="77">
        <v>0.99534</v>
      </c>
      <c r="G633" s="75">
        <v>33.945999999999998</v>
      </c>
      <c r="H633" s="88">
        <v>0.99817199999999995</v>
      </c>
      <c r="I633" s="77">
        <v>0.98938345999999999</v>
      </c>
      <c r="J633" s="15">
        <v>65.402000000000001</v>
      </c>
      <c r="R633" s="53">
        <v>465.7</v>
      </c>
      <c r="S633" s="76">
        <v>2.2783861999999998E-2</v>
      </c>
      <c r="T633" s="138">
        <v>0.33757648000000001</v>
      </c>
    </row>
    <row r="634" spans="5:20">
      <c r="E634" s="130">
        <v>0.99941999999999998</v>
      </c>
      <c r="F634" s="77">
        <v>0.99531000000000003</v>
      </c>
      <c r="G634" s="75">
        <v>33.947000000000003</v>
      </c>
      <c r="H634" s="88">
        <v>0.99816760000000004</v>
      </c>
      <c r="I634" s="77">
        <v>0.98936564000000005</v>
      </c>
      <c r="J634" s="15">
        <v>65.403000000000006</v>
      </c>
      <c r="R634" s="53">
        <v>465.8</v>
      </c>
      <c r="S634" s="76">
        <v>2.2584453000000001E-2</v>
      </c>
      <c r="T634" s="138">
        <v>0.33552494999999999</v>
      </c>
    </row>
    <row r="635" spans="5:20">
      <c r="E635" s="130">
        <v>0.99941000000000002</v>
      </c>
      <c r="F635" s="77">
        <v>0.99528000000000005</v>
      </c>
      <c r="G635" s="75">
        <v>33.948</v>
      </c>
      <c r="H635" s="88">
        <v>0.99816316000000005</v>
      </c>
      <c r="I635" s="77">
        <v>0.98934776000000002</v>
      </c>
      <c r="J635" s="15">
        <v>65.403999999999996</v>
      </c>
      <c r="R635" s="53">
        <v>465.9</v>
      </c>
      <c r="S635" s="76">
        <v>2.2385797999999998E-2</v>
      </c>
      <c r="T635" s="138">
        <v>0.33346888000000002</v>
      </c>
    </row>
    <row r="636" spans="5:20">
      <c r="E636" s="130">
        <v>0.99941000000000002</v>
      </c>
      <c r="F636" s="77">
        <v>0.99524999999999997</v>
      </c>
      <c r="G636" s="75">
        <v>33.948999999999998</v>
      </c>
      <c r="H636" s="88">
        <v>0.99815874999999998</v>
      </c>
      <c r="I636" s="77">
        <v>0.98932993000000002</v>
      </c>
      <c r="J636" s="15">
        <v>65.405000000000001</v>
      </c>
      <c r="R636" s="53">
        <v>466</v>
      </c>
      <c r="S636" s="76">
        <v>2.2187895999999999E-2</v>
      </c>
      <c r="T636" s="138">
        <v>0.33140831999999998</v>
      </c>
    </row>
    <row r="637" spans="5:20">
      <c r="E637" s="130">
        <v>0.99939999999999996</v>
      </c>
      <c r="F637" s="77">
        <v>0.99521000000000004</v>
      </c>
      <c r="G637" s="75">
        <v>33.950000000000003</v>
      </c>
      <c r="H637" s="88">
        <v>0.99815434000000003</v>
      </c>
      <c r="I637" s="77">
        <v>0.98931210000000003</v>
      </c>
      <c r="J637" s="15">
        <v>65.406000000000006</v>
      </c>
      <c r="R637" s="53">
        <v>466.1</v>
      </c>
      <c r="S637" s="76">
        <v>2.1990737E-2</v>
      </c>
      <c r="T637" s="138">
        <v>0.32934322999999999</v>
      </c>
    </row>
    <row r="638" spans="5:20">
      <c r="E638" s="130">
        <v>0.99939999999999996</v>
      </c>
      <c r="F638" s="77">
        <v>0.99517999999999995</v>
      </c>
      <c r="G638" s="75">
        <v>33.951000000000001</v>
      </c>
      <c r="H638" s="88">
        <v>0.99814992999999996</v>
      </c>
      <c r="I638" s="77">
        <v>0.98929423000000005</v>
      </c>
      <c r="J638" s="15">
        <v>65.406999999999996</v>
      </c>
      <c r="R638" s="53">
        <v>466.2</v>
      </c>
      <c r="S638" s="76">
        <v>2.1794317000000001E-2</v>
      </c>
      <c r="T638" s="138">
        <v>0.32727358000000001</v>
      </c>
    </row>
    <row r="639" spans="5:20">
      <c r="E639" s="130">
        <v>0.99939</v>
      </c>
      <c r="F639" s="77">
        <v>0.99514999999999998</v>
      </c>
      <c r="G639" s="75">
        <v>33.951999999999998</v>
      </c>
      <c r="H639" s="88">
        <v>0.99814546000000004</v>
      </c>
      <c r="I639" s="77">
        <v>0.98927639999999994</v>
      </c>
      <c r="J639" s="15">
        <v>65.408000000000001</v>
      </c>
      <c r="R639" s="53">
        <v>466.3</v>
      </c>
      <c r="S639" s="76">
        <v>2.1598632E-2</v>
      </c>
      <c r="T639" s="138">
        <v>0.32519943000000001</v>
      </c>
    </row>
    <row r="640" spans="5:20">
      <c r="E640" s="130">
        <v>0.99939</v>
      </c>
      <c r="F640" s="77">
        <v>0.99511000000000005</v>
      </c>
      <c r="G640" s="75">
        <v>33.953000000000003</v>
      </c>
      <c r="H640" s="88">
        <v>0.99814099999999994</v>
      </c>
      <c r="I640" s="77">
        <v>0.98925859999999999</v>
      </c>
      <c r="J640" s="15">
        <v>65.409000000000006</v>
      </c>
      <c r="R640" s="53">
        <v>466.4</v>
      </c>
      <c r="S640" s="76">
        <v>2.1403674000000001E-2</v>
      </c>
      <c r="T640" s="138">
        <v>0.32312069999999998</v>
      </c>
    </row>
    <row r="641" spans="5:20">
      <c r="E641" s="130">
        <v>0.99938000000000005</v>
      </c>
      <c r="F641" s="77">
        <v>0.99507999999999996</v>
      </c>
      <c r="G641" s="75">
        <v>33.954000000000001</v>
      </c>
      <c r="H641" s="88">
        <v>0.99813660000000004</v>
      </c>
      <c r="I641" s="77">
        <v>0.98924069999999997</v>
      </c>
      <c r="J641" s="15">
        <v>65.41</v>
      </c>
      <c r="R641" s="53">
        <v>466.5</v>
      </c>
      <c r="S641" s="76">
        <v>2.1209437000000001E-2</v>
      </c>
      <c r="T641" s="138">
        <v>0.32103746999999999</v>
      </c>
    </row>
    <row r="642" spans="5:20">
      <c r="E642" s="130">
        <v>0.99938000000000005</v>
      </c>
      <c r="F642" s="77">
        <v>0.99504999999999999</v>
      </c>
      <c r="G642" s="75">
        <v>33.954999999999998</v>
      </c>
      <c r="H642" s="88">
        <v>0.99813209999999997</v>
      </c>
      <c r="I642" s="77">
        <v>0.98922290000000002</v>
      </c>
      <c r="J642" s="15">
        <v>65.411000000000001</v>
      </c>
      <c r="R642" s="53">
        <v>466.6</v>
      </c>
      <c r="S642" s="76">
        <v>2.1015915999999999E-2</v>
      </c>
      <c r="T642" s="138">
        <v>0.3189497</v>
      </c>
    </row>
    <row r="643" spans="5:20">
      <c r="E643" s="130">
        <v>0.99936999999999998</v>
      </c>
      <c r="F643" s="77">
        <v>0.99500999999999995</v>
      </c>
      <c r="G643" s="75">
        <v>33.956000000000003</v>
      </c>
      <c r="H643" s="88">
        <v>0.99812763999999998</v>
      </c>
      <c r="I643" s="77">
        <v>0.989205</v>
      </c>
      <c r="J643" s="15">
        <v>65.412000000000006</v>
      </c>
      <c r="R643" s="53">
        <v>466.7</v>
      </c>
      <c r="S643" s="76">
        <v>2.0823106000000001E-2</v>
      </c>
      <c r="T643" s="138">
        <v>0.31685733999999999</v>
      </c>
    </row>
    <row r="644" spans="5:20">
      <c r="E644" s="130">
        <v>0.99936999999999998</v>
      </c>
      <c r="F644" s="77">
        <v>0.99497999999999998</v>
      </c>
      <c r="G644" s="75">
        <v>33.957000000000001</v>
      </c>
      <c r="H644" s="88">
        <v>0.99812316999999995</v>
      </c>
      <c r="I644" s="77">
        <v>0.98918720000000004</v>
      </c>
      <c r="J644" s="15">
        <v>65.412999999999997</v>
      </c>
      <c r="R644" s="53">
        <v>466.8</v>
      </c>
      <c r="S644" s="76">
        <v>2.0631001999999999E-2</v>
      </c>
      <c r="T644" s="138">
        <v>0.31476048000000001</v>
      </c>
    </row>
    <row r="645" spans="5:20">
      <c r="E645" s="130">
        <v>0.99936000000000003</v>
      </c>
      <c r="F645" s="77">
        <v>0.99495</v>
      </c>
      <c r="G645" s="75">
        <v>33.957999999999998</v>
      </c>
      <c r="H645" s="88">
        <v>0.99811870000000003</v>
      </c>
      <c r="I645" s="77">
        <v>0.98916930000000003</v>
      </c>
      <c r="J645" s="15">
        <v>65.414000000000001</v>
      </c>
      <c r="R645" s="53">
        <v>466.9</v>
      </c>
      <c r="S645" s="76">
        <v>2.0439598999999999E-2</v>
      </c>
      <c r="T645" s="138">
        <v>0.31265903</v>
      </c>
    </row>
    <row r="646" spans="5:20">
      <c r="E646" s="130">
        <v>0.99936000000000003</v>
      </c>
      <c r="F646" s="77">
        <v>0.99492000000000003</v>
      </c>
      <c r="G646" s="75">
        <v>33.959000000000003</v>
      </c>
      <c r="H646" s="88">
        <v>0.99811417000000002</v>
      </c>
      <c r="I646" s="77">
        <v>0.98915140000000001</v>
      </c>
      <c r="J646" s="15">
        <v>65.415000000000006</v>
      </c>
      <c r="R646" s="53">
        <v>467</v>
      </c>
      <c r="S646" s="76">
        <v>2.0248888E-2</v>
      </c>
      <c r="T646" s="138">
        <v>0.31055300000000002</v>
      </c>
    </row>
    <row r="647" spans="5:20">
      <c r="E647" s="130">
        <v>0.99934999999999996</v>
      </c>
      <c r="F647" s="77">
        <v>0.99487999999999999</v>
      </c>
      <c r="G647" s="75">
        <v>33.96</v>
      </c>
      <c r="H647" s="88">
        <v>0.99810969999999999</v>
      </c>
      <c r="I647" s="77">
        <v>0.98913359999999995</v>
      </c>
      <c r="J647" s="15">
        <v>65.415999999999997</v>
      </c>
      <c r="R647" s="53">
        <v>467.1</v>
      </c>
      <c r="S647" s="76">
        <v>2.0058867000000001E-2</v>
      </c>
      <c r="T647" s="138">
        <v>0.30844243999999998</v>
      </c>
    </row>
    <row r="648" spans="5:20">
      <c r="E648" s="130">
        <v>0.99934000000000001</v>
      </c>
      <c r="F648" s="77">
        <v>0.99485000000000001</v>
      </c>
      <c r="G648" s="75">
        <v>33.960999999999999</v>
      </c>
      <c r="H648" s="88">
        <v>0.99810516999999999</v>
      </c>
      <c r="I648" s="77">
        <v>0.98911570000000004</v>
      </c>
      <c r="J648" s="15">
        <v>65.417000000000002</v>
      </c>
      <c r="R648" s="53">
        <v>467.2</v>
      </c>
      <c r="S648" s="76">
        <v>1.986953E-2</v>
      </c>
      <c r="T648" s="138">
        <v>0.30632730000000002</v>
      </c>
    </row>
    <row r="649" spans="5:20">
      <c r="E649" s="130">
        <v>0.99934000000000001</v>
      </c>
      <c r="F649" s="77">
        <v>0.99482000000000004</v>
      </c>
      <c r="G649" s="75">
        <v>33.962000000000003</v>
      </c>
      <c r="H649" s="88">
        <v>0.99810069999999995</v>
      </c>
      <c r="I649" s="77">
        <v>0.98909782999999996</v>
      </c>
      <c r="J649" s="15">
        <v>65.418000000000006</v>
      </c>
      <c r="R649" s="53">
        <v>467.3</v>
      </c>
      <c r="S649" s="76">
        <v>1.9680873000000002E-2</v>
      </c>
      <c r="T649" s="138">
        <v>0.30420762000000001</v>
      </c>
    </row>
    <row r="650" spans="5:20">
      <c r="E650" s="130">
        <v>0.99933000000000005</v>
      </c>
      <c r="F650" s="77">
        <v>0.99478</v>
      </c>
      <c r="G650" s="75">
        <v>33.963000000000001</v>
      </c>
      <c r="H650" s="88">
        <v>0.99809616999999995</v>
      </c>
      <c r="I650" s="77">
        <v>0.98907995000000004</v>
      </c>
      <c r="J650" s="15">
        <v>65.418999999999997</v>
      </c>
      <c r="R650" s="53">
        <v>467.4</v>
      </c>
      <c r="S650" s="76">
        <v>1.9492888999999999E-2</v>
      </c>
      <c r="T650" s="138">
        <v>0.30208337000000002</v>
      </c>
    </row>
    <row r="651" spans="5:20">
      <c r="E651" s="130">
        <v>0.99933000000000005</v>
      </c>
      <c r="F651" s="77">
        <v>0.99475000000000002</v>
      </c>
      <c r="G651" s="75">
        <v>33.963999999999999</v>
      </c>
      <c r="H651" s="88">
        <v>0.99809163999999995</v>
      </c>
      <c r="I651" s="77">
        <v>0.98906210000000006</v>
      </c>
      <c r="J651" s="15">
        <v>65.42</v>
      </c>
      <c r="R651" s="53">
        <v>467.5</v>
      </c>
      <c r="S651" s="76">
        <v>1.9305572E-2</v>
      </c>
      <c r="T651" s="138">
        <v>0.29995453</v>
      </c>
    </row>
    <row r="652" spans="5:20">
      <c r="E652" s="130">
        <v>0.99931999999999999</v>
      </c>
      <c r="F652" s="77">
        <v>0.99472000000000005</v>
      </c>
      <c r="G652" s="75">
        <v>33.965000000000003</v>
      </c>
      <c r="H652" s="88">
        <v>0.9980871</v>
      </c>
      <c r="I652" s="77">
        <v>0.98904420000000004</v>
      </c>
      <c r="J652" s="15">
        <v>65.421000000000006</v>
      </c>
      <c r="R652" s="53">
        <v>467.6</v>
      </c>
      <c r="S652" s="76">
        <v>1.9118920000000001E-2</v>
      </c>
      <c r="T652" s="138">
        <v>0.29782110000000001</v>
      </c>
    </row>
    <row r="653" spans="5:20">
      <c r="E653" s="130">
        <v>0.99931999999999999</v>
      </c>
      <c r="F653" s="77">
        <v>0.99468000000000001</v>
      </c>
      <c r="G653" s="75">
        <v>33.966000000000001</v>
      </c>
      <c r="H653" s="88">
        <v>0.99808260000000004</v>
      </c>
      <c r="I653" s="77">
        <v>0.98902637000000004</v>
      </c>
      <c r="J653" s="15">
        <v>65.421999999999997</v>
      </c>
      <c r="R653" s="53">
        <v>467.7</v>
      </c>
      <c r="S653" s="76">
        <v>1.8932925999999999E-2</v>
      </c>
      <c r="T653" s="138">
        <v>0.29568312000000002</v>
      </c>
    </row>
    <row r="654" spans="5:20">
      <c r="E654" s="130">
        <v>0.99931000000000003</v>
      </c>
      <c r="F654" s="77">
        <v>0.99465000000000003</v>
      </c>
      <c r="G654" s="75">
        <v>33.966999999999999</v>
      </c>
      <c r="H654" s="88">
        <v>0.99807800000000002</v>
      </c>
      <c r="I654" s="77">
        <v>0.98900849999999996</v>
      </c>
      <c r="J654" s="15">
        <v>65.423000000000002</v>
      </c>
      <c r="R654" s="53">
        <v>467.8</v>
      </c>
      <c r="S654" s="76">
        <v>1.8747585000000001E-2</v>
      </c>
      <c r="T654" s="138">
        <v>0.29354054000000002</v>
      </c>
    </row>
    <row r="655" spans="5:20">
      <c r="E655" s="130">
        <v>0.99931000000000003</v>
      </c>
      <c r="F655" s="77">
        <v>0.99461999999999995</v>
      </c>
      <c r="G655" s="75">
        <v>33.968000000000004</v>
      </c>
      <c r="H655" s="88">
        <v>0.99807345999999997</v>
      </c>
      <c r="I655" s="77">
        <v>0.98899060000000005</v>
      </c>
      <c r="J655" s="15">
        <v>65.424000000000007</v>
      </c>
      <c r="R655" s="53">
        <v>467.9</v>
      </c>
      <c r="S655" s="76">
        <v>1.8562892000000001E-2</v>
      </c>
      <c r="T655" s="138">
        <v>0.29139336999999998</v>
      </c>
    </row>
    <row r="656" spans="5:20">
      <c r="E656" s="130">
        <v>0.99929999999999997</v>
      </c>
      <c r="F656" s="77">
        <v>0.99458000000000002</v>
      </c>
      <c r="G656" s="75">
        <v>33.969000000000001</v>
      </c>
      <c r="H656" s="88">
        <v>0.99806887</v>
      </c>
      <c r="I656" s="77">
        <v>0.98897265999999995</v>
      </c>
      <c r="J656" s="15">
        <v>65.424999999999997</v>
      </c>
      <c r="R656" s="53">
        <v>468</v>
      </c>
      <c r="S656" s="76">
        <v>1.8378843999999998E-2</v>
      </c>
      <c r="T656" s="138">
        <v>0.28924159999999999</v>
      </c>
    </row>
    <row r="657" spans="5:20">
      <c r="E657" s="130">
        <v>0.99929999999999997</v>
      </c>
      <c r="F657" s="77">
        <v>0.99455000000000005</v>
      </c>
      <c r="G657" s="75">
        <v>33.97</v>
      </c>
      <c r="H657" s="88">
        <v>0.99806433999999999</v>
      </c>
      <c r="I657" s="77">
        <v>0.98895480000000002</v>
      </c>
      <c r="J657" s="15">
        <v>65.426000000000002</v>
      </c>
      <c r="R657" s="53">
        <v>468.1</v>
      </c>
      <c r="S657" s="76">
        <v>1.8195434999999999E-2</v>
      </c>
      <c r="T657" s="138">
        <v>0.28708526000000001</v>
      </c>
    </row>
    <row r="658" spans="5:20">
      <c r="E658" s="130">
        <v>0.99929000000000001</v>
      </c>
      <c r="F658" s="77">
        <v>0.99451999999999996</v>
      </c>
      <c r="G658" s="75">
        <v>33.970999999999997</v>
      </c>
      <c r="H658" s="88">
        <v>0.99805975000000002</v>
      </c>
      <c r="I658" s="77">
        <v>0.98893690000000001</v>
      </c>
      <c r="J658" s="15">
        <v>65.427000000000007</v>
      </c>
      <c r="R658" s="53">
        <v>468.2</v>
      </c>
      <c r="S658" s="76">
        <v>1.801266E-2</v>
      </c>
      <c r="T658" s="138">
        <v>0.28492433</v>
      </c>
    </row>
    <row r="659" spans="5:20">
      <c r="E659" s="130">
        <v>0.99927999999999995</v>
      </c>
      <c r="F659" s="77">
        <v>0.99448999999999999</v>
      </c>
      <c r="G659" s="75">
        <v>33.972000000000001</v>
      </c>
      <c r="H659" s="88">
        <v>0.99805516000000005</v>
      </c>
      <c r="I659" s="77">
        <v>0.98891899999999999</v>
      </c>
      <c r="J659" s="15">
        <v>65.427999999999997</v>
      </c>
      <c r="R659" s="53">
        <v>468.3</v>
      </c>
      <c r="S659" s="76">
        <v>1.7830512999999999E-2</v>
      </c>
      <c r="T659" s="138">
        <v>0.28275876999999999</v>
      </c>
    </row>
    <row r="660" spans="5:20">
      <c r="E660" s="130">
        <v>0.99927999999999995</v>
      </c>
      <c r="F660" s="77">
        <v>0.99444999999999995</v>
      </c>
      <c r="G660" s="75">
        <v>33.972999999999999</v>
      </c>
      <c r="H660" s="88">
        <v>0.99805060000000001</v>
      </c>
      <c r="I660" s="77">
        <v>0.98890113999999996</v>
      </c>
      <c r="J660" s="15">
        <v>65.429000000000002</v>
      </c>
      <c r="R660" s="53">
        <v>468.4</v>
      </c>
      <c r="S660" s="76">
        <v>1.7648993000000002E-2</v>
      </c>
      <c r="T660" s="138">
        <v>0.28058863000000001</v>
      </c>
    </row>
    <row r="661" spans="5:20">
      <c r="E661" s="130">
        <v>0.99926999999999999</v>
      </c>
      <c r="F661" s="77">
        <v>0.99441999999999997</v>
      </c>
      <c r="G661" s="75">
        <v>33.973999999999997</v>
      </c>
      <c r="H661" s="88">
        <v>0.99804599999999999</v>
      </c>
      <c r="I661" s="77">
        <v>0.98888326000000004</v>
      </c>
      <c r="J661" s="15">
        <v>65.430000000000007</v>
      </c>
      <c r="R661" s="53">
        <v>468.5</v>
      </c>
      <c r="S661" s="76">
        <v>1.7468091000000002E-2</v>
      </c>
      <c r="T661" s="138">
        <v>0.27841389999999999</v>
      </c>
    </row>
    <row r="662" spans="5:20">
      <c r="E662" s="130">
        <v>0.99926999999999999</v>
      </c>
      <c r="F662" s="77">
        <v>0.99439</v>
      </c>
      <c r="G662" s="75">
        <v>33.975000000000001</v>
      </c>
      <c r="H662" s="88">
        <v>0.99804139999999997</v>
      </c>
      <c r="I662" s="77">
        <v>0.98886529999999995</v>
      </c>
      <c r="J662" s="15">
        <v>65.430999999999997</v>
      </c>
      <c r="R662" s="53">
        <v>468.6</v>
      </c>
      <c r="S662" s="76">
        <v>1.7287808000000002E-2</v>
      </c>
      <c r="T662" s="138">
        <v>0.27623453999999997</v>
      </c>
    </row>
    <row r="663" spans="5:20">
      <c r="E663" s="130">
        <v>0.99926000000000004</v>
      </c>
      <c r="F663" s="77">
        <v>0.99434999999999996</v>
      </c>
      <c r="G663" s="75">
        <v>33.975999999999999</v>
      </c>
      <c r="H663" s="88">
        <v>0.99803673999999998</v>
      </c>
      <c r="I663" s="77">
        <v>0.98884742999999997</v>
      </c>
      <c r="J663" s="15">
        <v>65.432000000000002</v>
      </c>
      <c r="R663" s="53">
        <v>468.7</v>
      </c>
      <c r="S663" s="76">
        <v>1.7108133000000001E-2</v>
      </c>
      <c r="T663" s="138">
        <v>0.27405059999999998</v>
      </c>
    </row>
    <row r="664" spans="5:20">
      <c r="E664" s="130">
        <v>0.99926000000000004</v>
      </c>
      <c r="F664" s="77">
        <v>0.99431999999999998</v>
      </c>
      <c r="G664" s="75">
        <v>33.976999999999997</v>
      </c>
      <c r="H664" s="88">
        <v>0.99803215000000001</v>
      </c>
      <c r="I664" s="77">
        <v>0.98882954999999995</v>
      </c>
      <c r="J664" s="15">
        <v>65.433000000000007</v>
      </c>
      <c r="R664" s="53">
        <v>468.8</v>
      </c>
      <c r="S664" s="76">
        <v>1.6929066E-2</v>
      </c>
      <c r="T664" s="138">
        <v>0.27186202999999998</v>
      </c>
    </row>
    <row r="665" spans="5:20">
      <c r="E665" s="130">
        <v>0.99924999999999997</v>
      </c>
      <c r="F665" s="77">
        <v>0.99429000000000001</v>
      </c>
      <c r="G665" s="75">
        <v>33.978000000000002</v>
      </c>
      <c r="H665" s="88">
        <v>0.99802749999999996</v>
      </c>
      <c r="I665" s="77">
        <v>0.98881160000000001</v>
      </c>
      <c r="J665" s="15">
        <v>65.433999999999997</v>
      </c>
      <c r="R665" s="53">
        <v>468.9</v>
      </c>
      <c r="S665" s="76">
        <v>1.6750600000000001E-2</v>
      </c>
      <c r="T665" s="138">
        <v>0.26966885000000002</v>
      </c>
    </row>
    <row r="666" spans="5:20">
      <c r="E666" s="130">
        <v>0.99924999999999997</v>
      </c>
      <c r="F666" s="77">
        <v>0.99424999999999997</v>
      </c>
      <c r="G666" s="75">
        <v>33.978999999999999</v>
      </c>
      <c r="H666" s="88">
        <v>0.99802285000000002</v>
      </c>
      <c r="I666" s="77">
        <v>0.98879373000000004</v>
      </c>
      <c r="J666" s="15">
        <v>65.435000000000002</v>
      </c>
      <c r="R666" s="53">
        <v>469</v>
      </c>
      <c r="S666" s="76">
        <v>1.6572732E-2</v>
      </c>
      <c r="T666" s="138">
        <v>0.26747104999999999</v>
      </c>
    </row>
    <row r="667" spans="5:20">
      <c r="E667" s="130">
        <v>0.99924000000000002</v>
      </c>
      <c r="F667" s="77">
        <v>0.99421999999999999</v>
      </c>
      <c r="G667" s="75">
        <v>33.979999999999997</v>
      </c>
      <c r="H667" s="88">
        <v>0.99801819999999997</v>
      </c>
      <c r="I667" s="77">
        <v>0.98877579999999998</v>
      </c>
      <c r="J667" s="15">
        <v>65.436000000000007</v>
      </c>
      <c r="R667" s="53">
        <v>469.1</v>
      </c>
      <c r="S667" s="76">
        <v>1.6395456999999999E-2</v>
      </c>
      <c r="T667" s="138">
        <v>0.26526862000000001</v>
      </c>
    </row>
    <row r="668" spans="5:20">
      <c r="E668" s="130">
        <v>0.99922999999999995</v>
      </c>
      <c r="F668" s="77">
        <v>0.99419000000000002</v>
      </c>
      <c r="G668" s="75">
        <v>33.981000000000002</v>
      </c>
      <c r="H668" s="88">
        <v>0.99801355999999997</v>
      </c>
      <c r="I668" s="77">
        <v>0.98875789999999997</v>
      </c>
      <c r="J668" s="15">
        <v>65.436999999999998</v>
      </c>
      <c r="R668" s="53">
        <v>469.2</v>
      </c>
      <c r="S668" s="76">
        <v>1.6218771999999999E-2</v>
      </c>
      <c r="T668" s="138">
        <v>0.26306158000000002</v>
      </c>
    </row>
    <row r="669" spans="5:20">
      <c r="E669" s="130">
        <v>0.99922999999999995</v>
      </c>
      <c r="F669" s="77">
        <v>0.99414999999999998</v>
      </c>
      <c r="G669" s="75">
        <v>33.981999999999999</v>
      </c>
      <c r="H669" s="88">
        <v>0.99800889999999998</v>
      </c>
      <c r="I669" s="77">
        <v>0.98873997000000002</v>
      </c>
      <c r="J669" s="15">
        <v>65.438000000000002</v>
      </c>
      <c r="R669" s="53">
        <v>469.3</v>
      </c>
      <c r="S669" s="76">
        <v>1.6042672000000001E-2</v>
      </c>
      <c r="T669" s="138">
        <v>0.26084992000000001</v>
      </c>
    </row>
    <row r="670" spans="5:20">
      <c r="E670" s="130">
        <v>0.99922</v>
      </c>
      <c r="F670" s="77">
        <v>0.99412</v>
      </c>
      <c r="G670" s="75">
        <v>33.982999999999997</v>
      </c>
      <c r="H670" s="88">
        <v>0.99800425999999998</v>
      </c>
      <c r="I670" s="77">
        <v>0.98872199999999999</v>
      </c>
      <c r="J670" s="15">
        <v>65.438999999999993</v>
      </c>
      <c r="R670" s="53">
        <v>469.4</v>
      </c>
      <c r="S670" s="76">
        <v>1.5867152999999998E-2</v>
      </c>
      <c r="T670" s="138">
        <v>0.25863364</v>
      </c>
    </row>
    <row r="671" spans="5:20">
      <c r="E671" s="130">
        <v>0.99922</v>
      </c>
      <c r="F671" s="77">
        <v>0.99409000000000003</v>
      </c>
      <c r="G671" s="75">
        <v>33.984000000000002</v>
      </c>
      <c r="H671" s="88">
        <v>0.99799959999999999</v>
      </c>
      <c r="I671" s="77">
        <v>0.98870413999999995</v>
      </c>
      <c r="J671" s="15">
        <v>65.44</v>
      </c>
      <c r="R671" s="53">
        <v>469.5</v>
      </c>
      <c r="S671" s="76">
        <v>1.5692210000000002E-2</v>
      </c>
      <c r="T671" s="138">
        <v>0.25641269999999999</v>
      </c>
    </row>
    <row r="672" spans="5:20">
      <c r="E672" s="130">
        <v>0.99921000000000004</v>
      </c>
      <c r="F672" s="77">
        <v>0.99404999999999999</v>
      </c>
      <c r="G672" s="75">
        <v>33.984999999999999</v>
      </c>
      <c r="H672" s="88">
        <v>0.99799490000000002</v>
      </c>
      <c r="I672" s="77">
        <v>0.98868619999999996</v>
      </c>
      <c r="J672" s="15">
        <v>65.441000000000003</v>
      </c>
      <c r="R672" s="53">
        <v>469.6</v>
      </c>
      <c r="S672" s="76">
        <v>1.5517838000000001E-2</v>
      </c>
      <c r="T672" s="138">
        <v>0.25418717000000002</v>
      </c>
    </row>
    <row r="673" spans="5:20">
      <c r="E673" s="130">
        <v>0.99921000000000004</v>
      </c>
      <c r="F673" s="77">
        <v>0.99402000000000001</v>
      </c>
      <c r="G673" s="75">
        <v>33.985999999999997</v>
      </c>
      <c r="H673" s="88">
        <v>0.99799020000000005</v>
      </c>
      <c r="I673" s="77">
        <v>0.98866825999999997</v>
      </c>
      <c r="J673" s="15">
        <v>65.441999999999993</v>
      </c>
      <c r="R673" s="53">
        <v>469.7</v>
      </c>
      <c r="S673" s="76">
        <v>1.5344036E-2</v>
      </c>
      <c r="T673" s="138">
        <v>0.25195699999999999</v>
      </c>
    </row>
    <row r="674" spans="5:20">
      <c r="E674" s="130">
        <v>0.99919999999999998</v>
      </c>
      <c r="F674" s="77">
        <v>0.99399000000000004</v>
      </c>
      <c r="G674" s="75">
        <v>33.987000000000002</v>
      </c>
      <c r="H674" s="88">
        <v>0.99798553999999995</v>
      </c>
      <c r="I674" s="77">
        <v>0.98865029999999998</v>
      </c>
      <c r="J674" s="15">
        <v>65.442999999999998</v>
      </c>
      <c r="R674" s="53">
        <v>469.8</v>
      </c>
      <c r="S674" s="76">
        <v>1.5170797E-2</v>
      </c>
      <c r="T674" s="138">
        <v>0.24972220000000001</v>
      </c>
    </row>
    <row r="675" spans="5:20">
      <c r="E675" s="130">
        <v>0.99919000000000002</v>
      </c>
      <c r="F675" s="77">
        <v>0.99395</v>
      </c>
      <c r="G675" s="75">
        <v>33.988</v>
      </c>
      <c r="H675" s="88">
        <v>0.99798083000000004</v>
      </c>
      <c r="I675" s="77">
        <v>0.98863243999999995</v>
      </c>
      <c r="J675" s="15">
        <v>65.444000000000003</v>
      </c>
      <c r="R675" s="53">
        <v>469.9</v>
      </c>
      <c r="S675" s="76">
        <v>1.4998117E-2</v>
      </c>
      <c r="T675" s="138">
        <v>0.24748275</v>
      </c>
    </row>
    <row r="676" spans="5:20">
      <c r="E676" s="130">
        <v>0.99919000000000002</v>
      </c>
      <c r="F676" s="77">
        <v>0.99392000000000003</v>
      </c>
      <c r="G676" s="75">
        <v>33.988999999999997</v>
      </c>
      <c r="H676" s="88">
        <v>0.99797610000000003</v>
      </c>
      <c r="I676" s="77">
        <v>0.98861449999999995</v>
      </c>
      <c r="J676" s="15">
        <v>65.444999999999993</v>
      </c>
      <c r="R676" s="53">
        <v>470</v>
      </c>
      <c r="S676" s="76">
        <v>1.4825995E-2</v>
      </c>
      <c r="T676" s="138">
        <v>0.24523866</v>
      </c>
    </row>
    <row r="677" spans="5:20">
      <c r="E677" s="130">
        <v>0.99917999999999996</v>
      </c>
      <c r="F677" s="77">
        <v>0.99389000000000005</v>
      </c>
      <c r="G677" s="75">
        <v>33.99</v>
      </c>
      <c r="H677" s="88">
        <v>0.99797139999999995</v>
      </c>
      <c r="I677" s="77">
        <v>0.98859655999999996</v>
      </c>
      <c r="J677" s="15">
        <v>65.445999999999998</v>
      </c>
      <c r="R677" s="53">
        <v>470.1</v>
      </c>
      <c r="S677" s="76">
        <v>1.4654423999999999E-2</v>
      </c>
      <c r="T677" s="138">
        <v>0.24298992999999999</v>
      </c>
    </row>
    <row r="678" spans="5:20">
      <c r="E678" s="130">
        <v>0.99917999999999996</v>
      </c>
      <c r="F678" s="77">
        <v>0.99385000000000001</v>
      </c>
      <c r="G678" s="75">
        <v>33.991</v>
      </c>
      <c r="H678" s="88">
        <v>0.99796664999999996</v>
      </c>
      <c r="I678" s="77">
        <v>0.98857859999999997</v>
      </c>
      <c r="J678" s="15">
        <v>65.447000000000003</v>
      </c>
      <c r="R678" s="53">
        <v>470.2</v>
      </c>
      <c r="S678" s="76">
        <v>1.4483401E-2</v>
      </c>
      <c r="T678" s="138">
        <v>0.24073655999999999</v>
      </c>
    </row>
    <row r="679" spans="5:20">
      <c r="E679" s="130">
        <v>0.99917</v>
      </c>
      <c r="F679" s="77">
        <v>0.99382000000000004</v>
      </c>
      <c r="G679" s="75">
        <v>33.991999999999997</v>
      </c>
      <c r="H679" s="88">
        <v>0.99796194000000005</v>
      </c>
      <c r="I679" s="77">
        <v>0.98856069999999996</v>
      </c>
      <c r="J679" s="15">
        <v>65.447999999999993</v>
      </c>
      <c r="R679" s="53">
        <v>470.3</v>
      </c>
      <c r="S679" s="76">
        <v>1.4312922E-2</v>
      </c>
      <c r="T679" s="138">
        <v>0.23847853999999999</v>
      </c>
    </row>
    <row r="680" spans="5:20">
      <c r="E680" s="130">
        <v>0.99916000000000005</v>
      </c>
      <c r="F680" s="77">
        <v>0.99378999999999995</v>
      </c>
      <c r="G680" s="75">
        <v>33.993000000000002</v>
      </c>
      <c r="H680" s="88">
        <v>0.99795716999999995</v>
      </c>
      <c r="I680" s="77">
        <v>0.98854273999999998</v>
      </c>
      <c r="J680" s="15">
        <v>65.448999999999998</v>
      </c>
      <c r="R680" s="53">
        <v>470.4</v>
      </c>
      <c r="S680" s="76">
        <v>1.4142984500000001E-2</v>
      </c>
      <c r="T680" s="138">
        <v>0.23621589000000001</v>
      </c>
    </row>
    <row r="681" spans="5:20">
      <c r="E681" s="130">
        <v>0.99916000000000005</v>
      </c>
      <c r="F681" s="77">
        <v>0.99375000000000002</v>
      </c>
      <c r="G681" s="75">
        <v>33.994</v>
      </c>
      <c r="H681" s="88">
        <v>0.99795246000000004</v>
      </c>
      <c r="I681" s="77">
        <v>0.98852479999999998</v>
      </c>
      <c r="J681" s="15">
        <v>65.45</v>
      </c>
      <c r="R681" s="53">
        <v>470.5</v>
      </c>
      <c r="S681" s="76">
        <v>1.3973582999999999E-2</v>
      </c>
      <c r="T681" s="138">
        <v>0.23394856999999999</v>
      </c>
    </row>
    <row r="682" spans="5:20">
      <c r="E682" s="130">
        <v>0.99914999999999998</v>
      </c>
      <c r="F682" s="77">
        <v>0.99372000000000005</v>
      </c>
      <c r="G682" s="75">
        <v>33.994999999999997</v>
      </c>
      <c r="H682" s="88">
        <v>0.99794769999999999</v>
      </c>
      <c r="I682" s="77">
        <v>0.98850680000000002</v>
      </c>
      <c r="J682" s="15">
        <v>65.450999999999993</v>
      </c>
      <c r="R682" s="53">
        <v>470.6</v>
      </c>
      <c r="S682" s="76">
        <v>1.3804713E-2</v>
      </c>
      <c r="T682" s="138">
        <v>0.23167661000000001</v>
      </c>
    </row>
    <row r="683" spans="5:20">
      <c r="E683" s="130">
        <v>0.99914999999999998</v>
      </c>
      <c r="F683" s="77">
        <v>0.99368999999999996</v>
      </c>
      <c r="G683" s="75">
        <v>33.996000000000002</v>
      </c>
      <c r="H683" s="88">
        <v>0.99794289999999997</v>
      </c>
      <c r="I683" s="77">
        <v>0.98848884999999997</v>
      </c>
      <c r="J683" s="15">
        <v>65.451999999999998</v>
      </c>
      <c r="R683" s="53">
        <v>470.7</v>
      </c>
      <c r="S683" s="76">
        <v>1.3636373E-2</v>
      </c>
      <c r="T683" s="138">
        <v>0.22939999999999999</v>
      </c>
    </row>
    <row r="684" spans="5:20">
      <c r="E684" s="130">
        <v>0.99914000000000003</v>
      </c>
      <c r="F684" s="77">
        <v>0.99365000000000003</v>
      </c>
      <c r="G684" s="75">
        <v>33.997</v>
      </c>
      <c r="H684" s="88">
        <v>0.99793816000000002</v>
      </c>
      <c r="I684" s="77">
        <v>0.98847090000000004</v>
      </c>
      <c r="J684" s="15">
        <v>65.453000000000003</v>
      </c>
      <c r="R684" s="53">
        <v>470.8</v>
      </c>
      <c r="S684" s="76">
        <v>1.3468559E-2</v>
      </c>
      <c r="T684" s="138">
        <v>0.22711872999999999</v>
      </c>
    </row>
    <row r="685" spans="5:20">
      <c r="E685" s="130">
        <v>0.99912999999999996</v>
      </c>
      <c r="F685" s="77">
        <v>0.99361999999999995</v>
      </c>
      <c r="G685" s="75">
        <v>33.997999999999998</v>
      </c>
      <c r="H685" s="88">
        <v>0.99793339999999997</v>
      </c>
      <c r="I685" s="77">
        <v>0.98845300000000003</v>
      </c>
      <c r="J685" s="15">
        <v>65.453999999999994</v>
      </c>
      <c r="R685" s="53">
        <v>470.9</v>
      </c>
      <c r="S685" s="76">
        <v>1.3301265E-2</v>
      </c>
      <c r="T685" s="138">
        <v>0.22483281999999999</v>
      </c>
    </row>
    <row r="686" spans="5:20">
      <c r="E686" s="130">
        <v>0.99912999999999996</v>
      </c>
      <c r="F686" s="77">
        <v>0.99358999999999997</v>
      </c>
      <c r="G686" s="75">
        <v>33.999000000000002</v>
      </c>
      <c r="H686" s="88">
        <v>0.99792855999999996</v>
      </c>
      <c r="I686" s="77">
        <v>0.98843499999999995</v>
      </c>
      <c r="J686" s="15">
        <v>65.454999999999998</v>
      </c>
      <c r="R686" s="53">
        <v>471</v>
      </c>
      <c r="S686" s="76">
        <v>1.3134491E-2</v>
      </c>
      <c r="T686" s="138">
        <v>0.22254223000000001</v>
      </c>
    </row>
    <row r="687" spans="5:20">
      <c r="E687" s="130">
        <v>0.99912000000000001</v>
      </c>
      <c r="F687" s="77">
        <v>0.99355000000000004</v>
      </c>
      <c r="G687" s="75">
        <v>34</v>
      </c>
      <c r="H687" s="88">
        <v>0.99792380000000003</v>
      </c>
      <c r="I687" s="77">
        <v>0.98841699999999999</v>
      </c>
      <c r="J687" s="15">
        <v>65.456000000000003</v>
      </c>
      <c r="R687" s="53">
        <v>471.1</v>
      </c>
      <c r="S687" s="76">
        <v>1.2968229E-2</v>
      </c>
      <c r="T687" s="138">
        <v>0.220247</v>
      </c>
    </row>
    <row r="688" spans="5:20">
      <c r="E688" s="130">
        <v>0.99912000000000001</v>
      </c>
      <c r="F688" s="77">
        <v>0.99351999999999996</v>
      </c>
      <c r="G688" s="75">
        <v>34.000999999999998</v>
      </c>
      <c r="H688" s="88">
        <v>0.99791896000000002</v>
      </c>
      <c r="I688" s="77">
        <v>0.98839909999999997</v>
      </c>
      <c r="J688" s="15">
        <v>65.456999999999994</v>
      </c>
      <c r="R688" s="53">
        <v>471.2</v>
      </c>
      <c r="S688" s="76">
        <v>1.2802479E-2</v>
      </c>
      <c r="T688" s="138">
        <v>0.2179471</v>
      </c>
    </row>
    <row r="689" spans="5:20">
      <c r="E689" s="130">
        <v>0.99911000000000005</v>
      </c>
      <c r="F689" s="77">
        <v>0.99348999999999998</v>
      </c>
      <c r="G689" s="75">
        <v>34.002000000000002</v>
      </c>
      <c r="H689" s="88">
        <v>0.99791414000000001</v>
      </c>
      <c r="I689" s="77">
        <v>0.98838110000000001</v>
      </c>
      <c r="J689" s="15">
        <v>65.457999999999998</v>
      </c>
      <c r="R689" s="53">
        <v>471.3</v>
      </c>
      <c r="S689" s="76">
        <v>1.2637236E-2</v>
      </c>
      <c r="T689" s="138">
        <v>0.21564253999999999</v>
      </c>
    </row>
    <row r="690" spans="5:20">
      <c r="E690" s="130">
        <v>0.99909999999999999</v>
      </c>
      <c r="F690" s="77">
        <v>0.99345000000000006</v>
      </c>
      <c r="G690" s="75">
        <v>34.003</v>
      </c>
      <c r="H690" s="88">
        <v>0.9979093</v>
      </c>
      <c r="I690" s="77">
        <v>0.98836314999999997</v>
      </c>
      <c r="J690" s="15">
        <v>65.459000000000003</v>
      </c>
      <c r="R690" s="53">
        <v>471.4</v>
      </c>
      <c r="S690" s="76">
        <v>1.2472497000000001E-2</v>
      </c>
      <c r="T690" s="138">
        <v>0.21333331</v>
      </c>
    </row>
    <row r="691" spans="5:20">
      <c r="E691" s="130">
        <v>0.99909999999999999</v>
      </c>
      <c r="F691" s="77">
        <v>0.99341999999999997</v>
      </c>
      <c r="G691" s="75">
        <v>34.003999999999998</v>
      </c>
      <c r="H691" s="88">
        <v>0.99790449999999997</v>
      </c>
      <c r="I691" s="77">
        <v>0.98834515000000001</v>
      </c>
      <c r="J691" s="15">
        <v>65.459999999999994</v>
      </c>
      <c r="R691" s="53">
        <v>471.5</v>
      </c>
      <c r="S691" s="76">
        <v>1.2308258000000001E-2</v>
      </c>
      <c r="T691" s="138">
        <v>0.21101943000000001</v>
      </c>
    </row>
    <row r="692" spans="5:20">
      <c r="E692" s="130">
        <v>0.99909000000000003</v>
      </c>
      <c r="F692" s="77">
        <v>0.99339</v>
      </c>
      <c r="G692" s="75">
        <v>34.005000000000003</v>
      </c>
      <c r="H692" s="88">
        <v>0.99789965000000003</v>
      </c>
      <c r="I692" s="77">
        <v>0.98832715000000004</v>
      </c>
      <c r="J692" s="15">
        <v>65.460999999999999</v>
      </c>
      <c r="R692" s="53">
        <v>471.6</v>
      </c>
      <c r="S692" s="76">
        <v>1.2144515E-2</v>
      </c>
      <c r="T692" s="138">
        <v>0.20870087000000001</v>
      </c>
    </row>
    <row r="693" spans="5:20">
      <c r="E693" s="130">
        <v>0.99909000000000003</v>
      </c>
      <c r="F693" s="77">
        <v>0.99334999999999996</v>
      </c>
      <c r="G693" s="75">
        <v>34.006</v>
      </c>
      <c r="H693" s="88">
        <v>0.99789479999999997</v>
      </c>
      <c r="I693" s="77">
        <v>0.9883092</v>
      </c>
      <c r="J693" s="15">
        <v>65.462000000000003</v>
      </c>
      <c r="R693" s="53">
        <v>471.7</v>
      </c>
      <c r="S693" s="76">
        <v>1.1981267E-2</v>
      </c>
      <c r="T693" s="138">
        <v>0.20637764</v>
      </c>
    </row>
    <row r="694" spans="5:20">
      <c r="E694" s="130">
        <v>0.99907999999999997</v>
      </c>
      <c r="F694" s="77">
        <v>0.99331999999999998</v>
      </c>
      <c r="G694" s="75">
        <v>34.006999999999998</v>
      </c>
      <c r="H694" s="88">
        <v>0.99789000000000005</v>
      </c>
      <c r="I694" s="77">
        <v>0.98829120000000004</v>
      </c>
      <c r="J694" s="15">
        <v>65.462999999999994</v>
      </c>
      <c r="R694" s="53">
        <v>471.8</v>
      </c>
      <c r="S694" s="76">
        <v>1.1818507000000001E-2</v>
      </c>
      <c r="T694" s="138">
        <v>0.20404975</v>
      </c>
    </row>
    <row r="695" spans="5:20">
      <c r="E695" s="130">
        <v>0.99907000000000001</v>
      </c>
      <c r="F695" s="77">
        <v>0.99329000000000001</v>
      </c>
      <c r="G695" s="75">
        <v>34.008000000000003</v>
      </c>
      <c r="H695" s="88">
        <v>0.99788509999999997</v>
      </c>
      <c r="I695" s="77">
        <v>0.98827319999999996</v>
      </c>
      <c r="J695" s="15">
        <v>65.463999999999999</v>
      </c>
      <c r="R695" s="53">
        <v>471.9</v>
      </c>
      <c r="S695" s="76">
        <v>1.1656234E-2</v>
      </c>
      <c r="T695" s="138">
        <v>0.20171720000000001</v>
      </c>
    </row>
    <row r="696" spans="5:20">
      <c r="E696" s="130">
        <v>0.99907000000000001</v>
      </c>
      <c r="F696" s="77">
        <v>0.99324999999999997</v>
      </c>
      <c r="G696" s="75">
        <v>34.009</v>
      </c>
      <c r="H696" s="88">
        <v>0.99788019999999999</v>
      </c>
      <c r="I696" s="77">
        <v>0.98825525999999997</v>
      </c>
      <c r="J696" s="15">
        <v>65.465000000000003</v>
      </c>
      <c r="R696" s="53">
        <v>472</v>
      </c>
      <c r="S696" s="76">
        <v>1.1494445000000001E-2</v>
      </c>
      <c r="T696" s="138">
        <v>0.19937996999999999</v>
      </c>
    </row>
    <row r="697" spans="5:20">
      <c r="E697" s="130">
        <v>0.99905999999999995</v>
      </c>
      <c r="F697" s="77">
        <v>0.99321999999999999</v>
      </c>
      <c r="G697" s="75">
        <v>34.01</v>
      </c>
      <c r="H697" s="88">
        <v>0.99787539999999997</v>
      </c>
      <c r="I697" s="77">
        <v>0.98823726000000001</v>
      </c>
      <c r="J697" s="15">
        <v>65.465999999999994</v>
      </c>
      <c r="R697" s="53">
        <v>472.01</v>
      </c>
      <c r="S697" s="76">
        <v>1.1478291999999999E-2</v>
      </c>
      <c r="T697" s="138">
        <v>0.19914598999999999</v>
      </c>
    </row>
    <row r="698" spans="5:20">
      <c r="E698" s="130">
        <v>0.99904999999999999</v>
      </c>
      <c r="F698" s="77">
        <v>0.99319000000000002</v>
      </c>
      <c r="G698" s="75">
        <v>34.011000000000003</v>
      </c>
      <c r="H698" s="88">
        <v>0.99787049999999999</v>
      </c>
      <c r="I698" s="77">
        <v>0.98821926000000004</v>
      </c>
      <c r="J698" s="15">
        <v>65.466999999999999</v>
      </c>
      <c r="R698" s="53">
        <v>472.02</v>
      </c>
      <c r="S698" s="76">
        <v>1.1462145E-2</v>
      </c>
      <c r="T698" s="138">
        <v>0.19891195</v>
      </c>
    </row>
    <row r="699" spans="5:20">
      <c r="E699" s="130">
        <v>0.99904999999999999</v>
      </c>
      <c r="F699" s="77">
        <v>0.99314999999999998</v>
      </c>
      <c r="G699" s="75">
        <v>34.012</v>
      </c>
      <c r="H699" s="88">
        <v>0.99786560000000002</v>
      </c>
      <c r="I699" s="77">
        <v>0.98820125999999997</v>
      </c>
      <c r="J699" s="15">
        <v>65.468000000000004</v>
      </c>
      <c r="R699" s="53">
        <v>472.03</v>
      </c>
      <c r="S699" s="76">
        <v>1.1446002E-2</v>
      </c>
      <c r="T699" s="138">
        <v>0.19867788</v>
      </c>
    </row>
    <row r="700" spans="5:20">
      <c r="E700" s="130">
        <v>0.99904000000000004</v>
      </c>
      <c r="F700" s="77">
        <v>0.99312</v>
      </c>
      <c r="G700" s="75">
        <v>34.012999999999998</v>
      </c>
      <c r="H700" s="88">
        <v>0.99786067000000001</v>
      </c>
      <c r="I700" s="77">
        <v>0.98818326000000001</v>
      </c>
      <c r="J700" s="15">
        <v>65.468999999999994</v>
      </c>
      <c r="R700" s="53">
        <v>472.04</v>
      </c>
      <c r="S700" s="76">
        <v>1.1429863E-2</v>
      </c>
      <c r="T700" s="138">
        <v>0.19844376</v>
      </c>
    </row>
    <row r="701" spans="5:20">
      <c r="E701" s="130">
        <v>0.99902999999999997</v>
      </c>
      <c r="F701" s="77">
        <v>0.99309000000000003</v>
      </c>
      <c r="G701" s="75">
        <v>34.014000000000003</v>
      </c>
      <c r="H701" s="88">
        <v>0.99785579999999996</v>
      </c>
      <c r="I701" s="77">
        <v>0.98816526000000005</v>
      </c>
      <c r="J701" s="15">
        <v>65.47</v>
      </c>
      <c r="R701" s="53">
        <v>472.05</v>
      </c>
      <c r="S701" s="76">
        <v>1.141373E-2</v>
      </c>
      <c r="T701" s="138">
        <v>0.19820960000000001</v>
      </c>
    </row>
    <row r="702" spans="5:20">
      <c r="E702" s="130">
        <v>0.99902999999999997</v>
      </c>
      <c r="F702" s="77">
        <v>0.99304999999999999</v>
      </c>
      <c r="G702" s="75">
        <v>34.015000000000001</v>
      </c>
      <c r="H702" s="88">
        <v>0.99785084000000002</v>
      </c>
      <c r="I702" s="77">
        <v>0.98814725999999997</v>
      </c>
      <c r="J702" s="15">
        <v>65.471000000000004</v>
      </c>
      <c r="R702" s="53">
        <v>472.06</v>
      </c>
      <c r="S702" s="76">
        <v>1.1397602E-2</v>
      </c>
      <c r="T702" s="138">
        <v>0.19797538000000001</v>
      </c>
    </row>
    <row r="703" spans="5:20">
      <c r="E703" s="130">
        <v>0.99902000000000002</v>
      </c>
      <c r="F703" s="77">
        <v>0.99302000000000001</v>
      </c>
      <c r="G703" s="75">
        <v>34.015999999999998</v>
      </c>
      <c r="H703" s="88">
        <v>0.99784594999999998</v>
      </c>
      <c r="I703" s="77">
        <v>0.98812926000000001</v>
      </c>
      <c r="J703" s="15">
        <v>65.471999999999994</v>
      </c>
      <c r="R703" s="53">
        <v>472.07</v>
      </c>
      <c r="S703" s="76">
        <v>1.1381478E-2</v>
      </c>
      <c r="T703" s="138">
        <v>0.19774111999999999</v>
      </c>
    </row>
    <row r="704" spans="5:20">
      <c r="E704" s="130">
        <v>0.99900999999999995</v>
      </c>
      <c r="F704" s="77">
        <v>0.99299000000000004</v>
      </c>
      <c r="G704" s="75">
        <v>34.017000000000003</v>
      </c>
      <c r="H704" s="88">
        <v>0.99784099999999998</v>
      </c>
      <c r="I704" s="77">
        <v>0.98811126000000005</v>
      </c>
      <c r="J704" s="15">
        <v>65.472999999999999</v>
      </c>
      <c r="R704" s="53">
        <v>472.08</v>
      </c>
      <c r="S704" s="76">
        <v>1.1365359E-2</v>
      </c>
      <c r="T704" s="138">
        <v>0.19750682</v>
      </c>
    </row>
    <row r="705" spans="5:20">
      <c r="E705" s="130">
        <v>0.99900999999999995</v>
      </c>
      <c r="F705" s="77">
        <v>0.99295</v>
      </c>
      <c r="G705" s="75">
        <v>34.018000000000001</v>
      </c>
      <c r="H705" s="88">
        <v>0.99783604999999997</v>
      </c>
      <c r="I705" s="77">
        <v>0.98809325999999997</v>
      </c>
      <c r="J705" s="15">
        <v>65.474000000000004</v>
      </c>
      <c r="R705" s="53">
        <v>472.09</v>
      </c>
      <c r="S705" s="76">
        <v>1.1349245000000001E-2</v>
      </c>
      <c r="T705" s="138">
        <v>0.19727246000000001</v>
      </c>
    </row>
    <row r="706" spans="5:20">
      <c r="E706" s="130">
        <v>0.999</v>
      </c>
      <c r="F706" s="77">
        <v>0.99292000000000002</v>
      </c>
      <c r="G706" s="75">
        <v>34.018999999999998</v>
      </c>
      <c r="H706" s="88">
        <v>0.99783109999999997</v>
      </c>
      <c r="I706" s="77">
        <v>0.98807526000000001</v>
      </c>
      <c r="J706" s="15">
        <v>65.474999999999994</v>
      </c>
      <c r="R706" s="53">
        <v>472.1</v>
      </c>
      <c r="S706" s="76">
        <v>1.1333134999999999E-2</v>
      </c>
      <c r="T706" s="138">
        <v>0.19703804999999999</v>
      </c>
    </row>
    <row r="707" spans="5:20">
      <c r="E707" s="130">
        <v>0.99936999999999998</v>
      </c>
      <c r="F707" s="77">
        <v>0.99497999999999998</v>
      </c>
      <c r="G707" s="75">
        <v>33.957000000000001</v>
      </c>
      <c r="H707" s="88">
        <v>0.99782616000000002</v>
      </c>
      <c r="I707" s="77">
        <v>0.98805719999999997</v>
      </c>
      <c r="J707" s="15">
        <v>65.475999999999999</v>
      </c>
      <c r="R707" s="53">
        <v>472.11</v>
      </c>
      <c r="S707" s="76">
        <v>1.13170305E-2</v>
      </c>
      <c r="T707" s="138">
        <v>0.19680360999999999</v>
      </c>
    </row>
    <row r="708" spans="5:20">
      <c r="E708" s="130">
        <v>0.99936000000000003</v>
      </c>
      <c r="F708" s="77">
        <v>0.99495</v>
      </c>
      <c r="G708" s="75">
        <v>33.957999999999998</v>
      </c>
      <c r="H708" s="88">
        <v>0.99782119999999996</v>
      </c>
      <c r="I708" s="77">
        <v>0.98803920000000001</v>
      </c>
      <c r="J708" s="15">
        <v>65.477000000000004</v>
      </c>
      <c r="R708" s="53">
        <v>472.12</v>
      </c>
      <c r="S708" s="76">
        <v>1.1300931E-2</v>
      </c>
      <c r="T708" s="138">
        <v>0.19656910999999999</v>
      </c>
    </row>
    <row r="709" spans="5:20">
      <c r="E709" s="130">
        <v>0.99936000000000003</v>
      </c>
      <c r="F709" s="77">
        <v>0.99492000000000003</v>
      </c>
      <c r="G709" s="75">
        <v>33.959000000000003</v>
      </c>
      <c r="H709" s="88">
        <v>0.99781620000000004</v>
      </c>
      <c r="I709" s="77">
        <v>0.98802120000000004</v>
      </c>
      <c r="J709" s="15">
        <v>65.477999999999994</v>
      </c>
      <c r="R709" s="53">
        <v>472.13</v>
      </c>
      <c r="S709" s="76">
        <v>1.1284835999999999E-2</v>
      </c>
      <c r="T709" s="138">
        <v>0.19633457000000001</v>
      </c>
    </row>
    <row r="710" spans="5:20">
      <c r="E710" s="130">
        <v>0.99934999999999996</v>
      </c>
      <c r="F710" s="77">
        <v>0.99487999999999999</v>
      </c>
      <c r="G710" s="75">
        <v>33.96</v>
      </c>
      <c r="H710" s="88">
        <v>0.99781120000000001</v>
      </c>
      <c r="I710" s="77">
        <v>0.98800312999999995</v>
      </c>
      <c r="J710" s="15">
        <v>65.478999999999999</v>
      </c>
      <c r="R710" s="53">
        <v>472.14</v>
      </c>
      <c r="S710" s="76">
        <v>1.1268745E-2</v>
      </c>
      <c r="T710" s="138">
        <v>0.19609998000000001</v>
      </c>
    </row>
    <row r="711" spans="5:20">
      <c r="E711" s="130">
        <v>0.99934000000000001</v>
      </c>
      <c r="F711" s="77">
        <v>0.99485000000000001</v>
      </c>
      <c r="G711" s="75">
        <v>33.960999999999999</v>
      </c>
      <c r="H711" s="88">
        <v>0.99780625000000001</v>
      </c>
      <c r="I711" s="77">
        <v>0.98798512999999999</v>
      </c>
      <c r="J711" s="15">
        <v>65.48</v>
      </c>
      <c r="R711" s="53">
        <v>472.15</v>
      </c>
      <c r="S711" s="76">
        <v>1.1252659E-2</v>
      </c>
      <c r="T711" s="138">
        <v>0.19586534999999999</v>
      </c>
    </row>
    <row r="712" spans="5:20">
      <c r="E712" s="130">
        <v>0.99934000000000001</v>
      </c>
      <c r="F712" s="77">
        <v>0.99482000000000004</v>
      </c>
      <c r="G712" s="75">
        <v>33.962000000000003</v>
      </c>
      <c r="H712" s="88">
        <v>0.99780124000000003</v>
      </c>
      <c r="I712" s="77">
        <v>0.98796709999999999</v>
      </c>
      <c r="J712" s="15">
        <v>65.480999999999995</v>
      </c>
      <c r="R712" s="53">
        <v>472.16</v>
      </c>
      <c r="S712" s="76">
        <v>1.1236578000000001E-2</v>
      </c>
      <c r="T712" s="138">
        <v>0.19563067000000001</v>
      </c>
    </row>
    <row r="713" spans="5:20">
      <c r="E713" s="130">
        <v>0.99933000000000005</v>
      </c>
      <c r="F713" s="77">
        <v>0.99478</v>
      </c>
      <c r="G713" s="75">
        <v>33.963000000000001</v>
      </c>
      <c r="H713" s="88">
        <v>0.99779624</v>
      </c>
      <c r="I713" s="77">
        <v>0.98794910000000002</v>
      </c>
      <c r="J713" s="15">
        <v>65.481999999999999</v>
      </c>
      <c r="R713" s="53">
        <v>472.17</v>
      </c>
      <c r="S713" s="76">
        <v>1.1220502E-2</v>
      </c>
      <c r="T713" s="138">
        <v>0.19539595000000001</v>
      </c>
    </row>
    <row r="714" spans="5:20">
      <c r="E714" s="130">
        <v>0.99933000000000005</v>
      </c>
      <c r="F714" s="77">
        <v>0.99475000000000002</v>
      </c>
      <c r="G714" s="75">
        <v>33.963999999999999</v>
      </c>
      <c r="H714" s="88">
        <v>0.99779123000000003</v>
      </c>
      <c r="I714" s="77">
        <v>0.987931</v>
      </c>
      <c r="J714" s="15">
        <v>65.483000000000004</v>
      </c>
      <c r="R714" s="53">
        <v>472.18</v>
      </c>
      <c r="S714" s="76">
        <v>1.1204431000000001E-2</v>
      </c>
      <c r="T714" s="138">
        <v>0.19516116</v>
      </c>
    </row>
    <row r="715" spans="5:20">
      <c r="E715" s="130">
        <v>0.99931999999999999</v>
      </c>
      <c r="F715" s="77">
        <v>0.99472000000000005</v>
      </c>
      <c r="G715" s="75">
        <v>33.965000000000003</v>
      </c>
      <c r="H715" s="88">
        <v>0.99778615999999998</v>
      </c>
      <c r="I715" s="77">
        <v>0.98791300000000004</v>
      </c>
      <c r="J715" s="15">
        <v>65.483999999999995</v>
      </c>
      <c r="R715" s="53">
        <v>472.19</v>
      </c>
      <c r="S715" s="76">
        <v>1.1188363999999999E-2</v>
      </c>
      <c r="T715" s="138">
        <v>0.19492635</v>
      </c>
    </row>
    <row r="716" spans="5:20">
      <c r="E716" s="130">
        <v>0.99931999999999999</v>
      </c>
      <c r="F716" s="77">
        <v>0.99468000000000001</v>
      </c>
      <c r="G716" s="75">
        <v>33.966000000000001</v>
      </c>
      <c r="H716" s="88">
        <v>0.99778115999999994</v>
      </c>
      <c r="I716" s="77">
        <v>0.98789495000000005</v>
      </c>
      <c r="J716" s="15">
        <v>65.484999999999999</v>
      </c>
      <c r="R716" s="53">
        <v>472.2</v>
      </c>
      <c r="S716" s="76">
        <v>1.1172302E-2</v>
      </c>
      <c r="T716" s="138">
        <v>0.19469148</v>
      </c>
    </row>
    <row r="717" spans="5:20">
      <c r="E717" s="130">
        <v>0.99931000000000003</v>
      </c>
      <c r="F717" s="77">
        <v>0.99465000000000003</v>
      </c>
      <c r="G717" s="75">
        <v>33.966999999999999</v>
      </c>
      <c r="H717" s="88">
        <v>0.99777610000000005</v>
      </c>
      <c r="I717" s="77">
        <v>0.98787689999999995</v>
      </c>
      <c r="J717" s="15">
        <v>65.486000000000004</v>
      </c>
      <c r="R717" s="53">
        <v>472.21</v>
      </c>
      <c r="S717" s="76">
        <v>1.1156245E-2</v>
      </c>
      <c r="T717" s="138">
        <v>0.19445656</v>
      </c>
    </row>
    <row r="718" spans="5:20">
      <c r="E718" s="130">
        <v>0.99931000000000003</v>
      </c>
      <c r="F718" s="77">
        <v>0.99461999999999995</v>
      </c>
      <c r="G718" s="75">
        <v>33.968000000000004</v>
      </c>
      <c r="H718" s="88">
        <v>0.99777099999999996</v>
      </c>
      <c r="I718" s="77">
        <v>0.98785882999999997</v>
      </c>
      <c r="J718" s="15">
        <v>65.486999999999995</v>
      </c>
      <c r="R718" s="53">
        <v>472.22</v>
      </c>
      <c r="S718" s="76">
        <v>1.1140192E-2</v>
      </c>
      <c r="T718" s="138">
        <v>0.19422159999999999</v>
      </c>
    </row>
    <row r="719" spans="5:20">
      <c r="E719" s="130">
        <v>0.99929999999999997</v>
      </c>
      <c r="F719" s="77">
        <v>0.99458000000000002</v>
      </c>
      <c r="G719" s="75">
        <v>33.969000000000001</v>
      </c>
      <c r="H719" s="88">
        <v>0.99776600000000004</v>
      </c>
      <c r="I719" s="77">
        <v>0.98784083</v>
      </c>
      <c r="J719" s="15">
        <v>65.488</v>
      </c>
      <c r="R719" s="53">
        <v>472.23</v>
      </c>
      <c r="S719" s="76">
        <v>1.1124144000000001E-2</v>
      </c>
      <c r="T719" s="138">
        <v>0.19398660000000001</v>
      </c>
    </row>
    <row r="720" spans="5:20">
      <c r="E720" s="130">
        <v>0.99929999999999997</v>
      </c>
      <c r="F720" s="77">
        <v>0.99455000000000005</v>
      </c>
      <c r="G720" s="75">
        <v>33.97</v>
      </c>
      <c r="H720" s="88">
        <v>0.99776094999999998</v>
      </c>
      <c r="I720" s="77">
        <v>0.9878228</v>
      </c>
      <c r="J720" s="15">
        <v>65.489000000000004</v>
      </c>
      <c r="R720" s="53">
        <v>472.24</v>
      </c>
      <c r="S720" s="76">
        <v>1.1108101E-2</v>
      </c>
      <c r="T720" s="138">
        <v>0.19375154</v>
      </c>
    </row>
    <row r="721" spans="5:20">
      <c r="E721" s="130">
        <v>0.99929000000000001</v>
      </c>
      <c r="F721" s="77">
        <v>0.99451999999999996</v>
      </c>
      <c r="G721" s="75">
        <v>33.970999999999997</v>
      </c>
      <c r="H721" s="88">
        <v>0.99775579999999997</v>
      </c>
      <c r="I721" s="77">
        <v>0.98780469999999998</v>
      </c>
      <c r="J721" s="15">
        <v>65.489999999999995</v>
      </c>
      <c r="R721" s="53">
        <v>472.25</v>
      </c>
      <c r="S721" s="76">
        <v>1.1092062999999999E-2</v>
      </c>
      <c r="T721" s="138">
        <v>0.19351642999999999</v>
      </c>
    </row>
    <row r="722" spans="5:20">
      <c r="E722" s="130">
        <v>0.99927999999999995</v>
      </c>
      <c r="F722" s="77">
        <v>0.99448999999999999</v>
      </c>
      <c r="G722" s="75">
        <v>33.972000000000001</v>
      </c>
      <c r="H722" s="88">
        <v>0.99775075999999996</v>
      </c>
      <c r="I722" s="77">
        <v>0.98778664999999999</v>
      </c>
      <c r="J722" s="15">
        <v>65.491</v>
      </c>
      <c r="R722" s="53">
        <v>472.26</v>
      </c>
      <c r="S722" s="76">
        <v>1.1076028999999999E-2</v>
      </c>
      <c r="T722" s="138">
        <v>0.19328129999999999</v>
      </c>
    </row>
    <row r="723" spans="5:20">
      <c r="E723" s="130">
        <v>0.99927999999999995</v>
      </c>
      <c r="F723" s="77">
        <v>0.99444999999999995</v>
      </c>
      <c r="G723" s="75">
        <v>33.972999999999999</v>
      </c>
      <c r="H723" s="88">
        <v>0.99774569999999996</v>
      </c>
      <c r="I723" s="77">
        <v>0.9877686</v>
      </c>
      <c r="J723" s="15">
        <v>65.492000000000004</v>
      </c>
      <c r="R723" s="53">
        <v>472.27</v>
      </c>
      <c r="S723" s="76">
        <v>1.106E-2</v>
      </c>
      <c r="T723" s="138">
        <v>0.1930461</v>
      </c>
    </row>
    <row r="724" spans="5:20">
      <c r="E724" s="130">
        <v>0.99926999999999999</v>
      </c>
      <c r="F724" s="77">
        <v>0.99441999999999997</v>
      </c>
      <c r="G724" s="75">
        <v>33.973999999999997</v>
      </c>
      <c r="H724" s="88">
        <v>0.99774057000000005</v>
      </c>
      <c r="I724" s="77">
        <v>0.98775053000000002</v>
      </c>
      <c r="J724" s="15">
        <v>65.492999999999995</v>
      </c>
      <c r="R724" s="53">
        <v>472.28</v>
      </c>
      <c r="S724" s="76">
        <v>1.1043976E-2</v>
      </c>
      <c r="T724" s="138">
        <v>0.19281085000000001</v>
      </c>
    </row>
    <row r="725" spans="5:20">
      <c r="E725" s="130">
        <v>0.99926999999999999</v>
      </c>
      <c r="F725" s="77">
        <v>0.99439</v>
      </c>
      <c r="G725" s="75">
        <v>33.975000000000001</v>
      </c>
      <c r="H725" s="88">
        <v>0.99773544000000003</v>
      </c>
      <c r="I725" s="77">
        <v>0.98773246999999997</v>
      </c>
      <c r="J725" s="15">
        <v>65.494</v>
      </c>
      <c r="R725" s="53">
        <v>472.29</v>
      </c>
      <c r="S725" s="76">
        <v>1.1027957E-2</v>
      </c>
      <c r="T725" s="138">
        <v>0.19257556000000001</v>
      </c>
    </row>
    <row r="726" spans="5:20">
      <c r="E726" s="130">
        <v>0.99926000000000004</v>
      </c>
      <c r="F726" s="77">
        <v>0.99434999999999996</v>
      </c>
      <c r="G726" s="75">
        <v>33.975999999999999</v>
      </c>
      <c r="H726" s="88">
        <v>0.99773029999999996</v>
      </c>
      <c r="I726" s="77">
        <v>0.98771439999999999</v>
      </c>
      <c r="J726" s="15">
        <v>65.495000000000005</v>
      </c>
      <c r="R726" s="53">
        <v>472.3</v>
      </c>
      <c r="S726" s="76">
        <v>1.1011942E-2</v>
      </c>
      <c r="T726" s="138">
        <v>0.19234022000000001</v>
      </c>
    </row>
    <row r="727" spans="5:20">
      <c r="E727" s="130">
        <v>0.99926000000000004</v>
      </c>
      <c r="F727" s="77">
        <v>0.99431999999999998</v>
      </c>
      <c r="G727" s="75">
        <v>33.976999999999997</v>
      </c>
      <c r="H727" s="88">
        <v>0.99772519999999998</v>
      </c>
      <c r="I727" s="77">
        <v>0.98769629999999997</v>
      </c>
      <c r="J727" s="15">
        <v>65.495999999999995</v>
      </c>
      <c r="R727" s="53">
        <v>472.31</v>
      </c>
      <c r="S727" s="76">
        <v>1.0995932E-2</v>
      </c>
      <c r="T727" s="138">
        <v>0.19210484999999999</v>
      </c>
    </row>
    <row r="728" spans="5:20">
      <c r="E728" s="130">
        <v>0.99924999999999997</v>
      </c>
      <c r="F728" s="77">
        <v>0.99429000000000001</v>
      </c>
      <c r="G728" s="75">
        <v>33.978000000000002</v>
      </c>
      <c r="H728" s="88">
        <v>0.99772006000000002</v>
      </c>
      <c r="I728" s="77">
        <v>0.98767822999999999</v>
      </c>
      <c r="J728" s="15">
        <v>65.497</v>
      </c>
      <c r="R728" s="53">
        <v>472.32</v>
      </c>
      <c r="S728" s="76">
        <v>1.0979927E-2</v>
      </c>
      <c r="T728" s="138">
        <v>0.19186942000000001</v>
      </c>
    </row>
    <row r="729" spans="5:20">
      <c r="E729" s="130">
        <v>0.99924999999999997</v>
      </c>
      <c r="F729" s="77">
        <v>0.99424999999999997</v>
      </c>
      <c r="G729" s="75">
        <v>33.978999999999999</v>
      </c>
      <c r="H729" s="88">
        <v>0.99771494000000005</v>
      </c>
      <c r="I729" s="77">
        <v>0.98766016999999995</v>
      </c>
      <c r="J729" s="15">
        <v>65.498000000000005</v>
      </c>
      <c r="R729" s="53">
        <v>472.33</v>
      </c>
      <c r="S729" s="76">
        <v>1.0963926000000001E-2</v>
      </c>
      <c r="T729" s="138">
        <v>0.19163394</v>
      </c>
    </row>
    <row r="730" spans="5:20">
      <c r="E730" s="130">
        <v>0.99924000000000002</v>
      </c>
      <c r="F730" s="77">
        <v>0.99421999999999999</v>
      </c>
      <c r="G730" s="75">
        <v>33.979999999999997</v>
      </c>
      <c r="H730" s="88">
        <v>0.99770974999999995</v>
      </c>
      <c r="I730" s="77">
        <v>0.98764209999999997</v>
      </c>
      <c r="J730" s="15">
        <v>65.498999999999995</v>
      </c>
      <c r="R730" s="53">
        <v>472.34</v>
      </c>
      <c r="S730" s="76">
        <v>1.094793E-2</v>
      </c>
      <c r="T730" s="138">
        <v>0.19139843000000001</v>
      </c>
    </row>
    <row r="731" spans="5:20">
      <c r="E731" s="130">
        <v>0.99922999999999995</v>
      </c>
      <c r="F731" s="77">
        <v>0.99419000000000002</v>
      </c>
      <c r="G731" s="75">
        <v>33.981000000000002</v>
      </c>
      <c r="H731" s="88">
        <v>0.99770457000000001</v>
      </c>
      <c r="I731" s="77">
        <v>0.98762399999999995</v>
      </c>
      <c r="J731" s="15">
        <v>65.5</v>
      </c>
      <c r="R731" s="53">
        <v>472.35</v>
      </c>
      <c r="S731" s="76">
        <v>1.0931939E-2</v>
      </c>
      <c r="T731" s="138">
        <v>0.19116285</v>
      </c>
    </row>
    <row r="732" spans="5:20">
      <c r="E732" s="130">
        <v>0.99922999999999995</v>
      </c>
      <c r="F732" s="77">
        <v>0.99414999999999998</v>
      </c>
      <c r="G732" s="75">
        <v>33.981999999999999</v>
      </c>
      <c r="H732" s="88">
        <v>0.99769943999999999</v>
      </c>
      <c r="I732" s="77">
        <v>0.98760590000000004</v>
      </c>
      <c r="J732" s="15">
        <v>65.501000000000005</v>
      </c>
      <c r="R732" s="53">
        <v>472.36</v>
      </c>
      <c r="S732" s="76">
        <v>1.0915952E-2</v>
      </c>
      <c r="T732" s="138">
        <v>0.19092724</v>
      </c>
    </row>
    <row r="733" spans="5:20">
      <c r="E733" s="130">
        <v>0.99922</v>
      </c>
      <c r="F733" s="77">
        <v>0.99412</v>
      </c>
      <c r="G733" s="75">
        <v>33.982999999999997</v>
      </c>
      <c r="H733" s="88">
        <v>0.99769425</v>
      </c>
      <c r="I733" s="77">
        <v>0.98758780000000002</v>
      </c>
      <c r="J733" s="15">
        <v>65.501999999999995</v>
      </c>
      <c r="R733" s="53">
        <v>472.37</v>
      </c>
      <c r="S733" s="76">
        <v>1.089997E-2</v>
      </c>
      <c r="T733" s="138">
        <v>0.19069158</v>
      </c>
    </row>
    <row r="734" spans="5:20">
      <c r="E734" s="130">
        <v>0.99922</v>
      </c>
      <c r="F734" s="77">
        <v>0.99409000000000003</v>
      </c>
      <c r="G734" s="75">
        <v>33.984000000000002</v>
      </c>
      <c r="H734" s="88">
        <v>0.99768906999999996</v>
      </c>
      <c r="I734" s="77">
        <v>0.98756975000000002</v>
      </c>
      <c r="J734" s="15">
        <v>65.503</v>
      </c>
      <c r="R734" s="53">
        <v>472.38</v>
      </c>
      <c r="S734" s="76">
        <v>1.0883993E-2</v>
      </c>
      <c r="T734" s="138">
        <v>0.19045587</v>
      </c>
    </row>
    <row r="735" spans="5:20">
      <c r="E735" s="130">
        <v>0.99921000000000004</v>
      </c>
      <c r="F735" s="77">
        <v>0.99404999999999999</v>
      </c>
      <c r="G735" s="75">
        <v>33.984999999999999</v>
      </c>
      <c r="H735" s="88">
        <v>0.99768380000000001</v>
      </c>
      <c r="I735" s="77">
        <v>0.98755159999999997</v>
      </c>
      <c r="J735" s="15">
        <v>65.504000000000005</v>
      </c>
      <c r="R735" s="53">
        <v>472.39</v>
      </c>
      <c r="S735" s="76">
        <v>1.0868020000000001E-2</v>
      </c>
      <c r="T735" s="138">
        <v>0.1902201</v>
      </c>
    </row>
    <row r="736" spans="5:20">
      <c r="E736" s="130">
        <v>0.99921000000000004</v>
      </c>
      <c r="F736" s="77">
        <v>0.99402000000000001</v>
      </c>
      <c r="G736" s="75">
        <v>33.985999999999997</v>
      </c>
      <c r="H736" s="88">
        <v>0.99767863999999995</v>
      </c>
      <c r="I736" s="77">
        <v>0.98753356999999997</v>
      </c>
      <c r="J736" s="15">
        <v>65.504999999999995</v>
      </c>
      <c r="R736" s="53">
        <v>472.4</v>
      </c>
      <c r="S736" s="76">
        <v>1.0852053E-2</v>
      </c>
      <c r="T736" s="138">
        <v>0.18998429999999999</v>
      </c>
    </row>
    <row r="737" spans="5:20">
      <c r="E737" s="130">
        <v>0.99919999999999998</v>
      </c>
      <c r="F737" s="77">
        <v>0.99399000000000004</v>
      </c>
      <c r="G737" s="75">
        <v>33.987000000000002</v>
      </c>
      <c r="H737" s="88">
        <v>0.99767340000000004</v>
      </c>
      <c r="I737" s="77">
        <v>0.98751544999999996</v>
      </c>
      <c r="J737" s="15">
        <v>65.506</v>
      </c>
      <c r="R737" s="53">
        <v>472.41</v>
      </c>
      <c r="S737" s="76">
        <v>1.0836089E-2</v>
      </c>
      <c r="T737" s="138">
        <v>0.18974845000000001</v>
      </c>
    </row>
    <row r="738" spans="5:20">
      <c r="E738" s="130">
        <v>0.99919000000000002</v>
      </c>
      <c r="F738" s="77">
        <v>0.99395</v>
      </c>
      <c r="G738" s="75">
        <v>33.988</v>
      </c>
      <c r="H738" s="88">
        <v>0.99766820000000001</v>
      </c>
      <c r="I738" s="77">
        <v>0.98749730000000002</v>
      </c>
      <c r="J738" s="15">
        <v>65.507000000000005</v>
      </c>
      <c r="R738" s="53">
        <v>472.42</v>
      </c>
      <c r="S738" s="76">
        <v>1.0820131E-2</v>
      </c>
      <c r="T738" s="138">
        <v>0.18951255</v>
      </c>
    </row>
    <row r="739" spans="5:20">
      <c r="E739" s="130">
        <v>0.99919000000000002</v>
      </c>
      <c r="F739" s="77">
        <v>0.99392000000000003</v>
      </c>
      <c r="G739" s="75">
        <v>33.988999999999997</v>
      </c>
      <c r="H739" s="88">
        <v>0.99766295999999999</v>
      </c>
      <c r="I739" s="77">
        <v>0.9874792</v>
      </c>
      <c r="J739" s="15">
        <v>65.507999999999996</v>
      </c>
      <c r="R739" s="53">
        <v>472.43</v>
      </c>
      <c r="S739" s="76">
        <v>1.0804177E-2</v>
      </c>
      <c r="T739" s="138">
        <v>0.18927659999999999</v>
      </c>
    </row>
    <row r="740" spans="5:20">
      <c r="E740" s="130">
        <v>0.99917999999999996</v>
      </c>
      <c r="F740" s="77">
        <v>0.99389000000000005</v>
      </c>
      <c r="G740" s="75">
        <v>33.99</v>
      </c>
      <c r="H740" s="88">
        <v>0.99765769999999998</v>
      </c>
      <c r="I740" s="77">
        <v>0.98746115000000001</v>
      </c>
      <c r="J740" s="15">
        <v>65.509</v>
      </c>
      <c r="R740" s="53">
        <v>472.44</v>
      </c>
      <c r="S740" s="76">
        <v>1.0788226999999999E-2</v>
      </c>
      <c r="T740" s="138">
        <v>0.18904061999999999</v>
      </c>
    </row>
    <row r="741" spans="5:20">
      <c r="E741" s="130">
        <v>0.99917999999999996</v>
      </c>
      <c r="F741" s="77">
        <v>0.99385000000000001</v>
      </c>
      <c r="G741" s="75">
        <v>33.991</v>
      </c>
      <c r="H741" s="88">
        <v>0.99765250000000005</v>
      </c>
      <c r="I741" s="77">
        <v>0.98744303</v>
      </c>
      <c r="J741" s="15">
        <v>65.510000000000005</v>
      </c>
      <c r="R741" s="53">
        <v>472.45</v>
      </c>
      <c r="S741" s="76">
        <v>1.0772283000000001E-2</v>
      </c>
      <c r="T741" s="138">
        <v>0.18880458</v>
      </c>
    </row>
    <row r="742" spans="5:20">
      <c r="E742" s="130">
        <v>0.99917</v>
      </c>
      <c r="F742" s="77">
        <v>0.99382000000000004</v>
      </c>
      <c r="G742" s="75">
        <v>33.991999999999997</v>
      </c>
      <c r="H742" s="88">
        <v>0.99764717000000003</v>
      </c>
      <c r="I742" s="77">
        <v>0.98742490000000005</v>
      </c>
      <c r="J742" s="15">
        <v>65.510999999999996</v>
      </c>
      <c r="R742" s="53">
        <v>472.46</v>
      </c>
      <c r="S742" s="76">
        <v>1.0756343E-2</v>
      </c>
      <c r="T742" s="138">
        <v>0.1885685</v>
      </c>
    </row>
    <row r="743" spans="5:20">
      <c r="E743" s="130">
        <v>0.99916000000000005</v>
      </c>
      <c r="F743" s="77">
        <v>0.99378999999999995</v>
      </c>
      <c r="G743" s="75">
        <v>33.993000000000002</v>
      </c>
      <c r="H743" s="88">
        <v>0.99764189999999997</v>
      </c>
      <c r="I743" s="77">
        <v>0.98740680000000003</v>
      </c>
      <c r="J743" s="15">
        <v>65.512</v>
      </c>
      <c r="R743" s="53">
        <v>472.47</v>
      </c>
      <c r="S743" s="76">
        <v>1.0740408E-2</v>
      </c>
      <c r="T743" s="138">
        <v>0.18833236</v>
      </c>
    </row>
    <row r="744" spans="5:20">
      <c r="E744" s="130">
        <v>0.99916000000000005</v>
      </c>
      <c r="F744" s="77">
        <v>0.99375000000000002</v>
      </c>
      <c r="G744" s="75">
        <v>33.994</v>
      </c>
      <c r="H744" s="88">
        <v>0.99763659999999998</v>
      </c>
      <c r="I744" s="77">
        <v>0.98738870000000001</v>
      </c>
      <c r="J744" s="15">
        <v>65.513000000000005</v>
      </c>
      <c r="R744" s="53">
        <v>472.48</v>
      </c>
      <c r="S744" s="76">
        <v>1.0724477499999999E-2</v>
      </c>
      <c r="T744" s="138">
        <v>0.18809619999999999</v>
      </c>
    </row>
    <row r="745" spans="5:20">
      <c r="E745" s="130">
        <v>0.99914999999999998</v>
      </c>
      <c r="F745" s="77">
        <v>0.99372000000000005</v>
      </c>
      <c r="G745" s="75">
        <v>33.994999999999997</v>
      </c>
      <c r="H745" s="88">
        <v>0.99763139999999995</v>
      </c>
      <c r="I745" s="77">
        <v>0.98737054999999996</v>
      </c>
      <c r="J745" s="15">
        <v>65.513999999999996</v>
      </c>
      <c r="R745" s="53">
        <v>472.49</v>
      </c>
      <c r="S745" s="76">
        <v>1.0708551E-2</v>
      </c>
      <c r="T745" s="138">
        <v>0.18785996999999999</v>
      </c>
    </row>
    <row r="746" spans="5:20">
      <c r="E746" s="130">
        <v>0.99914999999999998</v>
      </c>
      <c r="F746" s="77">
        <v>0.99368999999999996</v>
      </c>
      <c r="G746" s="75">
        <v>33.996000000000002</v>
      </c>
      <c r="H746" s="88">
        <v>0.99762607000000003</v>
      </c>
      <c r="I746" s="77">
        <v>0.98735242999999995</v>
      </c>
      <c r="J746" s="15">
        <v>65.515000000000001</v>
      </c>
      <c r="R746" s="53">
        <v>472.5</v>
      </c>
      <c r="S746" s="76">
        <v>1.069263E-2</v>
      </c>
      <c r="T746" s="138">
        <v>0.1876237</v>
      </c>
    </row>
    <row r="747" spans="5:20">
      <c r="E747" s="130">
        <v>0.99914000000000003</v>
      </c>
      <c r="F747" s="77">
        <v>0.99365000000000003</v>
      </c>
      <c r="G747" s="75">
        <v>33.997</v>
      </c>
      <c r="H747" s="88">
        <v>0.99762076</v>
      </c>
      <c r="I747" s="77">
        <v>0.9873343</v>
      </c>
      <c r="J747" s="15">
        <v>65.516000000000005</v>
      </c>
      <c r="R747" s="53">
        <v>472.51</v>
      </c>
      <c r="S747" s="76">
        <v>1.0676712999999999E-2</v>
      </c>
      <c r="T747" s="138">
        <v>0.18738737999999999</v>
      </c>
    </row>
    <row r="748" spans="5:20">
      <c r="E748" s="130">
        <v>0.99912999999999996</v>
      </c>
      <c r="F748" s="77">
        <v>0.99361999999999995</v>
      </c>
      <c r="G748" s="75">
        <v>33.997999999999998</v>
      </c>
      <c r="H748" s="88">
        <v>0.99761540000000004</v>
      </c>
      <c r="I748" s="77">
        <v>0.98731612999999996</v>
      </c>
      <c r="J748" s="15">
        <v>65.516999999999996</v>
      </c>
      <c r="R748" s="53">
        <v>472.52</v>
      </c>
      <c r="S748" s="76">
        <v>1.0660800999999999E-2</v>
      </c>
      <c r="T748" s="138">
        <v>0.18715101000000001</v>
      </c>
    </row>
    <row r="749" spans="5:20">
      <c r="E749" s="130">
        <v>0.99912999999999996</v>
      </c>
      <c r="F749" s="77">
        <v>0.99358999999999997</v>
      </c>
      <c r="G749" s="75">
        <v>33.999000000000002</v>
      </c>
      <c r="H749" s="88">
        <v>0.99761010000000006</v>
      </c>
      <c r="I749" s="77">
        <v>0.98729800000000001</v>
      </c>
      <c r="J749" s="15">
        <v>65.518000000000001</v>
      </c>
      <c r="R749" s="53">
        <v>472.53</v>
      </c>
      <c r="S749" s="76">
        <v>1.0644893000000001E-2</v>
      </c>
      <c r="T749" s="138">
        <v>0.18691461000000001</v>
      </c>
    </row>
    <row r="750" spans="5:20">
      <c r="E750" s="130">
        <v>0.99912000000000001</v>
      </c>
      <c r="F750" s="77">
        <v>0.99355000000000004</v>
      </c>
      <c r="G750" s="75">
        <v>34</v>
      </c>
      <c r="H750" s="88">
        <v>0.99760470000000001</v>
      </c>
      <c r="I750" s="77">
        <v>0.98727989999999999</v>
      </c>
      <c r="J750" s="15">
        <v>65.519000000000005</v>
      </c>
      <c r="R750" s="53">
        <v>472.54</v>
      </c>
      <c r="S750" s="76">
        <v>1.0628991000000001E-2</v>
      </c>
      <c r="T750" s="138">
        <v>0.18667813999999999</v>
      </c>
    </row>
    <row r="751" spans="5:20">
      <c r="E751" s="130">
        <v>0.99912000000000001</v>
      </c>
      <c r="F751" s="77">
        <v>0.99351999999999996</v>
      </c>
      <c r="G751" s="75">
        <v>34.000999999999998</v>
      </c>
      <c r="H751" s="88">
        <v>0.99759940000000003</v>
      </c>
      <c r="I751" s="77">
        <v>0.98726170000000002</v>
      </c>
      <c r="J751" s="15">
        <v>65.52</v>
      </c>
      <c r="R751" s="53">
        <v>472.55</v>
      </c>
      <c r="S751" s="76">
        <v>1.0613091999999999E-2</v>
      </c>
      <c r="T751" s="138">
        <v>0.18644164999999999</v>
      </c>
    </row>
    <row r="752" spans="5:20">
      <c r="E752" s="130">
        <v>0.99911000000000005</v>
      </c>
      <c r="F752" s="77">
        <v>0.99348999999999998</v>
      </c>
      <c r="G752" s="75">
        <v>34.002000000000002</v>
      </c>
      <c r="H752" s="88">
        <v>0.99759405999999995</v>
      </c>
      <c r="I752" s="77">
        <v>0.9872436</v>
      </c>
      <c r="J752" s="15">
        <v>65.521000000000001</v>
      </c>
      <c r="R752" s="53">
        <v>472.56</v>
      </c>
      <c r="S752" s="76">
        <v>1.0597199E-2</v>
      </c>
      <c r="T752" s="138">
        <v>0.18620508999999999</v>
      </c>
    </row>
    <row r="753" spans="5:20">
      <c r="E753" s="130">
        <v>0.99909999999999999</v>
      </c>
      <c r="F753" s="77">
        <v>0.99345000000000006</v>
      </c>
      <c r="G753" s="75">
        <v>34.003</v>
      </c>
      <c r="H753" s="88">
        <v>0.99758869999999999</v>
      </c>
      <c r="I753" s="77">
        <v>0.98722549999999998</v>
      </c>
      <c r="J753" s="15">
        <v>65.522000000000006</v>
      </c>
      <c r="R753" s="53">
        <v>472.57</v>
      </c>
      <c r="S753" s="76">
        <v>1.058131E-2</v>
      </c>
      <c r="T753" s="138">
        <v>0.18596848999999999</v>
      </c>
    </row>
    <row r="754" spans="5:20">
      <c r="E754" s="130">
        <v>0.99909999999999999</v>
      </c>
      <c r="F754" s="77">
        <v>0.99341999999999997</v>
      </c>
      <c r="G754" s="75">
        <v>34.003999999999998</v>
      </c>
      <c r="H754" s="88">
        <v>0.99758329999999995</v>
      </c>
      <c r="I754" s="77">
        <v>0.98720730000000001</v>
      </c>
      <c r="J754" s="15">
        <v>65.522999999999996</v>
      </c>
      <c r="R754" s="53">
        <v>472.58</v>
      </c>
      <c r="S754" s="76">
        <v>1.0565425E-2</v>
      </c>
      <c r="T754" s="138">
        <v>0.18573184000000001</v>
      </c>
    </row>
    <row r="755" spans="5:20">
      <c r="E755" s="130">
        <v>0.99909000000000003</v>
      </c>
      <c r="F755" s="77">
        <v>0.99339</v>
      </c>
      <c r="G755" s="75">
        <v>34.005000000000003</v>
      </c>
      <c r="H755" s="88">
        <v>0.99757790000000002</v>
      </c>
      <c r="I755" s="77">
        <v>0.98718910000000004</v>
      </c>
      <c r="J755" s="15">
        <v>65.524000000000001</v>
      </c>
      <c r="R755" s="53">
        <v>472.59</v>
      </c>
      <c r="S755" s="76">
        <v>1.0549546E-2</v>
      </c>
      <c r="T755" s="138">
        <v>0.18549515</v>
      </c>
    </row>
    <row r="756" spans="5:20">
      <c r="E756" s="130">
        <v>0.99909000000000003</v>
      </c>
      <c r="F756" s="77">
        <v>0.99334999999999996</v>
      </c>
      <c r="G756" s="75">
        <v>34.006</v>
      </c>
      <c r="H756" s="88">
        <v>0.99757253999999995</v>
      </c>
      <c r="I756" s="77">
        <v>0.98717100000000002</v>
      </c>
      <c r="J756" s="15">
        <v>65.525000000000006</v>
      </c>
      <c r="R756" s="53">
        <v>472.6</v>
      </c>
      <c r="S756" s="76">
        <v>1.0533671E-2</v>
      </c>
      <c r="T756" s="138">
        <v>0.18525842000000001</v>
      </c>
    </row>
    <row r="757" spans="5:20">
      <c r="E757" s="130">
        <v>0.99907999999999997</v>
      </c>
      <c r="F757" s="77">
        <v>0.99331999999999998</v>
      </c>
      <c r="G757" s="75">
        <v>34.006999999999998</v>
      </c>
      <c r="H757" s="88">
        <v>0.99756710000000004</v>
      </c>
      <c r="I757" s="77">
        <v>0.98715280000000005</v>
      </c>
      <c r="J757" s="15">
        <v>65.525999999999996</v>
      </c>
      <c r="R757" s="53">
        <v>472.61</v>
      </c>
      <c r="S757" s="76">
        <v>1.0517800000000001E-2</v>
      </c>
      <c r="T757" s="138">
        <v>0.18502163999999999</v>
      </c>
    </row>
    <row r="758" spans="5:20">
      <c r="E758" s="130">
        <v>0.99907000000000001</v>
      </c>
      <c r="F758" s="77">
        <v>0.99329000000000001</v>
      </c>
      <c r="G758" s="75">
        <v>34.008000000000003</v>
      </c>
      <c r="H758" s="88">
        <v>0.9975617</v>
      </c>
      <c r="I758" s="77">
        <v>0.98713463999999995</v>
      </c>
      <c r="J758" s="15">
        <v>65.527000000000001</v>
      </c>
      <c r="R758" s="53">
        <v>472.62</v>
      </c>
      <c r="S758" s="76">
        <v>1.0501933999999999E-2</v>
      </c>
      <c r="T758" s="138">
        <v>0.1847848</v>
      </c>
    </row>
    <row r="759" spans="5:20">
      <c r="E759" s="130">
        <v>0.99907000000000001</v>
      </c>
      <c r="F759" s="77">
        <v>0.99324999999999997</v>
      </c>
      <c r="G759" s="75">
        <v>34.009</v>
      </c>
      <c r="H759" s="88">
        <v>0.99755627000000002</v>
      </c>
      <c r="I759" s="77">
        <v>0.98711649999999995</v>
      </c>
      <c r="J759" s="15">
        <v>65.528000000000006</v>
      </c>
      <c r="R759" s="53">
        <v>472.63</v>
      </c>
      <c r="S759" s="76">
        <v>1.0486073E-2</v>
      </c>
      <c r="T759" s="138">
        <v>0.18454792</v>
      </c>
    </row>
    <row r="760" spans="5:20">
      <c r="E760" s="130">
        <v>0.99905999999999995</v>
      </c>
      <c r="F760" s="77">
        <v>0.99321999999999999</v>
      </c>
      <c r="G760" s="75">
        <v>34.01</v>
      </c>
      <c r="H760" s="88">
        <v>0.99755084999999999</v>
      </c>
      <c r="I760" s="77">
        <v>0.98709833999999996</v>
      </c>
      <c r="J760" s="15">
        <v>65.528999999999996</v>
      </c>
      <c r="R760" s="53">
        <v>472.64</v>
      </c>
      <c r="S760" s="76">
        <v>1.0470215999999999E-2</v>
      </c>
      <c r="T760" s="138">
        <v>0.184311</v>
      </c>
    </row>
    <row r="761" spans="5:20">
      <c r="E761" s="130">
        <v>0.99904999999999999</v>
      </c>
      <c r="F761" s="77">
        <v>0.99319000000000002</v>
      </c>
      <c r="G761" s="75">
        <v>34.011000000000003</v>
      </c>
      <c r="H761" s="88">
        <v>0.99754540000000003</v>
      </c>
      <c r="I761" s="77">
        <v>0.98708015999999998</v>
      </c>
      <c r="J761" s="15">
        <v>65.53</v>
      </c>
      <c r="R761" s="53">
        <v>472.65</v>
      </c>
      <c r="S761" s="76">
        <v>1.0454364000000001E-2</v>
      </c>
      <c r="T761" s="138">
        <v>0.18407403</v>
      </c>
    </row>
    <row r="762" spans="5:20">
      <c r="E762" s="130">
        <v>0.99904999999999999</v>
      </c>
      <c r="F762" s="77">
        <v>0.99314999999999998</v>
      </c>
      <c r="G762" s="75">
        <v>34.012</v>
      </c>
      <c r="H762" s="88">
        <v>0.99753994000000001</v>
      </c>
      <c r="I762" s="77">
        <v>0.98706199999999999</v>
      </c>
      <c r="J762" s="15">
        <v>65.531000000000006</v>
      </c>
      <c r="R762" s="53">
        <v>472.66</v>
      </c>
      <c r="S762" s="76">
        <v>1.0438517E-2</v>
      </c>
      <c r="T762" s="138">
        <v>0.18383701</v>
      </c>
    </row>
    <row r="763" spans="5:20">
      <c r="E763" s="130">
        <v>0.99904000000000004</v>
      </c>
      <c r="F763" s="77">
        <v>0.99312</v>
      </c>
      <c r="G763" s="75">
        <v>34.012999999999998</v>
      </c>
      <c r="H763" s="88">
        <v>0.99753449999999999</v>
      </c>
      <c r="I763" s="77">
        <v>0.98704380000000003</v>
      </c>
      <c r="J763" s="15">
        <v>65.531999999999996</v>
      </c>
      <c r="R763" s="53">
        <v>472.67</v>
      </c>
      <c r="S763" s="76">
        <v>1.0422674E-2</v>
      </c>
      <c r="T763" s="138">
        <v>0.18359992999999999</v>
      </c>
    </row>
    <row r="764" spans="5:20">
      <c r="E764" s="130">
        <v>0.99902999999999997</v>
      </c>
      <c r="F764" s="77">
        <v>0.99309000000000003</v>
      </c>
      <c r="G764" s="75">
        <v>34.014000000000003</v>
      </c>
      <c r="H764" s="88">
        <v>0.99752903000000004</v>
      </c>
      <c r="I764" s="77">
        <v>0.98702559999999995</v>
      </c>
      <c r="J764" s="15">
        <v>65.533000000000001</v>
      </c>
      <c r="R764" s="53">
        <v>472.68</v>
      </c>
      <c r="S764" s="76">
        <v>1.0406835E-2</v>
      </c>
      <c r="T764" s="138">
        <v>0.18336283</v>
      </c>
    </row>
    <row r="765" spans="5:20">
      <c r="E765" s="130">
        <v>0.99902999999999997</v>
      </c>
      <c r="F765" s="77">
        <v>0.99304999999999999</v>
      </c>
      <c r="G765" s="75">
        <v>34.015000000000001</v>
      </c>
      <c r="H765" s="88">
        <v>0.99752355000000004</v>
      </c>
      <c r="I765" s="77">
        <v>0.98700743999999996</v>
      </c>
      <c r="J765" s="15">
        <v>65.534000000000006</v>
      </c>
      <c r="R765" s="53">
        <v>472.69</v>
      </c>
      <c r="S765" s="76">
        <v>1.0391002E-2</v>
      </c>
      <c r="T765" s="138">
        <v>0.18312566</v>
      </c>
    </row>
    <row r="766" spans="5:20">
      <c r="E766" s="130">
        <v>0.99902000000000002</v>
      </c>
      <c r="F766" s="77">
        <v>0.99302000000000001</v>
      </c>
      <c r="G766" s="75">
        <v>34.015999999999998</v>
      </c>
      <c r="H766" s="88">
        <v>0.99751805999999998</v>
      </c>
      <c r="I766" s="77">
        <v>0.98698925999999998</v>
      </c>
      <c r="J766" s="15">
        <v>65.534999999999997</v>
      </c>
      <c r="R766" s="53">
        <v>472.7</v>
      </c>
      <c r="S766" s="76">
        <v>1.0375172E-2</v>
      </c>
      <c r="T766" s="138">
        <v>0.18288846</v>
      </c>
    </row>
    <row r="767" spans="5:20">
      <c r="E767" s="130">
        <v>0.99900999999999995</v>
      </c>
      <c r="F767" s="77">
        <v>0.99299000000000004</v>
      </c>
      <c r="G767" s="75">
        <v>34.017000000000003</v>
      </c>
      <c r="H767" s="88">
        <v>0.99751259999999997</v>
      </c>
      <c r="I767" s="77">
        <v>0.98697109999999999</v>
      </c>
      <c r="J767" s="15">
        <v>65.536000000000001</v>
      </c>
      <c r="R767" s="53">
        <v>472.71</v>
      </c>
      <c r="S767" s="76">
        <v>1.0359348000000001E-2</v>
      </c>
      <c r="T767" s="138">
        <v>0.18265120000000001</v>
      </c>
    </row>
    <row r="768" spans="5:20">
      <c r="E768" s="130">
        <v>0.99900999999999995</v>
      </c>
      <c r="F768" s="77">
        <v>0.99295</v>
      </c>
      <c r="G768" s="75">
        <v>34.018000000000001</v>
      </c>
      <c r="H768" s="88">
        <v>0.99750704000000001</v>
      </c>
      <c r="I768" s="77">
        <v>0.98695284000000005</v>
      </c>
      <c r="J768" s="15">
        <v>65.537000000000006</v>
      </c>
      <c r="R768" s="53">
        <v>472.72</v>
      </c>
      <c r="S768" s="76">
        <v>1.0343527E-2</v>
      </c>
      <c r="T768" s="138">
        <v>0.18241389999999999</v>
      </c>
    </row>
    <row r="769" spans="5:20">
      <c r="E769" s="130">
        <v>0.999</v>
      </c>
      <c r="F769" s="77">
        <v>0.99292000000000002</v>
      </c>
      <c r="G769" s="75">
        <v>34.018999999999998</v>
      </c>
      <c r="H769" s="88">
        <v>0.99750154999999996</v>
      </c>
      <c r="I769" s="77">
        <v>0.98693465999999996</v>
      </c>
      <c r="J769" s="15">
        <v>65.537999999999997</v>
      </c>
      <c r="R769" s="53">
        <v>472.73</v>
      </c>
      <c r="S769" s="76">
        <v>1.0327711999999999E-2</v>
      </c>
      <c r="T769" s="138">
        <v>0.18217655999999999</v>
      </c>
    </row>
    <row r="770" spans="5:20">
      <c r="E770" s="130">
        <v>0.99899000000000004</v>
      </c>
      <c r="F770" s="77">
        <v>0.99289000000000005</v>
      </c>
      <c r="G770" s="75">
        <v>34.020000000000003</v>
      </c>
      <c r="H770" s="88">
        <v>0.99749600000000005</v>
      </c>
      <c r="I770" s="77">
        <v>0.98691649999999997</v>
      </c>
      <c r="J770" s="15">
        <v>65.539000000000001</v>
      </c>
      <c r="R770" s="53">
        <v>472.74</v>
      </c>
      <c r="S770" s="76">
        <v>1.0311902E-2</v>
      </c>
      <c r="T770" s="138">
        <v>0.18193917000000001</v>
      </c>
    </row>
    <row r="771" spans="5:20">
      <c r="E771" s="130">
        <v>0.99899000000000004</v>
      </c>
      <c r="F771" s="77">
        <v>0.99285000000000001</v>
      </c>
      <c r="G771" s="75">
        <v>34.021000000000001</v>
      </c>
      <c r="H771" s="88">
        <v>0.99749047000000002</v>
      </c>
      <c r="I771" s="77">
        <v>0.98689824000000004</v>
      </c>
      <c r="J771" s="15">
        <v>65.540000000000006</v>
      </c>
      <c r="R771" s="53">
        <v>472.75</v>
      </c>
      <c r="S771" s="76">
        <v>1.0296095E-2</v>
      </c>
      <c r="T771" s="138">
        <v>0.18170172000000001</v>
      </c>
    </row>
    <row r="772" spans="5:20">
      <c r="E772" s="130">
        <v>0.99897999999999998</v>
      </c>
      <c r="F772" s="77">
        <v>0.99282000000000004</v>
      </c>
      <c r="G772" s="75">
        <v>34.021999999999998</v>
      </c>
      <c r="H772" s="88">
        <v>0.99748490000000001</v>
      </c>
      <c r="I772" s="77">
        <v>0.98688005999999995</v>
      </c>
      <c r="J772" s="15">
        <v>65.540999999999997</v>
      </c>
      <c r="R772" s="53">
        <v>472.76</v>
      </c>
      <c r="S772" s="76">
        <v>1.0280292999999999E-2</v>
      </c>
      <c r="T772" s="138">
        <v>0.18146424</v>
      </c>
    </row>
    <row r="773" spans="5:20">
      <c r="E773" s="130">
        <v>0.99897999999999998</v>
      </c>
      <c r="F773" s="77">
        <v>0.99278999999999995</v>
      </c>
      <c r="G773" s="75">
        <v>34.023000000000003</v>
      </c>
      <c r="H773" s="88">
        <v>0.99747940000000002</v>
      </c>
      <c r="I773" s="77">
        <v>0.98686180000000001</v>
      </c>
      <c r="J773" s="15">
        <v>65.542000000000002</v>
      </c>
      <c r="R773" s="53">
        <v>472.77</v>
      </c>
      <c r="S773" s="76">
        <v>1.0264495E-2</v>
      </c>
      <c r="T773" s="138">
        <v>0.18122669999999999</v>
      </c>
    </row>
    <row r="774" spans="5:20">
      <c r="E774" s="130">
        <v>0.99897000000000002</v>
      </c>
      <c r="F774" s="77">
        <v>0.99275000000000002</v>
      </c>
      <c r="G774" s="75">
        <v>34.024000000000001</v>
      </c>
      <c r="H774" s="88">
        <v>0.99747379999999997</v>
      </c>
      <c r="I774" s="77">
        <v>0.98684364999999996</v>
      </c>
      <c r="J774" s="15">
        <v>65.543000000000006</v>
      </c>
      <c r="R774" s="53">
        <v>472.78</v>
      </c>
      <c r="S774" s="76">
        <v>1.0248703E-2</v>
      </c>
      <c r="T774" s="138">
        <v>0.18098913</v>
      </c>
    </row>
    <row r="775" spans="5:20">
      <c r="E775" s="130">
        <v>0.99895999999999996</v>
      </c>
      <c r="F775" s="77">
        <v>0.99272000000000005</v>
      </c>
      <c r="G775" s="75">
        <v>34.024999999999999</v>
      </c>
      <c r="H775" s="88">
        <v>0.99746822999999996</v>
      </c>
      <c r="I775" s="77">
        <v>0.98682539999999996</v>
      </c>
      <c r="J775" s="15">
        <v>65.543999999999997</v>
      </c>
      <c r="R775" s="53">
        <v>472.79</v>
      </c>
      <c r="S775" s="76">
        <v>1.0232915E-2</v>
      </c>
      <c r="T775" s="138">
        <v>0.18075150000000001</v>
      </c>
    </row>
    <row r="776" spans="5:20">
      <c r="E776" s="130">
        <v>0.99895</v>
      </c>
      <c r="F776" s="77">
        <v>0.99268999999999996</v>
      </c>
      <c r="G776" s="75">
        <v>34.026000000000003</v>
      </c>
      <c r="H776" s="88">
        <v>0.99746263000000002</v>
      </c>
      <c r="I776" s="77">
        <v>0.9868072</v>
      </c>
      <c r="J776" s="15">
        <v>65.545000000000002</v>
      </c>
      <c r="R776" s="53">
        <v>472.8</v>
      </c>
      <c r="S776" s="76">
        <v>1.0217131000000001E-2</v>
      </c>
      <c r="T776" s="138">
        <v>0.18051382999999999</v>
      </c>
    </row>
    <row r="777" spans="5:20">
      <c r="E777" s="130">
        <v>0.99895</v>
      </c>
      <c r="F777" s="77">
        <v>0.99265000000000003</v>
      </c>
      <c r="G777" s="75">
        <v>34.027000000000001</v>
      </c>
      <c r="H777" s="88">
        <v>0.99745700000000004</v>
      </c>
      <c r="I777" s="77">
        <v>0.98678900000000003</v>
      </c>
      <c r="J777" s="15">
        <v>65.546000000000006</v>
      </c>
      <c r="R777" s="53">
        <v>472.81</v>
      </c>
      <c r="S777" s="76">
        <v>1.0201353E-2</v>
      </c>
      <c r="T777" s="138">
        <v>0.18027609999999999</v>
      </c>
    </row>
    <row r="778" spans="5:20">
      <c r="E778" s="130">
        <v>0.99894000000000005</v>
      </c>
      <c r="F778" s="77">
        <v>0.99261999999999995</v>
      </c>
      <c r="G778" s="75">
        <v>34.027999999999999</v>
      </c>
      <c r="H778" s="88">
        <v>0.99745139999999999</v>
      </c>
      <c r="I778" s="77">
        <v>0.98677075000000003</v>
      </c>
      <c r="J778" s="15">
        <v>65.546999999999997</v>
      </c>
      <c r="R778" s="53">
        <v>472.82</v>
      </c>
      <c r="S778" s="76">
        <v>1.0185578000000001E-2</v>
      </c>
      <c r="T778" s="138">
        <v>0.18003833</v>
      </c>
    </row>
    <row r="779" spans="5:20">
      <c r="E779" s="130">
        <v>0.99892999999999998</v>
      </c>
      <c r="F779" s="77">
        <v>0.99258000000000002</v>
      </c>
      <c r="G779" s="75">
        <v>34.029000000000003</v>
      </c>
      <c r="H779" s="88">
        <v>0.99744575999999996</v>
      </c>
      <c r="I779" s="77">
        <v>0.98675250000000003</v>
      </c>
      <c r="J779" s="15">
        <v>65.548000000000002</v>
      </c>
      <c r="R779" s="53">
        <v>472.83</v>
      </c>
      <c r="S779" s="76">
        <v>1.0169808000000001E-2</v>
      </c>
      <c r="T779" s="138">
        <v>0.17980052999999999</v>
      </c>
    </row>
    <row r="780" spans="5:20">
      <c r="E780" s="130">
        <v>0.99892999999999998</v>
      </c>
      <c r="F780" s="77">
        <v>0.99255000000000004</v>
      </c>
      <c r="G780" s="75">
        <v>34.03</v>
      </c>
      <c r="H780" s="88">
        <v>0.99744016000000002</v>
      </c>
      <c r="I780" s="77">
        <v>0.98673432999999999</v>
      </c>
      <c r="J780" s="15">
        <v>65.549000000000007</v>
      </c>
      <c r="R780" s="53">
        <v>472.84</v>
      </c>
      <c r="S780" s="76">
        <v>1.0154042E-2</v>
      </c>
      <c r="T780" s="138">
        <v>0.17956266000000001</v>
      </c>
    </row>
    <row r="781" spans="5:20">
      <c r="E781" s="130">
        <v>0.99892000000000003</v>
      </c>
      <c r="F781" s="77">
        <v>0.99251999999999996</v>
      </c>
      <c r="G781" s="75">
        <v>34.030999999999999</v>
      </c>
      <c r="H781" s="88">
        <v>0.9974345</v>
      </c>
      <c r="I781" s="77">
        <v>0.98671609999999998</v>
      </c>
      <c r="J781" s="15">
        <v>65.55</v>
      </c>
      <c r="R781" s="53">
        <v>472.85</v>
      </c>
      <c r="S781" s="76">
        <v>1.0138282E-2</v>
      </c>
      <c r="T781" s="138">
        <v>0.17932475</v>
      </c>
    </row>
    <row r="782" spans="5:20">
      <c r="E782" s="130">
        <v>0.99890999999999996</v>
      </c>
      <c r="F782" s="77">
        <v>0.99248000000000003</v>
      </c>
      <c r="G782" s="75">
        <v>34.031999999999996</v>
      </c>
      <c r="H782" s="88">
        <v>0.99742889999999995</v>
      </c>
      <c r="I782" s="77">
        <v>0.98669784999999999</v>
      </c>
      <c r="J782" s="15">
        <v>65.551000000000002</v>
      </c>
      <c r="R782" s="53">
        <v>472.86</v>
      </c>
      <c r="S782" s="76">
        <v>1.01225255E-2</v>
      </c>
      <c r="T782" s="138">
        <v>0.17908679</v>
      </c>
    </row>
    <row r="783" spans="5:20">
      <c r="E783" s="130">
        <v>0.99890999999999996</v>
      </c>
      <c r="F783" s="77">
        <v>0.99245000000000005</v>
      </c>
      <c r="G783" s="75">
        <v>34.033000000000001</v>
      </c>
      <c r="H783" s="88">
        <v>0.99742322999999999</v>
      </c>
      <c r="I783" s="77">
        <v>0.98667959999999999</v>
      </c>
      <c r="J783" s="15">
        <v>65.552000000000007</v>
      </c>
      <c r="R783" s="53">
        <v>472.87</v>
      </c>
      <c r="S783" s="76">
        <v>1.0106772999999999E-2</v>
      </c>
      <c r="T783" s="138">
        <v>0.17884879000000001</v>
      </c>
    </row>
    <row r="784" spans="5:20">
      <c r="E784" s="130">
        <v>0.99890000000000001</v>
      </c>
      <c r="F784" s="77">
        <v>0.99241999999999997</v>
      </c>
      <c r="G784" s="75">
        <v>34.033999999999999</v>
      </c>
      <c r="H784" s="88">
        <v>0.99741756999999998</v>
      </c>
      <c r="I784" s="77">
        <v>0.98666129999999996</v>
      </c>
      <c r="J784" s="15">
        <v>65.552999999999997</v>
      </c>
      <c r="R784" s="53">
        <v>472.88</v>
      </c>
      <c r="S784" s="76">
        <v>1.0091025999999999E-2</v>
      </c>
      <c r="T784" s="138">
        <v>0.17861073999999999</v>
      </c>
    </row>
    <row r="785" spans="5:20">
      <c r="E785" s="130">
        <v>0.99888999999999994</v>
      </c>
      <c r="F785" s="77">
        <v>0.99238000000000004</v>
      </c>
      <c r="G785" s="75">
        <v>34.034999999999997</v>
      </c>
      <c r="H785" s="88">
        <v>0.99741184999999999</v>
      </c>
      <c r="I785" s="77">
        <v>0.9866431</v>
      </c>
      <c r="J785" s="15">
        <v>65.554000000000002</v>
      </c>
      <c r="R785" s="53">
        <v>472.89</v>
      </c>
      <c r="S785" s="76">
        <v>1.0075283000000001E-2</v>
      </c>
      <c r="T785" s="138">
        <v>0.17837264999999999</v>
      </c>
    </row>
    <row r="786" spans="5:20">
      <c r="E786" s="130">
        <v>0.99888999999999994</v>
      </c>
      <c r="F786" s="77">
        <v>0.99234999999999995</v>
      </c>
      <c r="G786" s="75">
        <v>34.036000000000001</v>
      </c>
      <c r="H786" s="88">
        <v>0.99740620000000002</v>
      </c>
      <c r="I786" s="77">
        <v>0.98662483999999995</v>
      </c>
      <c r="J786" s="15">
        <v>65.555000000000007</v>
      </c>
      <c r="R786" s="53">
        <v>472.9</v>
      </c>
      <c r="S786" s="76">
        <v>1.0059545E-2</v>
      </c>
      <c r="T786" s="138">
        <v>0.1781345</v>
      </c>
    </row>
    <row r="787" spans="5:20">
      <c r="E787" s="130">
        <v>0.99887999999999999</v>
      </c>
      <c r="F787" s="77">
        <v>0.99231999999999998</v>
      </c>
      <c r="G787" s="75">
        <v>34.036999999999999</v>
      </c>
      <c r="H787" s="88">
        <v>0.99740046000000004</v>
      </c>
      <c r="I787" s="77">
        <v>0.9866066</v>
      </c>
      <c r="J787" s="15">
        <v>65.555999999999997</v>
      </c>
      <c r="R787" s="53">
        <v>472.91</v>
      </c>
      <c r="S787" s="76">
        <v>1.0043811E-2</v>
      </c>
      <c r="T787" s="138">
        <v>0.17789632</v>
      </c>
    </row>
    <row r="788" spans="5:20">
      <c r="E788" s="130">
        <v>0.99887000000000004</v>
      </c>
      <c r="F788" s="77">
        <v>0.99228000000000005</v>
      </c>
      <c r="G788" s="75">
        <v>34.037999999999997</v>
      </c>
      <c r="H788" s="88">
        <v>0.99739473999999995</v>
      </c>
      <c r="I788" s="77">
        <v>0.98658836000000005</v>
      </c>
      <c r="J788" s="15">
        <v>65.557000000000002</v>
      </c>
      <c r="R788" s="53">
        <v>472.92</v>
      </c>
      <c r="S788" s="76">
        <v>1.0028082000000001E-2</v>
      </c>
      <c r="T788" s="138">
        <v>0.17765808</v>
      </c>
    </row>
    <row r="789" spans="5:20">
      <c r="E789" s="130">
        <v>0.99885999999999997</v>
      </c>
      <c r="F789" s="77">
        <v>0.99224999999999997</v>
      </c>
      <c r="G789" s="75">
        <v>34.039000000000001</v>
      </c>
      <c r="H789" s="88">
        <v>0.99738899999999997</v>
      </c>
      <c r="I789" s="77">
        <v>0.98657006000000003</v>
      </c>
      <c r="J789" s="15">
        <v>65.558000000000007</v>
      </c>
      <c r="R789" s="53">
        <v>472.93</v>
      </c>
      <c r="S789" s="76">
        <v>1.0012357499999999E-2</v>
      </c>
      <c r="T789" s="138">
        <v>0.17741979999999999</v>
      </c>
    </row>
    <row r="790" spans="5:20">
      <c r="E790" s="130">
        <v>0.99885999999999997</v>
      </c>
      <c r="F790" s="77">
        <v>0.99221000000000004</v>
      </c>
      <c r="G790" s="75">
        <v>34.04</v>
      </c>
      <c r="H790" s="88">
        <v>0.99738329999999997</v>
      </c>
      <c r="I790" s="77">
        <v>0.98655179999999998</v>
      </c>
      <c r="J790" s="15">
        <v>65.558999999999997</v>
      </c>
      <c r="R790" s="53">
        <v>472.94</v>
      </c>
      <c r="S790" s="76">
        <v>9.9966369999999992E-3</v>
      </c>
      <c r="T790" s="138">
        <v>0.17718147000000001</v>
      </c>
    </row>
    <row r="791" spans="5:20">
      <c r="E791" s="130">
        <v>0.99885000000000002</v>
      </c>
      <c r="F791" s="77">
        <v>0.99217999999999995</v>
      </c>
      <c r="G791" s="75">
        <v>34.040999999999997</v>
      </c>
      <c r="H791" s="88">
        <v>0.99737759999999998</v>
      </c>
      <c r="I791" s="77">
        <v>0.98653349999999995</v>
      </c>
      <c r="J791" s="15">
        <v>65.56</v>
      </c>
      <c r="R791" s="53">
        <v>472.95</v>
      </c>
      <c r="S791" s="76">
        <v>9.9809210000000002E-3</v>
      </c>
      <c r="T791" s="138">
        <v>0.17694309999999999</v>
      </c>
    </row>
    <row r="792" spans="5:20">
      <c r="E792" s="130">
        <v>0.99883999999999995</v>
      </c>
      <c r="F792" s="77">
        <v>0.99214999999999998</v>
      </c>
      <c r="G792" s="75">
        <v>34.042000000000002</v>
      </c>
      <c r="H792" s="88">
        <v>0.99737180000000003</v>
      </c>
      <c r="I792" s="77">
        <v>0.98651529999999998</v>
      </c>
      <c r="J792" s="15">
        <v>65.561000000000007</v>
      </c>
      <c r="R792" s="53">
        <v>472.96</v>
      </c>
      <c r="S792" s="76">
        <v>9.9652100000000004E-3</v>
      </c>
      <c r="T792" s="138">
        <v>0.17670467000000001</v>
      </c>
    </row>
    <row r="793" spans="5:20">
      <c r="E793" s="130">
        <v>0.99883999999999995</v>
      </c>
      <c r="F793" s="77">
        <v>0.99211000000000005</v>
      </c>
      <c r="G793" s="75">
        <v>34.042999999999999</v>
      </c>
      <c r="H793" s="88">
        <v>0.99736610000000003</v>
      </c>
      <c r="I793" s="77">
        <v>0.98649699999999996</v>
      </c>
      <c r="J793" s="15">
        <v>65.561999999999998</v>
      </c>
      <c r="R793" s="53">
        <v>472.97</v>
      </c>
      <c r="S793" s="76">
        <v>9.9495034999999999E-3</v>
      </c>
      <c r="T793" s="138">
        <v>0.17646619999999999</v>
      </c>
    </row>
    <row r="794" spans="5:20">
      <c r="E794" s="130">
        <v>0.99883</v>
      </c>
      <c r="F794" s="77">
        <v>0.99207999999999996</v>
      </c>
      <c r="G794" s="75">
        <v>34.043999999999997</v>
      </c>
      <c r="H794" s="88">
        <v>0.99736029999999998</v>
      </c>
      <c r="I794" s="77">
        <v>0.98647874999999996</v>
      </c>
      <c r="J794" s="15">
        <v>65.563000000000002</v>
      </c>
      <c r="R794" s="53">
        <v>472.98</v>
      </c>
      <c r="S794" s="76">
        <v>9.9337999999999996E-3</v>
      </c>
      <c r="T794" s="138">
        <v>0.17622768999999999</v>
      </c>
    </row>
    <row r="795" spans="5:20">
      <c r="E795" s="130">
        <v>0.99882000000000004</v>
      </c>
      <c r="F795" s="77">
        <v>0.99204999999999999</v>
      </c>
      <c r="G795" s="75">
        <v>34.045000000000002</v>
      </c>
      <c r="H795" s="88">
        <v>0.99735450000000003</v>
      </c>
      <c r="I795" s="77">
        <v>0.98646045000000004</v>
      </c>
      <c r="J795" s="15">
        <v>65.563999999999993</v>
      </c>
      <c r="R795" s="53">
        <v>472.99</v>
      </c>
      <c r="S795" s="76">
        <v>9.9181029999999993E-3</v>
      </c>
      <c r="T795" s="138">
        <v>0.17598912</v>
      </c>
    </row>
    <row r="796" spans="5:20">
      <c r="E796" s="130">
        <v>0.99880999999999998</v>
      </c>
      <c r="F796" s="77">
        <v>0.99200999999999995</v>
      </c>
      <c r="G796" s="75">
        <v>34.045999999999999</v>
      </c>
      <c r="H796" s="88">
        <v>0.99734867000000005</v>
      </c>
      <c r="I796" s="77">
        <v>0.98644215000000002</v>
      </c>
      <c r="J796" s="15">
        <v>65.564999999999998</v>
      </c>
      <c r="R796" s="53">
        <v>473</v>
      </c>
      <c r="S796" s="76">
        <v>9.9024089999999992E-3</v>
      </c>
      <c r="T796" s="138">
        <v>0.17575051</v>
      </c>
    </row>
    <row r="797" spans="5:20">
      <c r="E797" s="130">
        <v>0.99880999999999998</v>
      </c>
      <c r="F797" s="77">
        <v>0.99197999999999997</v>
      </c>
      <c r="G797" s="75">
        <v>34.046999999999997</v>
      </c>
      <c r="H797" s="88">
        <v>0.99734290000000003</v>
      </c>
      <c r="I797" s="77">
        <v>0.98642384999999999</v>
      </c>
      <c r="J797" s="15">
        <v>65.566000000000003</v>
      </c>
      <c r="R797" s="53">
        <v>473.01</v>
      </c>
      <c r="S797" s="76">
        <v>9.8867209999999994E-3</v>
      </c>
      <c r="T797" s="138">
        <v>0.17551185</v>
      </c>
    </row>
    <row r="798" spans="5:20">
      <c r="E798" s="130">
        <v>0.99880000000000002</v>
      </c>
      <c r="F798" s="77">
        <v>0.99194000000000004</v>
      </c>
      <c r="G798" s="75">
        <v>34.048000000000002</v>
      </c>
      <c r="H798" s="88">
        <v>0.99733704000000001</v>
      </c>
      <c r="I798" s="77">
        <v>0.98640559999999999</v>
      </c>
      <c r="J798" s="15">
        <v>65.566999999999993</v>
      </c>
      <c r="R798" s="53">
        <v>473.02</v>
      </c>
      <c r="S798" s="76">
        <v>9.8710369999999992E-3</v>
      </c>
      <c r="T798" s="138">
        <v>0.17527314999999999</v>
      </c>
    </row>
    <row r="799" spans="5:20">
      <c r="E799" s="130">
        <v>0.99878999999999996</v>
      </c>
      <c r="F799" s="77">
        <v>0.99190999999999996</v>
      </c>
      <c r="G799" s="75">
        <v>34.048999999999999</v>
      </c>
      <c r="H799" s="88">
        <v>0.99733126000000005</v>
      </c>
      <c r="I799" s="77">
        <v>0.98638729999999997</v>
      </c>
      <c r="J799" s="15">
        <v>65.567999999999998</v>
      </c>
      <c r="R799" s="53">
        <v>473.03</v>
      </c>
      <c r="S799" s="76">
        <v>9.8553570000000004E-3</v>
      </c>
      <c r="T799" s="138">
        <v>0.17503440000000001</v>
      </c>
    </row>
    <row r="800" spans="5:20">
      <c r="E800" s="130">
        <v>0.99878</v>
      </c>
      <c r="F800" s="77">
        <v>0.99187999999999998</v>
      </c>
      <c r="G800" s="75">
        <v>34.049999999999997</v>
      </c>
      <c r="H800" s="88">
        <v>0.99732540000000003</v>
      </c>
      <c r="I800" s="77">
        <v>0.98636900000000005</v>
      </c>
      <c r="J800" s="15">
        <v>65.569000000000003</v>
      </c>
      <c r="R800" s="53">
        <v>473.04</v>
      </c>
      <c r="S800" s="76">
        <v>9.8396809999999994E-3</v>
      </c>
      <c r="T800" s="138">
        <v>0.1747956</v>
      </c>
    </row>
    <row r="801" spans="5:20">
      <c r="E801" s="130">
        <v>0.99878</v>
      </c>
      <c r="F801" s="77">
        <v>0.99184000000000005</v>
      </c>
      <c r="G801" s="75">
        <v>34.051000000000002</v>
      </c>
      <c r="H801" s="88">
        <v>0.99731950000000003</v>
      </c>
      <c r="I801" s="77">
        <v>0.98635070000000002</v>
      </c>
      <c r="J801" s="15">
        <v>65.569999999999993</v>
      </c>
      <c r="R801" s="53">
        <v>473.05</v>
      </c>
      <c r="S801" s="76">
        <v>9.8240110000000005E-3</v>
      </c>
      <c r="T801" s="138">
        <v>0.17455676000000001</v>
      </c>
    </row>
    <row r="802" spans="5:20">
      <c r="E802" s="130">
        <v>0.99877000000000005</v>
      </c>
      <c r="F802" s="77">
        <v>0.99180999999999997</v>
      </c>
      <c r="G802" s="75">
        <v>34.052</v>
      </c>
      <c r="H802" s="88">
        <v>0.99731369999999997</v>
      </c>
      <c r="I802" s="77">
        <v>0.9863324</v>
      </c>
      <c r="J802" s="15">
        <v>65.570999999999998</v>
      </c>
      <c r="R802" s="53">
        <v>473.06</v>
      </c>
      <c r="S802" s="76">
        <v>9.8083440000000001E-3</v>
      </c>
      <c r="T802" s="138">
        <v>0.17431787000000001</v>
      </c>
    </row>
    <row r="803" spans="5:20">
      <c r="E803" s="130">
        <v>0.99875999999999998</v>
      </c>
      <c r="F803" s="77">
        <v>0.99177999999999999</v>
      </c>
      <c r="G803" s="75">
        <v>34.052999999999997</v>
      </c>
      <c r="H803" s="88">
        <v>0.99730783999999995</v>
      </c>
      <c r="I803" s="77">
        <v>0.98631405999999999</v>
      </c>
      <c r="J803" s="15">
        <v>65.572000000000003</v>
      </c>
      <c r="R803" s="53">
        <v>473.07</v>
      </c>
      <c r="S803" s="76">
        <v>9.7926820000000005E-3</v>
      </c>
      <c r="T803" s="138">
        <v>0.17407892999999999</v>
      </c>
    </row>
    <row r="804" spans="5:20">
      <c r="E804" s="130">
        <v>0.99875000000000003</v>
      </c>
      <c r="F804" s="77">
        <v>0.99173999999999995</v>
      </c>
      <c r="G804" s="75">
        <v>34.054000000000002</v>
      </c>
      <c r="H804" s="88">
        <v>0.99730194000000005</v>
      </c>
      <c r="I804" s="77">
        <v>0.98629575999999997</v>
      </c>
      <c r="J804" s="15">
        <v>65.572999999999993</v>
      </c>
      <c r="R804" s="53">
        <v>473.08</v>
      </c>
      <c r="S804" s="76">
        <v>9.7770240000000005E-3</v>
      </c>
      <c r="T804" s="138">
        <v>0.17383994</v>
      </c>
    </row>
    <row r="805" spans="5:20">
      <c r="E805" s="130">
        <v>0.99875000000000003</v>
      </c>
      <c r="F805" s="77">
        <v>0.99170999999999998</v>
      </c>
      <c r="G805" s="75">
        <v>34.055</v>
      </c>
      <c r="H805" s="88">
        <v>0.99729604000000005</v>
      </c>
      <c r="I805" s="77">
        <v>0.98627746000000005</v>
      </c>
      <c r="J805" s="15">
        <v>65.573999999999998</v>
      </c>
      <c r="R805" s="53">
        <v>473.09</v>
      </c>
      <c r="S805" s="76">
        <v>9.7613720000000008E-3</v>
      </c>
      <c r="T805" s="138">
        <v>0.17360091</v>
      </c>
    </row>
    <row r="806" spans="5:20">
      <c r="E806" s="130">
        <v>0.99873999999999996</v>
      </c>
      <c r="F806" s="77">
        <v>0.99167000000000005</v>
      </c>
      <c r="G806" s="75">
        <v>34.055999999999997</v>
      </c>
      <c r="H806" s="88">
        <v>0.99729013</v>
      </c>
      <c r="I806" s="77">
        <v>0.98625916000000002</v>
      </c>
      <c r="J806" s="15">
        <v>65.575000000000003</v>
      </c>
      <c r="R806" s="53">
        <v>473.1</v>
      </c>
      <c r="S806" s="76">
        <v>9.7457229999999995E-3</v>
      </c>
      <c r="T806" s="138">
        <v>0.17336183999999999</v>
      </c>
    </row>
    <row r="807" spans="5:20">
      <c r="E807" s="130">
        <v>0.99873000000000001</v>
      </c>
      <c r="F807" s="77">
        <v>0.99163999999999997</v>
      </c>
      <c r="G807" s="75">
        <v>34.057000000000002</v>
      </c>
      <c r="H807" s="88">
        <v>0.99728422999999999</v>
      </c>
      <c r="I807" s="77">
        <v>0.98624080000000003</v>
      </c>
      <c r="J807" s="15">
        <v>65.575999999999993</v>
      </c>
      <c r="R807" s="53">
        <v>473.11</v>
      </c>
      <c r="S807" s="76">
        <v>9.7300779999999996E-3</v>
      </c>
      <c r="T807" s="138">
        <v>0.17312269999999999</v>
      </c>
    </row>
    <row r="808" spans="5:20">
      <c r="E808" s="130">
        <v>0.99872000000000005</v>
      </c>
      <c r="F808" s="77">
        <v>0.99160999999999999</v>
      </c>
      <c r="G808" s="75">
        <v>34.058</v>
      </c>
      <c r="H808" s="88">
        <v>0.99727829999999995</v>
      </c>
      <c r="I808" s="77">
        <v>0.9862225</v>
      </c>
      <c r="J808" s="15">
        <v>65.576999999999998</v>
      </c>
      <c r="R808" s="53">
        <v>473.12</v>
      </c>
      <c r="S808" s="76">
        <v>9.7144390000000001E-3</v>
      </c>
      <c r="T808" s="138">
        <v>0.17288354</v>
      </c>
    </row>
    <row r="809" spans="5:20">
      <c r="E809" s="130">
        <v>0.99872000000000005</v>
      </c>
      <c r="F809" s="77">
        <v>0.99156999999999995</v>
      </c>
      <c r="G809" s="75">
        <v>34.058999999999997</v>
      </c>
      <c r="H809" s="88">
        <v>0.99727239999999995</v>
      </c>
      <c r="I809" s="77">
        <v>0.98620414999999995</v>
      </c>
      <c r="J809" s="15">
        <v>65.578000000000003</v>
      </c>
      <c r="R809" s="53">
        <v>473.13</v>
      </c>
      <c r="S809" s="76">
        <v>9.6988040000000001E-3</v>
      </c>
      <c r="T809" s="138">
        <v>0.17264431999999999</v>
      </c>
    </row>
    <row r="810" spans="5:20">
      <c r="E810" s="130">
        <v>0.99870999999999999</v>
      </c>
      <c r="F810" s="77">
        <v>0.99153999999999998</v>
      </c>
      <c r="G810" s="75">
        <v>34.06</v>
      </c>
      <c r="H810" s="88">
        <v>0.9972664</v>
      </c>
      <c r="I810" s="77">
        <v>0.98618585000000003</v>
      </c>
      <c r="J810" s="15">
        <v>65.578999999999994</v>
      </c>
      <c r="R810" s="53">
        <v>473.14</v>
      </c>
      <c r="S810" s="76">
        <v>9.6831729999999998E-3</v>
      </c>
      <c r="T810" s="138">
        <v>0.17240505</v>
      </c>
    </row>
    <row r="811" spans="5:20">
      <c r="E811" s="130">
        <v>0.99870000000000003</v>
      </c>
      <c r="F811" s="77">
        <v>0.99150000000000005</v>
      </c>
      <c r="G811" s="75">
        <v>34.061</v>
      </c>
      <c r="H811" s="88">
        <v>0.99726044999999996</v>
      </c>
      <c r="I811" s="77">
        <v>0.98616749999999997</v>
      </c>
      <c r="J811" s="15">
        <v>65.58</v>
      </c>
      <c r="R811" s="53">
        <v>473.15</v>
      </c>
      <c r="S811" s="76">
        <v>9.6675465000000006E-3</v>
      </c>
      <c r="T811" s="138">
        <v>0.17216574000000001</v>
      </c>
    </row>
    <row r="812" spans="5:20">
      <c r="E812" s="130">
        <v>0.99868999999999997</v>
      </c>
      <c r="F812" s="77">
        <v>0.99146999999999996</v>
      </c>
      <c r="G812" s="75">
        <v>34.061999999999998</v>
      </c>
      <c r="H812" s="88">
        <v>0.99725450000000004</v>
      </c>
      <c r="I812" s="77">
        <v>0.98614913000000004</v>
      </c>
      <c r="J812" s="15">
        <v>65.581000000000003</v>
      </c>
      <c r="R812" s="53">
        <v>473.16</v>
      </c>
      <c r="S812" s="76">
        <v>9.6519245000000007E-3</v>
      </c>
      <c r="T812" s="138">
        <v>0.17192637999999999</v>
      </c>
    </row>
    <row r="813" spans="5:20">
      <c r="E813" s="130">
        <v>0.99868000000000001</v>
      </c>
      <c r="F813" s="77">
        <v>0.99143999999999999</v>
      </c>
      <c r="G813" s="75">
        <v>34.063000000000002</v>
      </c>
      <c r="H813" s="88">
        <v>0.99724853000000002</v>
      </c>
      <c r="I813" s="77">
        <v>0.98613083000000001</v>
      </c>
      <c r="J813" s="15">
        <v>65.581999999999994</v>
      </c>
      <c r="R813" s="53">
        <v>473.17</v>
      </c>
      <c r="S813" s="76">
        <v>9.6363070000000002E-3</v>
      </c>
      <c r="T813" s="138">
        <v>0.17168697999999999</v>
      </c>
    </row>
    <row r="814" spans="5:20">
      <c r="E814" s="130">
        <v>0.99868000000000001</v>
      </c>
      <c r="F814" s="77">
        <v>0.99139999999999995</v>
      </c>
      <c r="G814" s="75">
        <v>34.064</v>
      </c>
      <c r="H814" s="88">
        <v>0.99724250000000003</v>
      </c>
      <c r="I814" s="77">
        <v>0.98611249999999995</v>
      </c>
      <c r="J814" s="15">
        <v>65.582999999999998</v>
      </c>
      <c r="R814" s="53">
        <v>473.18</v>
      </c>
      <c r="S814" s="76">
        <v>9.6206940000000008E-3</v>
      </c>
      <c r="T814" s="138">
        <v>0.17144751999999999</v>
      </c>
    </row>
    <row r="815" spans="5:20">
      <c r="E815" s="130">
        <v>0.99866999999999995</v>
      </c>
      <c r="F815" s="77">
        <v>0.99136999999999997</v>
      </c>
      <c r="G815" s="75">
        <v>34.064999999999998</v>
      </c>
      <c r="H815" s="88">
        <v>0.99723649999999997</v>
      </c>
      <c r="I815" s="77">
        <v>0.98609409999999997</v>
      </c>
      <c r="J815" s="15">
        <v>65.584000000000003</v>
      </c>
      <c r="R815" s="53">
        <v>473.19</v>
      </c>
      <c r="S815" s="76">
        <v>9.6050855000000008E-3</v>
      </c>
      <c r="T815" s="138">
        <v>0.17120801999999999</v>
      </c>
    </row>
    <row r="816" spans="5:20">
      <c r="E816" s="130">
        <v>0.99865999999999999</v>
      </c>
      <c r="F816" s="77">
        <v>0.99134</v>
      </c>
      <c r="G816" s="75">
        <v>34.066000000000003</v>
      </c>
      <c r="H816" s="88">
        <v>0.99723046999999998</v>
      </c>
      <c r="I816" s="77">
        <v>0.98607575999999997</v>
      </c>
      <c r="J816" s="15">
        <v>65.584999999999994</v>
      </c>
      <c r="R816" s="53">
        <v>473.2</v>
      </c>
      <c r="S816" s="76">
        <v>9.5894810000000004E-3</v>
      </c>
      <c r="T816" s="138">
        <v>0.17096847000000001</v>
      </c>
    </row>
    <row r="817" spans="5:20">
      <c r="E817" s="130">
        <v>0.99865000000000004</v>
      </c>
      <c r="F817" s="77">
        <v>0.99129999999999996</v>
      </c>
      <c r="G817" s="75">
        <v>34.067</v>
      </c>
      <c r="H817" s="88">
        <v>0.99722445000000004</v>
      </c>
      <c r="I817" s="77">
        <v>0.98605739999999997</v>
      </c>
      <c r="J817" s="15">
        <v>65.585999999999999</v>
      </c>
      <c r="R817" s="53">
        <v>473.21</v>
      </c>
      <c r="S817" s="76">
        <v>9.5738815000000008E-3</v>
      </c>
      <c r="T817" s="138">
        <v>0.17072888</v>
      </c>
    </row>
    <row r="818" spans="5:20">
      <c r="E818" s="130">
        <v>0.99863999999999997</v>
      </c>
      <c r="F818" s="77">
        <v>0.99126999999999998</v>
      </c>
      <c r="G818" s="75">
        <v>34.067999999999998</v>
      </c>
      <c r="H818" s="88">
        <v>0.99721842999999999</v>
      </c>
      <c r="I818" s="77">
        <v>0.98603903999999998</v>
      </c>
      <c r="J818" s="15">
        <v>65.587000000000003</v>
      </c>
      <c r="R818" s="53">
        <v>473.22</v>
      </c>
      <c r="S818" s="76">
        <v>9.5582859999999992E-3</v>
      </c>
      <c r="T818" s="138">
        <v>0.17048923999999999</v>
      </c>
    </row>
    <row r="819" spans="5:20">
      <c r="E819" s="130">
        <v>0.99863999999999997</v>
      </c>
      <c r="F819" s="77">
        <v>0.99123000000000006</v>
      </c>
      <c r="G819" s="75">
        <v>34.069000000000003</v>
      </c>
      <c r="H819" s="88">
        <v>0.99721234999999997</v>
      </c>
      <c r="I819" s="77">
        <v>0.98602069999999997</v>
      </c>
      <c r="J819" s="15">
        <v>65.587999999999994</v>
      </c>
      <c r="R819" s="53">
        <v>473.23</v>
      </c>
      <c r="S819" s="76">
        <v>9.5426950000000003E-3</v>
      </c>
      <c r="T819" s="138">
        <v>0.17024955</v>
      </c>
    </row>
    <row r="820" spans="5:20">
      <c r="E820" s="130">
        <v>0.99863000000000002</v>
      </c>
      <c r="F820" s="77">
        <v>0.99119999999999997</v>
      </c>
      <c r="G820" s="75">
        <v>34.07</v>
      </c>
      <c r="H820" s="88">
        <v>0.99720633000000003</v>
      </c>
      <c r="I820" s="77">
        <v>0.9860023</v>
      </c>
      <c r="J820" s="15">
        <v>65.588999999999999</v>
      </c>
      <c r="R820" s="53">
        <v>473.24</v>
      </c>
      <c r="S820" s="76">
        <v>9.5271090000000006E-3</v>
      </c>
      <c r="T820" s="138">
        <v>0.17000982000000001</v>
      </c>
    </row>
    <row r="821" spans="5:20">
      <c r="E821" s="130">
        <v>0.99861999999999995</v>
      </c>
      <c r="F821" s="77">
        <v>0.99117</v>
      </c>
      <c r="G821" s="75">
        <v>34.070999999999998</v>
      </c>
      <c r="H821" s="88">
        <v>0.99720025000000001</v>
      </c>
      <c r="I821" s="77">
        <v>0.98598397000000004</v>
      </c>
      <c r="J821" s="15">
        <v>65.59</v>
      </c>
      <c r="R821" s="53">
        <v>473.25</v>
      </c>
      <c r="S821" s="76">
        <v>9.5115270000000005E-3</v>
      </c>
      <c r="T821" s="138">
        <v>0.16977002999999999</v>
      </c>
    </row>
    <row r="822" spans="5:20">
      <c r="E822" s="130">
        <v>0.99861</v>
      </c>
      <c r="F822" s="77">
        <v>0.99112999999999996</v>
      </c>
      <c r="G822" s="75">
        <v>34.072000000000003</v>
      </c>
      <c r="H822" s="88">
        <v>0.99719420000000003</v>
      </c>
      <c r="I822" s="77">
        <v>0.9859656</v>
      </c>
      <c r="J822" s="15">
        <v>65.590999999999994</v>
      </c>
      <c r="R822" s="53">
        <v>473.26</v>
      </c>
      <c r="S822" s="76">
        <v>9.4959480000000006E-3</v>
      </c>
      <c r="T822" s="138">
        <v>0.16953020999999999</v>
      </c>
    </row>
    <row r="823" spans="5:20">
      <c r="E823" s="130">
        <v>0.99860000000000004</v>
      </c>
      <c r="F823" s="77">
        <v>0.99109999999999998</v>
      </c>
      <c r="G823" s="75">
        <v>34.073</v>
      </c>
      <c r="H823" s="88">
        <v>0.99718810000000002</v>
      </c>
      <c r="I823" s="77">
        <v>0.98594720000000002</v>
      </c>
      <c r="J823" s="15">
        <v>65.591999999999999</v>
      </c>
      <c r="R823" s="53">
        <v>473.27</v>
      </c>
      <c r="S823" s="76">
        <v>9.4803760000000004E-3</v>
      </c>
      <c r="T823" s="138">
        <v>0.16929032999999999</v>
      </c>
    </row>
    <row r="824" spans="5:20">
      <c r="E824" s="130">
        <v>0.99858999999999998</v>
      </c>
      <c r="F824" s="77">
        <v>0.99106000000000005</v>
      </c>
      <c r="G824" s="75">
        <v>34.073999999999998</v>
      </c>
      <c r="H824" s="88">
        <v>0.99718194999999998</v>
      </c>
      <c r="I824" s="77">
        <v>0.98592882999999998</v>
      </c>
      <c r="J824" s="15">
        <v>65.593000000000004</v>
      </c>
      <c r="R824" s="53">
        <v>473.28</v>
      </c>
      <c r="S824" s="76">
        <v>9.4648070000000004E-3</v>
      </c>
      <c r="T824" s="138">
        <v>0.16905041000000001</v>
      </c>
    </row>
    <row r="825" spans="5:20">
      <c r="E825" s="130">
        <v>0.99858999999999998</v>
      </c>
      <c r="F825" s="77">
        <v>0.99102999999999997</v>
      </c>
      <c r="G825" s="75">
        <v>34.075000000000003</v>
      </c>
      <c r="H825" s="88">
        <v>0.9971759</v>
      </c>
      <c r="I825" s="77">
        <v>0.98591050000000002</v>
      </c>
      <c r="J825" s="15">
        <v>65.593999999999994</v>
      </c>
      <c r="R825" s="53">
        <v>473.29</v>
      </c>
      <c r="S825" s="76">
        <v>9.4492420000000001E-3</v>
      </c>
      <c r="T825" s="138">
        <v>0.16881044000000001</v>
      </c>
    </row>
    <row r="826" spans="5:20">
      <c r="E826" s="130">
        <v>0.99858000000000002</v>
      </c>
      <c r="F826" s="77">
        <v>0.99099000000000004</v>
      </c>
      <c r="G826" s="75">
        <v>34.076000000000001</v>
      </c>
      <c r="H826" s="88">
        <v>0.99716972999999998</v>
      </c>
      <c r="I826" s="77">
        <v>0.98589205999999996</v>
      </c>
      <c r="J826" s="15">
        <v>65.594999999999999</v>
      </c>
      <c r="R826" s="53">
        <v>473.3</v>
      </c>
      <c r="S826" s="76">
        <v>9.4336820000000005E-3</v>
      </c>
      <c r="T826" s="138">
        <v>0.16857042999999999</v>
      </c>
    </row>
    <row r="827" spans="5:20">
      <c r="E827" s="130">
        <v>0.99856999999999996</v>
      </c>
      <c r="F827" s="77">
        <v>0.99095999999999995</v>
      </c>
      <c r="G827" s="75">
        <v>34.076999999999998</v>
      </c>
      <c r="H827" s="88">
        <v>0.99716360000000004</v>
      </c>
      <c r="I827" s="77">
        <v>0.98587369999999996</v>
      </c>
      <c r="J827" s="15">
        <v>65.596000000000004</v>
      </c>
      <c r="R827" s="53">
        <v>473.31</v>
      </c>
      <c r="S827" s="76">
        <v>9.4181260000000006E-3</v>
      </c>
      <c r="T827" s="138">
        <v>0.16833037000000001</v>
      </c>
    </row>
    <row r="828" spans="5:20">
      <c r="E828" s="130">
        <v>0.99856</v>
      </c>
      <c r="F828" s="77">
        <v>0.99092999999999998</v>
      </c>
      <c r="G828" s="75">
        <v>34.078000000000003</v>
      </c>
      <c r="H828" s="88">
        <v>0.99715739999999997</v>
      </c>
      <c r="I828" s="77">
        <v>0.98585529999999999</v>
      </c>
      <c r="J828" s="15">
        <v>65.596999999999994</v>
      </c>
      <c r="R828" s="53">
        <v>473.32</v>
      </c>
      <c r="S828" s="76">
        <v>9.4025749999999998E-3</v>
      </c>
      <c r="T828" s="138">
        <v>0.16809025</v>
      </c>
    </row>
    <row r="829" spans="5:20">
      <c r="E829" s="130">
        <v>0.99855000000000005</v>
      </c>
      <c r="F829" s="77">
        <v>0.99089000000000005</v>
      </c>
      <c r="G829" s="75">
        <v>34.079000000000001</v>
      </c>
      <c r="H829" s="88">
        <v>0.99715125999999998</v>
      </c>
      <c r="I829" s="77">
        <v>0.98583686000000004</v>
      </c>
      <c r="J829" s="15">
        <v>65.597999999999999</v>
      </c>
      <c r="R829" s="53">
        <v>473.33</v>
      </c>
      <c r="S829" s="76">
        <v>9.3870275000000006E-3</v>
      </c>
      <c r="T829" s="138">
        <v>0.1678501</v>
      </c>
    </row>
    <row r="830" spans="5:20">
      <c r="E830" s="130">
        <v>0.99853999999999998</v>
      </c>
      <c r="F830" s="77">
        <v>0.99085999999999996</v>
      </c>
      <c r="G830" s="75">
        <v>34.08</v>
      </c>
      <c r="H830" s="88">
        <v>0.99714506000000003</v>
      </c>
      <c r="I830" s="77">
        <v>0.98581850000000004</v>
      </c>
      <c r="J830" s="15">
        <v>65.599000000000004</v>
      </c>
      <c r="R830" s="53">
        <v>473.34</v>
      </c>
      <c r="S830" s="76">
        <v>9.3714860000000001E-3</v>
      </c>
      <c r="T830" s="138">
        <v>0.16760990000000001</v>
      </c>
    </row>
    <row r="831" spans="5:20">
      <c r="E831" s="130">
        <v>0.99853999999999998</v>
      </c>
      <c r="F831" s="77">
        <v>0.99082000000000003</v>
      </c>
      <c r="G831" s="75">
        <v>34.081000000000003</v>
      </c>
      <c r="H831" s="88">
        <v>0.99713890000000005</v>
      </c>
      <c r="I831" s="77">
        <v>0.98580009999999996</v>
      </c>
      <c r="J831" s="15">
        <v>65.599999999999994</v>
      </c>
      <c r="R831" s="53">
        <v>473.35</v>
      </c>
      <c r="S831" s="76">
        <v>9.3559469999999999E-3</v>
      </c>
      <c r="T831" s="138">
        <v>0.16736965000000001</v>
      </c>
    </row>
    <row r="832" spans="5:20">
      <c r="E832" s="130">
        <v>0.99853000000000003</v>
      </c>
      <c r="F832" s="77">
        <v>0.99078999999999995</v>
      </c>
      <c r="G832" s="75">
        <v>34.082000000000001</v>
      </c>
      <c r="H832" s="88">
        <v>0.99713269999999998</v>
      </c>
      <c r="I832" s="77">
        <v>0.98578167000000005</v>
      </c>
      <c r="J832" s="15">
        <v>65.600999999999999</v>
      </c>
      <c r="R832" s="53">
        <v>473.36</v>
      </c>
      <c r="S832" s="76">
        <v>9.3404130000000005E-3</v>
      </c>
      <c r="T832" s="138">
        <v>0.16712935000000001</v>
      </c>
    </row>
    <row r="833" spans="5:20">
      <c r="E833" s="130">
        <v>0.99851999999999996</v>
      </c>
      <c r="F833" s="77">
        <v>0.99075999999999997</v>
      </c>
      <c r="G833" s="75">
        <v>34.082999999999998</v>
      </c>
      <c r="H833" s="88">
        <v>0.99712646000000005</v>
      </c>
      <c r="I833" s="77">
        <v>0.98576324999999998</v>
      </c>
      <c r="J833" s="15">
        <v>65.602000000000004</v>
      </c>
      <c r="R833" s="53">
        <v>473.37</v>
      </c>
      <c r="S833" s="76">
        <v>9.3248840000000003E-3</v>
      </c>
      <c r="T833" s="138">
        <v>0.16688901</v>
      </c>
    </row>
    <row r="834" spans="5:20">
      <c r="E834" s="130">
        <v>0.99851000000000001</v>
      </c>
      <c r="F834" s="77">
        <v>0.99072000000000005</v>
      </c>
      <c r="G834" s="75">
        <v>34.084000000000003</v>
      </c>
      <c r="H834" s="88">
        <v>0.99712025999999998</v>
      </c>
      <c r="I834" s="77">
        <v>0.98574483000000002</v>
      </c>
      <c r="J834" s="15">
        <v>65.602999999999994</v>
      </c>
      <c r="R834" s="53">
        <v>473.38</v>
      </c>
      <c r="S834" s="76">
        <v>9.3093589999999997E-3</v>
      </c>
      <c r="T834" s="138">
        <v>0.16664862999999999</v>
      </c>
    </row>
    <row r="835" spans="5:20">
      <c r="E835" s="130">
        <v>0.99850000000000005</v>
      </c>
      <c r="F835" s="77">
        <v>0.99068999999999996</v>
      </c>
      <c r="G835" s="75">
        <v>34.085000000000001</v>
      </c>
      <c r="H835" s="88">
        <v>0.99711399999999994</v>
      </c>
      <c r="I835" s="77">
        <v>0.9857264</v>
      </c>
      <c r="J835" s="15">
        <v>65.603999999999999</v>
      </c>
      <c r="R835" s="53">
        <v>473.39</v>
      </c>
      <c r="S835" s="76">
        <v>9.2938380000000004E-3</v>
      </c>
      <c r="T835" s="138">
        <v>0.16640820000000001</v>
      </c>
    </row>
    <row r="836" spans="5:20">
      <c r="E836" s="130">
        <v>0.99848999999999999</v>
      </c>
      <c r="F836" s="77">
        <v>0.99065000000000003</v>
      </c>
      <c r="G836" s="75">
        <v>34.085999999999999</v>
      </c>
      <c r="H836" s="88">
        <v>0.99710779999999999</v>
      </c>
      <c r="I836" s="77">
        <v>0.98570800000000003</v>
      </c>
      <c r="J836" s="15">
        <v>65.605000000000004</v>
      </c>
      <c r="R836" s="53">
        <v>473.4</v>
      </c>
      <c r="S836" s="76">
        <v>9.2783220000000003E-3</v>
      </c>
      <c r="T836" s="138">
        <v>0.1661677</v>
      </c>
    </row>
    <row r="837" spans="5:20">
      <c r="E837" s="130">
        <v>0.99848000000000003</v>
      </c>
      <c r="F837" s="77">
        <v>0.99061999999999995</v>
      </c>
      <c r="G837" s="75">
        <v>34.087000000000003</v>
      </c>
      <c r="H837" s="88">
        <v>0.99710149999999997</v>
      </c>
      <c r="I837" s="77">
        <v>0.98568960000000005</v>
      </c>
      <c r="J837" s="15">
        <v>65.605999999999995</v>
      </c>
      <c r="R837" s="53">
        <v>473.41</v>
      </c>
      <c r="S837" s="76">
        <v>9.2628095000000001E-3</v>
      </c>
      <c r="T837" s="138">
        <v>0.16592717000000001</v>
      </c>
    </row>
    <row r="838" spans="5:20">
      <c r="E838" s="130">
        <v>0.99846999999999997</v>
      </c>
      <c r="F838" s="77">
        <v>0.99058999999999997</v>
      </c>
      <c r="G838" s="75">
        <v>34.088000000000001</v>
      </c>
      <c r="H838" s="88">
        <v>0.99709519999999996</v>
      </c>
      <c r="I838" s="77">
        <v>0.98567110000000002</v>
      </c>
      <c r="J838" s="15">
        <v>65.606999999999999</v>
      </c>
      <c r="R838" s="53">
        <v>473.42</v>
      </c>
      <c r="S838" s="76">
        <v>9.2473020000000006E-3</v>
      </c>
      <c r="T838" s="138">
        <v>0.16568658999999999</v>
      </c>
    </row>
    <row r="839" spans="5:20">
      <c r="E839" s="130">
        <v>0.99846999999999997</v>
      </c>
      <c r="F839" s="77">
        <v>0.99055000000000004</v>
      </c>
      <c r="G839" s="75">
        <v>34.088999999999999</v>
      </c>
      <c r="H839" s="88">
        <v>0.99708896999999996</v>
      </c>
      <c r="I839" s="77">
        <v>0.98565270000000005</v>
      </c>
      <c r="J839" s="15">
        <v>65.608000000000004</v>
      </c>
      <c r="R839" s="53">
        <v>473.43</v>
      </c>
      <c r="S839" s="76">
        <v>9.2317990000000006E-3</v>
      </c>
      <c r="T839" s="138">
        <v>0.16544597</v>
      </c>
    </row>
    <row r="840" spans="5:20">
      <c r="E840" s="130">
        <v>0.99846000000000001</v>
      </c>
      <c r="F840" s="77">
        <v>0.99051999999999996</v>
      </c>
      <c r="G840" s="75">
        <v>34.090000000000003</v>
      </c>
      <c r="H840" s="88">
        <v>0.99708264999999996</v>
      </c>
      <c r="I840" s="77">
        <v>0.98563427000000003</v>
      </c>
      <c r="J840" s="15">
        <v>65.608999999999995</v>
      </c>
      <c r="R840" s="53">
        <v>473.44</v>
      </c>
      <c r="S840" s="76">
        <v>9.2163000000000002E-3</v>
      </c>
      <c r="T840" s="138">
        <v>0.1652053</v>
      </c>
    </row>
    <row r="841" spans="5:20">
      <c r="E841" s="130">
        <v>0.99844999999999995</v>
      </c>
      <c r="F841" s="77">
        <v>0.99048000000000003</v>
      </c>
      <c r="G841" s="75">
        <v>34.091000000000001</v>
      </c>
      <c r="H841" s="88">
        <v>0.99707632999999996</v>
      </c>
      <c r="I841" s="77">
        <v>0.98561580000000004</v>
      </c>
      <c r="J841" s="15">
        <v>65.61</v>
      </c>
      <c r="R841" s="53">
        <v>473.45</v>
      </c>
      <c r="S841" s="76">
        <v>9.2008060000000006E-3</v>
      </c>
      <c r="T841" s="138">
        <v>0.16496458999999999</v>
      </c>
    </row>
    <row r="842" spans="5:20">
      <c r="E842" s="130">
        <v>0.99843999999999999</v>
      </c>
      <c r="F842" s="77">
        <v>0.99045000000000005</v>
      </c>
      <c r="G842" s="75">
        <v>34.091999999999999</v>
      </c>
      <c r="H842" s="88">
        <v>0.99707000000000001</v>
      </c>
      <c r="I842" s="77">
        <v>0.98559739999999996</v>
      </c>
      <c r="J842" s="15">
        <v>65.611000000000004</v>
      </c>
      <c r="R842" s="53">
        <v>473.46</v>
      </c>
      <c r="S842" s="76">
        <v>9.1853160000000007E-3</v>
      </c>
      <c r="T842" s="138">
        <v>0.16472382999999999</v>
      </c>
    </row>
    <row r="843" spans="5:20">
      <c r="E843" s="130">
        <v>0.99843000000000004</v>
      </c>
      <c r="F843" s="77">
        <v>0.99041000000000001</v>
      </c>
      <c r="G843" s="75">
        <v>34.093000000000004</v>
      </c>
      <c r="H843" s="88">
        <v>0.9970637</v>
      </c>
      <c r="I843" s="77">
        <v>0.98557890000000004</v>
      </c>
      <c r="J843" s="15">
        <v>65.611999999999995</v>
      </c>
      <c r="R843" s="53">
        <v>473.47</v>
      </c>
      <c r="S843" s="76">
        <v>9.1698300000000003E-3</v>
      </c>
      <c r="T843" s="138">
        <v>0.16448301000000001</v>
      </c>
    </row>
    <row r="844" spans="5:20">
      <c r="E844" s="130">
        <v>0.99841999999999997</v>
      </c>
      <c r="F844" s="77">
        <v>0.99038000000000004</v>
      </c>
      <c r="G844" s="75">
        <v>34.094000000000001</v>
      </c>
      <c r="H844" s="88">
        <v>0.99705739999999998</v>
      </c>
      <c r="I844" s="77">
        <v>0.98556049999999995</v>
      </c>
      <c r="J844" s="15">
        <v>65.613</v>
      </c>
      <c r="R844" s="53">
        <v>473.48</v>
      </c>
      <c r="S844" s="76">
        <v>9.1543490000000009E-3</v>
      </c>
      <c r="T844" s="138">
        <v>0.16424215</v>
      </c>
    </row>
    <row r="845" spans="5:20">
      <c r="E845" s="130">
        <v>0.99841000000000002</v>
      </c>
      <c r="F845" s="77">
        <v>0.99034999999999995</v>
      </c>
      <c r="G845" s="75">
        <v>34.094999999999999</v>
      </c>
      <c r="H845" s="88">
        <v>0.99705100000000002</v>
      </c>
      <c r="I845" s="77">
        <v>0.98554200000000003</v>
      </c>
      <c r="J845" s="15">
        <v>65.614000000000004</v>
      </c>
      <c r="R845" s="53">
        <v>473.49</v>
      </c>
      <c r="S845" s="76">
        <v>9.1388709999999998E-3</v>
      </c>
      <c r="T845" s="138">
        <v>0.16400126000000001</v>
      </c>
    </row>
    <row r="846" spans="5:20">
      <c r="E846" s="130">
        <v>0.99839999999999995</v>
      </c>
      <c r="F846" s="77">
        <v>0.99031000000000002</v>
      </c>
      <c r="G846" s="75">
        <v>34.095999999999997</v>
      </c>
      <c r="H846" s="88">
        <v>0.99704459999999995</v>
      </c>
      <c r="I846" s="77">
        <v>0.9855235</v>
      </c>
      <c r="J846" s="15">
        <v>65.614999999999995</v>
      </c>
      <c r="R846" s="53">
        <v>473.5</v>
      </c>
      <c r="S846" s="76">
        <v>9.1233979999999996E-3</v>
      </c>
      <c r="T846" s="138">
        <v>0.1637603</v>
      </c>
    </row>
    <row r="847" spans="5:20">
      <c r="E847" s="130">
        <v>0.99839</v>
      </c>
      <c r="F847" s="77">
        <v>0.99028000000000005</v>
      </c>
      <c r="G847" s="75">
        <v>34.097000000000001</v>
      </c>
      <c r="H847" s="88">
        <v>0.99703825000000001</v>
      </c>
      <c r="I847" s="77">
        <v>0.98550510000000002</v>
      </c>
      <c r="J847" s="15">
        <v>65.616</v>
      </c>
      <c r="R847" s="53">
        <v>473.51</v>
      </c>
      <c r="S847" s="76">
        <v>9.1079300000000002E-3</v>
      </c>
      <c r="T847" s="138">
        <v>0.16351931</v>
      </c>
    </row>
    <row r="848" spans="5:20">
      <c r="E848" s="130">
        <v>0.99838000000000005</v>
      </c>
      <c r="F848" s="77">
        <v>0.99024000000000001</v>
      </c>
      <c r="G848" s="75">
        <v>34.097999999999999</v>
      </c>
      <c r="H848" s="88">
        <v>0.99703187000000004</v>
      </c>
      <c r="I848" s="77">
        <v>0.98548659999999999</v>
      </c>
      <c r="J848" s="15">
        <v>65.617000000000004</v>
      </c>
      <c r="R848" s="53">
        <v>473.52</v>
      </c>
      <c r="S848" s="76">
        <v>9.0924660000000004E-3</v>
      </c>
      <c r="T848" s="138">
        <v>0.16327825000000001</v>
      </c>
    </row>
    <row r="849" spans="5:20">
      <c r="E849" s="130">
        <v>0.99838000000000005</v>
      </c>
      <c r="F849" s="77">
        <v>0.99021000000000003</v>
      </c>
      <c r="G849" s="75">
        <v>34.098999999999997</v>
      </c>
      <c r="H849" s="88">
        <v>0.99702542999999999</v>
      </c>
      <c r="I849" s="77">
        <v>0.98546814999999999</v>
      </c>
      <c r="J849" s="15">
        <v>65.617999999999995</v>
      </c>
      <c r="R849" s="53">
        <v>473.53</v>
      </c>
      <c r="S849" s="76">
        <v>9.0770060000000003E-3</v>
      </c>
      <c r="T849" s="138">
        <v>0.16303717000000001</v>
      </c>
    </row>
    <row r="850" spans="5:20">
      <c r="E850" s="130">
        <v>0.99836999999999998</v>
      </c>
      <c r="F850" s="77">
        <v>0.99016999999999999</v>
      </c>
      <c r="G850" s="75">
        <v>34.1</v>
      </c>
      <c r="H850" s="88">
        <v>0.99701905000000002</v>
      </c>
      <c r="I850" s="77">
        <v>0.98544969999999998</v>
      </c>
      <c r="J850" s="15">
        <v>65.619</v>
      </c>
      <c r="R850" s="53">
        <v>473.54</v>
      </c>
      <c r="S850" s="76">
        <v>9.0615509999999993E-3</v>
      </c>
      <c r="T850" s="138">
        <v>0.16279602000000001</v>
      </c>
    </row>
    <row r="851" spans="5:20">
      <c r="E851" s="130">
        <v>0.99836000000000003</v>
      </c>
      <c r="F851" s="77">
        <v>0.99014000000000002</v>
      </c>
      <c r="G851" s="75">
        <v>34.100999999999999</v>
      </c>
      <c r="H851" s="88">
        <v>0.99701260000000003</v>
      </c>
      <c r="I851" s="77">
        <v>0.98543119999999995</v>
      </c>
      <c r="J851" s="15">
        <v>65.62</v>
      </c>
      <c r="R851" s="53">
        <v>473.55</v>
      </c>
      <c r="S851" s="76">
        <v>9.0460990000000002E-3</v>
      </c>
      <c r="T851" s="138">
        <v>0.16255485</v>
      </c>
    </row>
    <row r="852" spans="5:20">
      <c r="E852" s="130">
        <v>0.99834999999999996</v>
      </c>
      <c r="F852" s="77">
        <v>0.99009999999999998</v>
      </c>
      <c r="G852" s="75">
        <v>34.101999999999997</v>
      </c>
      <c r="H852" s="88">
        <v>0.99700619999999995</v>
      </c>
      <c r="I852" s="77">
        <v>0.98541270000000003</v>
      </c>
      <c r="J852" s="15">
        <v>65.620999999999995</v>
      </c>
      <c r="R852" s="53">
        <v>473.56</v>
      </c>
      <c r="S852" s="76">
        <v>9.0306520000000001E-3</v>
      </c>
      <c r="T852" s="138">
        <v>0.16231361</v>
      </c>
    </row>
    <row r="853" spans="5:20">
      <c r="E853" s="130">
        <v>0.99834000000000001</v>
      </c>
      <c r="F853" s="77">
        <v>0.99007000000000001</v>
      </c>
      <c r="G853" s="75">
        <v>34.103000000000002</v>
      </c>
      <c r="H853" s="88">
        <v>0.99720025000000001</v>
      </c>
      <c r="I853" s="77">
        <v>0.98598397000000004</v>
      </c>
      <c r="J853" s="15">
        <v>65.59</v>
      </c>
      <c r="R853" s="53">
        <v>473.57</v>
      </c>
      <c r="S853" s="76">
        <v>9.0152099999999992E-3</v>
      </c>
      <c r="T853" s="138">
        <v>0.16207232999999999</v>
      </c>
    </row>
    <row r="854" spans="5:20">
      <c r="E854" s="130">
        <v>0.99833000000000005</v>
      </c>
      <c r="F854" s="77">
        <v>0.99004000000000003</v>
      </c>
      <c r="G854" s="75">
        <v>34.103999999999999</v>
      </c>
      <c r="H854" s="88">
        <v>0.99719420000000003</v>
      </c>
      <c r="I854" s="77">
        <v>0.9859656</v>
      </c>
      <c r="J854" s="15">
        <v>65.590999999999994</v>
      </c>
      <c r="R854" s="53">
        <v>473.58</v>
      </c>
      <c r="S854" s="76">
        <v>8.9997710000000002E-3</v>
      </c>
      <c r="T854" s="138">
        <v>0.161831</v>
      </c>
    </row>
    <row r="855" spans="5:20">
      <c r="E855" s="130">
        <v>0.99831999999999999</v>
      </c>
      <c r="F855" s="77">
        <v>0.99</v>
      </c>
      <c r="G855" s="75">
        <v>34.104999999999997</v>
      </c>
      <c r="H855" s="88">
        <v>0.99718810000000002</v>
      </c>
      <c r="I855" s="77">
        <v>0.98594720000000002</v>
      </c>
      <c r="J855" s="15">
        <v>65.591999999999999</v>
      </c>
      <c r="R855" s="53">
        <v>473.59</v>
      </c>
      <c r="S855" s="76">
        <v>8.9843379999999997E-3</v>
      </c>
      <c r="T855" s="138">
        <v>0.16158961999999999</v>
      </c>
    </row>
    <row r="856" spans="5:20">
      <c r="E856" s="130">
        <v>0.99831000000000003</v>
      </c>
      <c r="F856" s="77">
        <v>0.98997000000000002</v>
      </c>
      <c r="G856" s="75">
        <v>34.106000000000002</v>
      </c>
      <c r="H856" s="88">
        <v>0.99718194999999998</v>
      </c>
      <c r="I856" s="77">
        <v>0.98592882999999998</v>
      </c>
      <c r="J856" s="15">
        <v>65.593000000000004</v>
      </c>
      <c r="R856" s="53">
        <v>473.6</v>
      </c>
      <c r="S856" s="76">
        <v>8.9689079999999994E-3</v>
      </c>
      <c r="T856" s="138">
        <v>0.16134820999999999</v>
      </c>
    </row>
    <row r="857" spans="5:20">
      <c r="E857" s="130">
        <v>0.99829999999999997</v>
      </c>
      <c r="F857" s="77">
        <v>0.98992999999999998</v>
      </c>
      <c r="G857" s="75">
        <v>34.106999999999999</v>
      </c>
      <c r="H857" s="88">
        <v>0.9971759</v>
      </c>
      <c r="I857" s="77">
        <v>0.98591050000000002</v>
      </c>
      <c r="J857" s="15">
        <v>65.593999999999994</v>
      </c>
      <c r="R857" s="53">
        <v>473.61</v>
      </c>
      <c r="S857" s="76">
        <v>8.9534829999999999E-3</v>
      </c>
      <c r="T857" s="138">
        <v>0.16110674</v>
      </c>
    </row>
    <row r="858" spans="5:20">
      <c r="E858" s="130">
        <v>0.99829000000000001</v>
      </c>
      <c r="F858" s="77">
        <v>0.9899</v>
      </c>
      <c r="G858" s="75">
        <v>34.107999999999997</v>
      </c>
      <c r="H858" s="88">
        <v>0.99716972999999998</v>
      </c>
      <c r="I858" s="77">
        <v>0.98589205999999996</v>
      </c>
      <c r="J858" s="15">
        <v>65.594999999999999</v>
      </c>
      <c r="R858" s="53">
        <v>473.62</v>
      </c>
      <c r="S858" s="76">
        <v>8.9380620000000001E-3</v>
      </c>
      <c r="T858" s="138">
        <v>0.16086523</v>
      </c>
    </row>
    <row r="859" spans="5:20">
      <c r="E859" s="130">
        <v>0.99827999999999995</v>
      </c>
      <c r="F859" s="77">
        <v>0.98985999999999996</v>
      </c>
      <c r="G859" s="75">
        <v>34.109000000000002</v>
      </c>
      <c r="H859" s="88">
        <v>0.99716360000000004</v>
      </c>
      <c r="I859" s="77">
        <v>0.98587369999999996</v>
      </c>
      <c r="J859" s="15">
        <v>65.596000000000004</v>
      </c>
      <c r="R859" s="53">
        <v>473.63</v>
      </c>
      <c r="S859" s="76">
        <v>8.9226459999999994E-3</v>
      </c>
      <c r="T859" s="138">
        <v>0.16062367</v>
      </c>
    </row>
    <row r="860" spans="5:20">
      <c r="E860" s="130">
        <v>0.99826999999999999</v>
      </c>
      <c r="F860" s="77">
        <v>0.98982999999999999</v>
      </c>
      <c r="G860" s="75">
        <v>34.11</v>
      </c>
      <c r="H860" s="88">
        <v>0.99715739999999997</v>
      </c>
      <c r="I860" s="77">
        <v>0.98585529999999999</v>
      </c>
      <c r="J860" s="15">
        <v>65.596999999999994</v>
      </c>
      <c r="R860" s="53">
        <v>473.64</v>
      </c>
      <c r="S860" s="76">
        <v>8.9072330000000005E-3</v>
      </c>
      <c r="T860" s="138">
        <v>0.16038205999999999</v>
      </c>
    </row>
    <row r="861" spans="5:20">
      <c r="E861" s="130">
        <v>0.99826000000000004</v>
      </c>
      <c r="F861" s="77">
        <v>0.98978999999999995</v>
      </c>
      <c r="G861" s="75">
        <v>34.110999999999997</v>
      </c>
      <c r="H861" s="88">
        <v>0.99715125999999998</v>
      </c>
      <c r="I861" s="77">
        <v>0.98583686000000004</v>
      </c>
      <c r="J861" s="15">
        <v>65.597999999999999</v>
      </c>
      <c r="R861" s="53">
        <v>473.65</v>
      </c>
      <c r="S861" s="76">
        <v>8.8918250000000008E-3</v>
      </c>
      <c r="T861" s="138">
        <v>0.16014041000000001</v>
      </c>
    </row>
    <row r="862" spans="5:20">
      <c r="E862" s="130">
        <v>0.99824999999999997</v>
      </c>
      <c r="F862" s="77">
        <v>0.98975999999999997</v>
      </c>
      <c r="G862" s="75">
        <v>34.112000000000002</v>
      </c>
      <c r="H862" s="88">
        <v>0.99714506000000003</v>
      </c>
      <c r="I862" s="77">
        <v>0.98581850000000004</v>
      </c>
      <c r="J862" s="15">
        <v>65.599000000000004</v>
      </c>
      <c r="R862" s="53">
        <v>473.66</v>
      </c>
      <c r="S862" s="76">
        <v>8.8764215000000004E-3</v>
      </c>
      <c r="T862" s="138">
        <v>0.15989871</v>
      </c>
    </row>
    <row r="863" spans="5:20">
      <c r="E863" s="130">
        <v>0.99824000000000002</v>
      </c>
      <c r="F863" s="77">
        <v>0.98973</v>
      </c>
      <c r="G863" s="75">
        <v>34.113</v>
      </c>
      <c r="H863" s="88">
        <v>0.99713890000000005</v>
      </c>
      <c r="I863" s="77">
        <v>0.98580009999999996</v>
      </c>
      <c r="J863" s="15">
        <v>65.599999999999994</v>
      </c>
      <c r="R863" s="53">
        <v>473.67</v>
      </c>
      <c r="S863" s="76">
        <v>8.8610219999999996E-3</v>
      </c>
      <c r="T863" s="138">
        <v>0.15965695999999999</v>
      </c>
    </row>
    <row r="864" spans="5:20">
      <c r="E864" s="130">
        <v>0.99822999999999995</v>
      </c>
      <c r="F864" s="77">
        <v>0.98968999999999996</v>
      </c>
      <c r="G864" s="75">
        <v>34.113999999999997</v>
      </c>
      <c r="H864" s="88">
        <v>0.99713269999999998</v>
      </c>
      <c r="I864" s="77">
        <v>0.98578167000000005</v>
      </c>
      <c r="J864" s="15">
        <v>65.600999999999999</v>
      </c>
      <c r="R864" s="53">
        <v>473.68</v>
      </c>
      <c r="S864" s="76">
        <v>8.8456260000000005E-3</v>
      </c>
      <c r="T864" s="138">
        <v>0.15941516999999999</v>
      </c>
    </row>
    <row r="865" spans="5:20">
      <c r="E865" s="130">
        <v>0.99822</v>
      </c>
      <c r="F865" s="77">
        <v>0.98965999999999998</v>
      </c>
      <c r="G865" s="75">
        <v>34.115000000000002</v>
      </c>
      <c r="H865" s="88">
        <v>0.99712646000000005</v>
      </c>
      <c r="I865" s="77">
        <v>0.98576324999999998</v>
      </c>
      <c r="J865" s="15">
        <v>65.602000000000004</v>
      </c>
      <c r="R865" s="53">
        <v>473.69</v>
      </c>
      <c r="S865" s="76">
        <v>8.8302350000000005E-3</v>
      </c>
      <c r="T865" s="138">
        <v>0.15917332000000001</v>
      </c>
    </row>
    <row r="866" spans="5:20">
      <c r="E866" s="130">
        <v>0.99821000000000004</v>
      </c>
      <c r="F866" s="77">
        <v>0.98962000000000006</v>
      </c>
      <c r="G866" s="75">
        <v>34.116</v>
      </c>
      <c r="H866" s="88">
        <v>0.99712025999999998</v>
      </c>
      <c r="I866" s="77">
        <v>0.98574483000000002</v>
      </c>
      <c r="J866" s="15">
        <v>65.602999999999994</v>
      </c>
      <c r="R866" s="53">
        <v>473.7</v>
      </c>
      <c r="S866" s="76">
        <v>8.8148489999999996E-3</v>
      </c>
      <c r="T866" s="138">
        <v>0.15893143000000001</v>
      </c>
    </row>
    <row r="867" spans="5:20">
      <c r="E867" s="130">
        <v>0.99819999999999998</v>
      </c>
      <c r="F867" s="77">
        <v>0.98958999999999997</v>
      </c>
      <c r="G867" s="75">
        <v>34.116999999999997</v>
      </c>
      <c r="H867" s="88">
        <v>0.99711399999999994</v>
      </c>
      <c r="I867" s="77">
        <v>0.9857264</v>
      </c>
      <c r="J867" s="15">
        <v>65.603999999999999</v>
      </c>
      <c r="R867" s="53">
        <v>473.71</v>
      </c>
      <c r="S867" s="76">
        <v>8.7994660000000006E-3</v>
      </c>
      <c r="T867" s="138">
        <v>0.15868950000000001</v>
      </c>
    </row>
    <row r="868" spans="5:20">
      <c r="E868" s="130">
        <v>0.99819000000000002</v>
      </c>
      <c r="F868" s="77">
        <v>0.98955000000000004</v>
      </c>
      <c r="G868" s="75">
        <v>34.118000000000002</v>
      </c>
      <c r="H868" s="88">
        <v>0.99710779999999999</v>
      </c>
      <c r="I868" s="77">
        <v>0.98570800000000003</v>
      </c>
      <c r="J868" s="15">
        <v>65.605000000000004</v>
      </c>
      <c r="R868" s="53">
        <v>473.72</v>
      </c>
      <c r="S868" s="76">
        <v>8.7840880000000007E-3</v>
      </c>
      <c r="T868" s="138">
        <v>0.15844752000000001</v>
      </c>
    </row>
    <row r="869" spans="5:20">
      <c r="E869" s="130">
        <v>0.99817999999999996</v>
      </c>
      <c r="F869" s="77">
        <v>0.98951999999999996</v>
      </c>
      <c r="G869" s="75">
        <v>34.119</v>
      </c>
      <c r="H869" s="88">
        <v>0.99710149999999997</v>
      </c>
      <c r="I869" s="77">
        <v>0.98568960000000005</v>
      </c>
      <c r="J869" s="15">
        <v>65.605999999999995</v>
      </c>
      <c r="R869" s="53">
        <v>473.73</v>
      </c>
      <c r="S869" s="76">
        <v>8.7687149999999998E-3</v>
      </c>
      <c r="T869" s="138">
        <v>0.1582055</v>
      </c>
    </row>
    <row r="870" spans="5:20">
      <c r="E870" s="130">
        <v>0.99817</v>
      </c>
      <c r="F870" s="77">
        <v>0.98948000000000003</v>
      </c>
      <c r="G870" s="75">
        <v>34.119999999999997</v>
      </c>
      <c r="H870" s="88">
        <v>0.99709519999999996</v>
      </c>
      <c r="I870" s="77">
        <v>0.98567110000000002</v>
      </c>
      <c r="J870" s="15">
        <v>65.606999999999999</v>
      </c>
      <c r="R870" s="53">
        <v>473.74</v>
      </c>
      <c r="S870" s="76">
        <v>8.7533449999999992E-3</v>
      </c>
      <c r="T870" s="138">
        <v>0.15796341</v>
      </c>
    </row>
    <row r="871" spans="5:20">
      <c r="E871" s="130">
        <v>0.99816000000000005</v>
      </c>
      <c r="F871" s="77">
        <v>0.98945000000000005</v>
      </c>
      <c r="G871" s="75">
        <v>34.121000000000002</v>
      </c>
      <c r="H871" s="88">
        <v>0.99708896999999996</v>
      </c>
      <c r="I871" s="77">
        <v>0.98565270000000005</v>
      </c>
      <c r="J871" s="15">
        <v>65.608000000000004</v>
      </c>
      <c r="R871" s="53">
        <v>473.75</v>
      </c>
      <c r="S871" s="76">
        <v>8.7379789999999999E-3</v>
      </c>
      <c r="T871" s="138">
        <v>0.15772130000000001</v>
      </c>
    </row>
    <row r="872" spans="5:20">
      <c r="E872" s="130">
        <v>0.99814999999999998</v>
      </c>
      <c r="F872" s="77">
        <v>0.98941000000000001</v>
      </c>
      <c r="G872" s="75">
        <v>34.122</v>
      </c>
      <c r="H872" s="88">
        <v>0.99708264999999996</v>
      </c>
      <c r="I872" s="77">
        <v>0.98563427000000003</v>
      </c>
      <c r="J872" s="15">
        <v>65.608999999999995</v>
      </c>
      <c r="R872" s="53">
        <v>473.76</v>
      </c>
      <c r="S872" s="76">
        <v>8.7226189999999992E-3</v>
      </c>
      <c r="T872" s="138">
        <v>0.15747912</v>
      </c>
    </row>
    <row r="873" spans="5:20">
      <c r="E873" s="130">
        <v>0.99814000000000003</v>
      </c>
      <c r="F873" s="77">
        <v>0.98938000000000004</v>
      </c>
      <c r="G873" s="75">
        <v>34.122999999999998</v>
      </c>
      <c r="H873" s="88">
        <v>0.99707632999999996</v>
      </c>
      <c r="I873" s="77">
        <v>0.98561580000000004</v>
      </c>
      <c r="J873" s="15">
        <v>65.61</v>
      </c>
      <c r="R873" s="53">
        <v>473.77</v>
      </c>
      <c r="S873" s="76">
        <v>8.7072620000000003E-3</v>
      </c>
      <c r="T873" s="138">
        <v>0.15723690000000001</v>
      </c>
    </row>
    <row r="874" spans="5:20">
      <c r="E874" s="130">
        <v>0.99812999999999996</v>
      </c>
      <c r="F874" s="77">
        <v>0.98934</v>
      </c>
      <c r="G874" s="75">
        <v>34.124000000000002</v>
      </c>
      <c r="H874" s="88">
        <v>0.99707000000000001</v>
      </c>
      <c r="I874" s="77">
        <v>0.98559739999999996</v>
      </c>
      <c r="J874" s="15">
        <v>65.611000000000004</v>
      </c>
      <c r="R874" s="53">
        <v>473.78</v>
      </c>
      <c r="S874" s="76">
        <v>8.6919100000000006E-3</v>
      </c>
      <c r="T874" s="138">
        <v>0.15699463999999999</v>
      </c>
    </row>
    <row r="875" spans="5:20">
      <c r="E875" s="130">
        <v>0.99812000000000001</v>
      </c>
      <c r="F875" s="77">
        <v>0.98931000000000002</v>
      </c>
      <c r="G875" s="75">
        <v>34.125</v>
      </c>
      <c r="H875" s="88">
        <v>0.9970637</v>
      </c>
      <c r="I875" s="77">
        <v>0.98557890000000004</v>
      </c>
      <c r="J875" s="15">
        <v>65.611999999999995</v>
      </c>
      <c r="R875" s="53">
        <v>473.79</v>
      </c>
      <c r="S875" s="76">
        <v>8.6765615000000008E-3</v>
      </c>
      <c r="T875" s="138">
        <v>0.15675233</v>
      </c>
    </row>
    <row r="876" spans="5:20">
      <c r="E876" s="130">
        <v>0.99811000000000005</v>
      </c>
      <c r="F876" s="77">
        <v>0.98926999999999998</v>
      </c>
      <c r="G876" s="75">
        <v>34.125999999999998</v>
      </c>
      <c r="H876" s="88">
        <v>0.99705739999999998</v>
      </c>
      <c r="I876" s="77">
        <v>0.98556049999999995</v>
      </c>
      <c r="J876" s="15">
        <v>65.613</v>
      </c>
      <c r="R876" s="53">
        <v>473.8</v>
      </c>
      <c r="S876" s="76">
        <v>8.6612170000000006E-3</v>
      </c>
      <c r="T876" s="138">
        <v>0.15650997999999999</v>
      </c>
    </row>
    <row r="877" spans="5:20">
      <c r="E877" s="130">
        <v>0.99809999999999999</v>
      </c>
      <c r="F877" s="77">
        <v>0.98924000000000001</v>
      </c>
      <c r="G877" s="75">
        <v>34.127000000000002</v>
      </c>
      <c r="H877" s="88">
        <v>0.99705100000000002</v>
      </c>
      <c r="I877" s="77">
        <v>0.98554200000000003</v>
      </c>
      <c r="J877" s="15">
        <v>65.614000000000004</v>
      </c>
      <c r="R877" s="53">
        <v>473.81</v>
      </c>
      <c r="S877" s="76">
        <v>8.6458769999999997E-3</v>
      </c>
      <c r="T877" s="138">
        <v>0.15626756999999999</v>
      </c>
    </row>
    <row r="878" spans="5:20">
      <c r="E878" s="130">
        <v>0.99807999999999997</v>
      </c>
      <c r="F878" s="77">
        <v>0.98919999999999997</v>
      </c>
      <c r="G878" s="75">
        <v>34.128</v>
      </c>
      <c r="H878" s="88">
        <v>0.99704459999999995</v>
      </c>
      <c r="I878" s="77">
        <v>0.9855235</v>
      </c>
      <c r="J878" s="15">
        <v>65.614999999999995</v>
      </c>
      <c r="R878" s="53">
        <v>473.82</v>
      </c>
      <c r="S878" s="76">
        <v>8.6305419999999997E-3</v>
      </c>
      <c r="T878" s="138">
        <v>0.15602513000000001</v>
      </c>
    </row>
    <row r="879" spans="5:20">
      <c r="E879" s="130">
        <v>0.99807000000000001</v>
      </c>
      <c r="F879" s="77">
        <v>0.98916999999999999</v>
      </c>
      <c r="G879" s="75">
        <v>34.128999999999998</v>
      </c>
      <c r="H879" s="88">
        <v>0.99703825000000001</v>
      </c>
      <c r="I879" s="77">
        <v>0.98550510000000002</v>
      </c>
      <c r="J879" s="15">
        <v>65.616</v>
      </c>
      <c r="R879" s="53">
        <v>473.83</v>
      </c>
      <c r="S879" s="76">
        <v>8.6152109999999994E-3</v>
      </c>
      <c r="T879" s="138">
        <v>0.15578263000000001</v>
      </c>
    </row>
    <row r="880" spans="5:20">
      <c r="E880" s="130">
        <v>0.99805999999999995</v>
      </c>
      <c r="F880" s="77">
        <v>0.98914000000000002</v>
      </c>
      <c r="G880" s="75">
        <v>34.130000000000003</v>
      </c>
      <c r="H880" s="88">
        <v>0.99703187000000004</v>
      </c>
      <c r="I880" s="77">
        <v>0.98548659999999999</v>
      </c>
      <c r="J880" s="15">
        <v>65.617000000000004</v>
      </c>
      <c r="R880" s="53">
        <v>473.84</v>
      </c>
      <c r="S880" s="76">
        <v>8.5998840000000003E-3</v>
      </c>
      <c r="T880" s="138">
        <v>0.15554008</v>
      </c>
    </row>
    <row r="881" spans="5:20">
      <c r="E881" s="130">
        <v>0.99804999999999999</v>
      </c>
      <c r="F881" s="77">
        <v>0.98909999999999998</v>
      </c>
      <c r="G881" s="75">
        <v>34.131</v>
      </c>
      <c r="H881" s="88">
        <v>0.99702542999999999</v>
      </c>
      <c r="I881" s="77">
        <v>0.98546814999999999</v>
      </c>
      <c r="J881" s="15">
        <v>65.617999999999995</v>
      </c>
      <c r="R881" s="53">
        <v>473.85</v>
      </c>
      <c r="S881" s="76">
        <v>8.5845609999999992E-3</v>
      </c>
      <c r="T881" s="138">
        <v>0.15529749000000001</v>
      </c>
    </row>
    <row r="882" spans="5:20">
      <c r="E882" s="130">
        <v>0.99804000000000004</v>
      </c>
      <c r="F882" s="77">
        <v>0.98907</v>
      </c>
      <c r="G882" s="75">
        <v>34.131999999999998</v>
      </c>
      <c r="H882" s="88">
        <v>0.99701905000000002</v>
      </c>
      <c r="I882" s="77">
        <v>0.98544969999999998</v>
      </c>
      <c r="J882" s="15">
        <v>65.619</v>
      </c>
      <c r="R882" s="53">
        <v>473.86</v>
      </c>
      <c r="S882" s="76">
        <v>8.5692419999999995E-3</v>
      </c>
      <c r="T882" s="138">
        <v>0.15505484999999999</v>
      </c>
    </row>
    <row r="883" spans="5:20">
      <c r="E883" s="130">
        <v>0.99802999999999997</v>
      </c>
      <c r="F883" s="77">
        <v>0.98902999999999996</v>
      </c>
      <c r="G883" s="75">
        <v>34.133000000000003</v>
      </c>
      <c r="H883" s="88">
        <v>0.99701260000000003</v>
      </c>
      <c r="I883" s="77">
        <v>0.98543119999999995</v>
      </c>
      <c r="J883" s="15">
        <v>65.62</v>
      </c>
      <c r="R883" s="53">
        <v>473.87</v>
      </c>
      <c r="S883" s="76">
        <v>8.5539280000000006E-3</v>
      </c>
      <c r="T883" s="138">
        <v>0.15481217</v>
      </c>
    </row>
    <row r="884" spans="5:20">
      <c r="E884" s="130">
        <v>0.99802000000000002</v>
      </c>
      <c r="F884" s="77">
        <v>0.98899999999999999</v>
      </c>
      <c r="G884" s="75">
        <v>34.134</v>
      </c>
      <c r="H884" s="88">
        <v>0.99700619999999995</v>
      </c>
      <c r="I884" s="77">
        <v>0.98541270000000003</v>
      </c>
      <c r="J884" s="15">
        <v>65.620999999999995</v>
      </c>
      <c r="R884" s="53">
        <v>473.88</v>
      </c>
      <c r="S884" s="76">
        <v>8.5386179999999996E-3</v>
      </c>
      <c r="T884" s="138">
        <v>0.15456943000000001</v>
      </c>
    </row>
    <row r="885" spans="5:20">
      <c r="E885" s="130">
        <v>0.99800999999999995</v>
      </c>
      <c r="F885" s="77">
        <v>0.98895999999999995</v>
      </c>
      <c r="G885" s="75">
        <v>34.134999999999998</v>
      </c>
      <c r="H885" s="88">
        <v>0.99699970000000004</v>
      </c>
      <c r="I885" s="77">
        <v>0.98539423999999998</v>
      </c>
      <c r="J885" s="15">
        <v>65.622</v>
      </c>
      <c r="R885" s="53">
        <v>473.89</v>
      </c>
      <c r="S885" s="76">
        <v>8.5233119999999999E-3</v>
      </c>
      <c r="T885" s="138">
        <v>0.15432666</v>
      </c>
    </row>
    <row r="886" spans="5:20">
      <c r="E886" s="130">
        <v>0.998</v>
      </c>
      <c r="F886" s="77">
        <v>0.98892999999999998</v>
      </c>
      <c r="G886" s="75">
        <v>34.136000000000003</v>
      </c>
      <c r="H886" s="88">
        <v>0.99699324</v>
      </c>
      <c r="I886" s="77">
        <v>0.98537569999999997</v>
      </c>
      <c r="J886" s="15">
        <v>65.623000000000005</v>
      </c>
      <c r="R886" s="53">
        <v>473.9</v>
      </c>
      <c r="S886" s="76">
        <v>8.5080109999999994E-3</v>
      </c>
      <c r="T886" s="138">
        <v>0.15408383</v>
      </c>
    </row>
    <row r="887" spans="5:20">
      <c r="E887" s="130">
        <v>0.99799000000000004</v>
      </c>
      <c r="F887" s="77">
        <v>0.98889000000000005</v>
      </c>
      <c r="G887" s="75">
        <v>34.137</v>
      </c>
      <c r="H887" s="88">
        <v>0.99698675000000003</v>
      </c>
      <c r="I887" s="77">
        <v>0.98535720000000004</v>
      </c>
      <c r="J887" s="15">
        <v>65.623999999999995</v>
      </c>
      <c r="R887" s="53">
        <v>473.91</v>
      </c>
      <c r="S887" s="76">
        <v>8.4927130000000007E-3</v>
      </c>
      <c r="T887" s="138">
        <v>0.15384096</v>
      </c>
    </row>
    <row r="888" spans="5:20">
      <c r="E888" s="130">
        <v>0.99797000000000002</v>
      </c>
      <c r="F888" s="77">
        <v>0.98885999999999996</v>
      </c>
      <c r="G888" s="75">
        <v>34.137999999999998</v>
      </c>
      <c r="H888" s="88">
        <v>0.99698025000000001</v>
      </c>
      <c r="I888" s="77">
        <v>0.98533875000000004</v>
      </c>
      <c r="J888" s="15">
        <v>65.625</v>
      </c>
      <c r="R888" s="53">
        <v>473.92</v>
      </c>
      <c r="S888" s="76">
        <v>8.4774199999999994E-3</v>
      </c>
      <c r="T888" s="138">
        <v>0.15359803999999999</v>
      </c>
    </row>
    <row r="889" spans="5:20">
      <c r="E889" s="130">
        <v>0.99795999999999996</v>
      </c>
      <c r="F889" s="77">
        <v>0.98882000000000003</v>
      </c>
      <c r="G889" s="75">
        <v>34.139000000000003</v>
      </c>
      <c r="H889" s="88">
        <v>0.99697374999999999</v>
      </c>
      <c r="I889" s="77">
        <v>0.98532019999999998</v>
      </c>
      <c r="J889" s="15">
        <v>65.626000000000005</v>
      </c>
      <c r="R889" s="53">
        <v>473.93</v>
      </c>
      <c r="S889" s="76">
        <v>8.4621309999999995E-3</v>
      </c>
      <c r="T889" s="138">
        <v>0.15335508</v>
      </c>
    </row>
    <row r="890" spans="5:20">
      <c r="E890" s="130">
        <v>0.99795</v>
      </c>
      <c r="F890" s="77">
        <v>0.98878999999999995</v>
      </c>
      <c r="G890" s="75">
        <v>34.14</v>
      </c>
      <c r="H890" s="88">
        <v>0.99696726000000002</v>
      </c>
      <c r="I890" s="77">
        <v>0.98530172999999999</v>
      </c>
      <c r="J890" s="15">
        <v>65.626999999999995</v>
      </c>
      <c r="R890" s="53">
        <v>473.94</v>
      </c>
      <c r="S890" s="76">
        <v>8.4468459999999992E-3</v>
      </c>
      <c r="T890" s="138">
        <v>0.15311206999999999</v>
      </c>
    </row>
    <row r="891" spans="5:20">
      <c r="E891" s="130">
        <v>0.99794000000000005</v>
      </c>
      <c r="F891" s="77">
        <v>0.98875000000000002</v>
      </c>
      <c r="G891" s="75">
        <v>34.140999999999998</v>
      </c>
      <c r="H891" s="88">
        <v>0.99696070000000003</v>
      </c>
      <c r="I891" s="77">
        <v>0.98528320000000003</v>
      </c>
      <c r="J891" s="15">
        <v>65.628</v>
      </c>
      <c r="R891" s="53">
        <v>473.95</v>
      </c>
      <c r="S891" s="76">
        <v>8.4315659999999997E-3</v>
      </c>
      <c r="T891" s="138">
        <v>0.152869</v>
      </c>
    </row>
    <row r="892" spans="5:20">
      <c r="E892" s="130">
        <v>0.99792999999999998</v>
      </c>
      <c r="F892" s="77">
        <v>0.98872000000000004</v>
      </c>
      <c r="G892" s="75">
        <v>34.142000000000003</v>
      </c>
      <c r="H892" s="88">
        <v>0.99695414000000004</v>
      </c>
      <c r="I892" s="77">
        <v>0.98526469999999999</v>
      </c>
      <c r="J892" s="15">
        <v>65.629000000000005</v>
      </c>
      <c r="R892" s="53">
        <v>473.96</v>
      </c>
      <c r="S892" s="76">
        <v>8.4162890000000004E-3</v>
      </c>
      <c r="T892" s="138">
        <v>0.15262590000000001</v>
      </c>
    </row>
    <row r="893" spans="5:20">
      <c r="E893" s="130">
        <v>0.99792000000000003</v>
      </c>
      <c r="F893" s="77">
        <v>0.98868</v>
      </c>
      <c r="G893" s="75">
        <v>34.143000000000001</v>
      </c>
      <c r="H893" s="88">
        <v>0.99694760000000004</v>
      </c>
      <c r="I893" s="77">
        <v>0.98524619999999996</v>
      </c>
      <c r="J893" s="15">
        <v>65.63</v>
      </c>
      <c r="R893" s="53">
        <v>473.97</v>
      </c>
      <c r="S893" s="76">
        <v>8.4010179999999997E-3</v>
      </c>
      <c r="T893" s="138">
        <v>0.15238275000000001</v>
      </c>
    </row>
    <row r="894" spans="5:20">
      <c r="E894" s="130">
        <v>0.99790000000000001</v>
      </c>
      <c r="F894" s="77">
        <v>0.98865000000000003</v>
      </c>
      <c r="G894" s="75">
        <v>34.143999999999998</v>
      </c>
      <c r="H894" s="88">
        <v>0.99694103000000001</v>
      </c>
      <c r="I894" s="77">
        <v>0.98522763999999996</v>
      </c>
      <c r="J894" s="15">
        <v>65.631</v>
      </c>
      <c r="R894" s="53">
        <v>473.98</v>
      </c>
      <c r="S894" s="76">
        <v>8.3857494999999994E-3</v>
      </c>
      <c r="T894" s="138">
        <v>0.15213953999999999</v>
      </c>
    </row>
    <row r="895" spans="5:20">
      <c r="E895" s="130">
        <v>0.99789000000000005</v>
      </c>
      <c r="F895" s="77">
        <v>0.98860999999999999</v>
      </c>
      <c r="G895" s="75">
        <v>34.145000000000003</v>
      </c>
      <c r="H895" s="88">
        <v>0.9969344</v>
      </c>
      <c r="I895" s="77">
        <v>0.98520909999999995</v>
      </c>
      <c r="J895" s="15">
        <v>65.632000000000005</v>
      </c>
      <c r="R895" s="53">
        <v>473.99</v>
      </c>
      <c r="S895" s="76">
        <v>8.3704850000000004E-3</v>
      </c>
      <c r="T895" s="138">
        <v>0.15189630000000001</v>
      </c>
    </row>
    <row r="896" spans="5:20">
      <c r="E896" s="130">
        <v>0.99787999999999999</v>
      </c>
      <c r="F896" s="77">
        <v>0.98858000000000001</v>
      </c>
      <c r="G896" s="75">
        <v>34.146000000000001</v>
      </c>
      <c r="H896" s="88">
        <v>0.99692786</v>
      </c>
      <c r="I896" s="77">
        <v>0.98519060000000003</v>
      </c>
      <c r="J896" s="15">
        <v>65.632999999999996</v>
      </c>
      <c r="R896" s="53">
        <v>474</v>
      </c>
      <c r="S896" s="76">
        <v>8.3552260000000003E-3</v>
      </c>
      <c r="T896" s="138">
        <v>0.15165300000000001</v>
      </c>
    </row>
    <row r="897" spans="5:20">
      <c r="E897" s="130">
        <v>0.99787000000000003</v>
      </c>
      <c r="F897" s="77">
        <v>0.98853999999999997</v>
      </c>
      <c r="G897" s="75">
        <v>34.146999999999998</v>
      </c>
      <c r="H897" s="88">
        <v>0.99692124000000004</v>
      </c>
      <c r="I897" s="77">
        <v>0.9851721</v>
      </c>
      <c r="J897" s="15">
        <v>65.634</v>
      </c>
      <c r="R897" s="53">
        <v>474.01</v>
      </c>
      <c r="S897" s="76">
        <v>8.3399700000000004E-3</v>
      </c>
      <c r="T897" s="138">
        <v>0.15140967</v>
      </c>
    </row>
    <row r="898" spans="5:20">
      <c r="E898" s="130">
        <v>0.99785999999999997</v>
      </c>
      <c r="F898" s="77">
        <v>0.98851</v>
      </c>
      <c r="G898" s="75">
        <v>34.148000000000003</v>
      </c>
      <c r="H898" s="88">
        <v>0.99691459999999998</v>
      </c>
      <c r="I898" s="77">
        <v>0.98515355999999998</v>
      </c>
      <c r="J898" s="15">
        <v>65.635000000000005</v>
      </c>
      <c r="R898" s="53">
        <v>474.02</v>
      </c>
      <c r="S898" s="76">
        <v>8.3247189999999995E-3</v>
      </c>
      <c r="T898" s="138">
        <v>0.15116627999999999</v>
      </c>
    </row>
    <row r="899" spans="5:20">
      <c r="E899" s="130">
        <v>0.99785000000000001</v>
      </c>
      <c r="F899" s="77">
        <v>0.98846999999999996</v>
      </c>
      <c r="G899" s="75">
        <v>34.149000000000001</v>
      </c>
      <c r="H899" s="88">
        <v>0.99690794999999999</v>
      </c>
      <c r="I899" s="77">
        <v>0.98513496</v>
      </c>
      <c r="J899" s="15">
        <v>65.635999999999996</v>
      </c>
      <c r="R899" s="53">
        <v>474.03</v>
      </c>
      <c r="S899" s="76">
        <v>8.309472E-3</v>
      </c>
      <c r="T899" s="138">
        <v>0.15092285</v>
      </c>
    </row>
    <row r="900" spans="5:20">
      <c r="E900" s="130">
        <v>0.99782999999999999</v>
      </c>
      <c r="F900" s="77">
        <v>0.98843000000000003</v>
      </c>
      <c r="G900" s="75">
        <v>34.15</v>
      </c>
      <c r="H900" s="88">
        <v>0.99690133000000003</v>
      </c>
      <c r="I900" s="77">
        <v>0.9851164</v>
      </c>
      <c r="J900" s="15">
        <v>65.637</v>
      </c>
      <c r="R900" s="53">
        <v>474.04</v>
      </c>
      <c r="S900" s="76">
        <v>8.2942290000000002E-3</v>
      </c>
      <c r="T900" s="138">
        <v>0.15067936000000001</v>
      </c>
    </row>
    <row r="901" spans="5:20">
      <c r="E901" s="130">
        <v>0.99782000000000004</v>
      </c>
      <c r="F901" s="77">
        <v>0.98839999999999995</v>
      </c>
      <c r="G901" s="75">
        <v>34.151000000000003</v>
      </c>
      <c r="H901" s="88">
        <v>0.99689466000000004</v>
      </c>
      <c r="I901" s="77">
        <v>0.98509789999999997</v>
      </c>
      <c r="J901" s="15">
        <v>65.638000000000005</v>
      </c>
      <c r="R901" s="53">
        <v>474.05</v>
      </c>
      <c r="S901" s="76">
        <v>8.2789909999999994E-3</v>
      </c>
      <c r="T901" s="138">
        <v>0.15043583999999999</v>
      </c>
    </row>
    <row r="902" spans="5:20">
      <c r="E902" s="130">
        <v>0.99780999999999997</v>
      </c>
      <c r="F902" s="77">
        <v>0.98836000000000002</v>
      </c>
      <c r="G902" s="75">
        <v>34.152000000000001</v>
      </c>
      <c r="H902" s="88">
        <v>0.996888</v>
      </c>
      <c r="I902" s="77">
        <v>0.98507935000000002</v>
      </c>
      <c r="J902" s="15">
        <v>65.638999999999996</v>
      </c>
      <c r="R902" s="53">
        <v>474.06</v>
      </c>
      <c r="S902" s="76">
        <v>8.2637565000000003E-3</v>
      </c>
      <c r="T902" s="138">
        <v>0.15019225999999999</v>
      </c>
    </row>
    <row r="903" spans="5:20">
      <c r="E903" s="130">
        <v>0.99780000000000002</v>
      </c>
      <c r="F903" s="77">
        <v>0.98833000000000004</v>
      </c>
      <c r="G903" s="75">
        <v>34.152999999999999</v>
      </c>
      <c r="H903" s="88">
        <v>0.99688129999999997</v>
      </c>
      <c r="I903" s="77">
        <v>0.98506075000000004</v>
      </c>
      <c r="J903" s="15">
        <v>65.64</v>
      </c>
      <c r="R903" s="53">
        <v>474.07</v>
      </c>
      <c r="S903" s="76">
        <v>8.2485270000000003E-3</v>
      </c>
      <c r="T903" s="138">
        <v>0.14994863999999999</v>
      </c>
    </row>
    <row r="904" spans="5:20">
      <c r="E904" s="130">
        <v>0.99778</v>
      </c>
      <c r="F904" s="77">
        <v>0.98829</v>
      </c>
      <c r="G904" s="75">
        <v>34.154000000000003</v>
      </c>
      <c r="H904" s="88">
        <v>0.99687460000000006</v>
      </c>
      <c r="I904" s="77">
        <v>0.98504219999999998</v>
      </c>
      <c r="J904" s="15">
        <v>65.641000000000005</v>
      </c>
      <c r="R904" s="53">
        <v>474.08</v>
      </c>
      <c r="S904" s="76">
        <v>8.2333000000000007E-3</v>
      </c>
      <c r="T904" s="138">
        <v>0.14970497999999999</v>
      </c>
    </row>
    <row r="905" spans="5:20">
      <c r="E905" s="130">
        <v>0.99777000000000005</v>
      </c>
      <c r="F905" s="77">
        <v>0.98826000000000003</v>
      </c>
      <c r="G905" s="75">
        <v>34.155000000000001</v>
      </c>
      <c r="H905" s="88">
        <v>0.99686783999999995</v>
      </c>
      <c r="I905" s="77">
        <v>0.9850236</v>
      </c>
      <c r="J905" s="15">
        <v>65.641999999999996</v>
      </c>
      <c r="R905" s="53">
        <v>474.09</v>
      </c>
      <c r="S905" s="76">
        <v>8.2180780000000002E-3</v>
      </c>
      <c r="T905" s="138">
        <v>0.14946124999999999</v>
      </c>
    </row>
    <row r="906" spans="5:20">
      <c r="E906" s="130">
        <v>0.99775999999999998</v>
      </c>
      <c r="F906" s="77">
        <v>0.98821999999999999</v>
      </c>
      <c r="G906" s="75">
        <v>34.155999999999999</v>
      </c>
      <c r="H906" s="88">
        <v>0.99686110000000006</v>
      </c>
      <c r="I906" s="77">
        <v>0.98500509999999997</v>
      </c>
      <c r="J906" s="15">
        <v>65.643000000000001</v>
      </c>
      <c r="R906" s="53">
        <v>474.1</v>
      </c>
      <c r="S906" s="76">
        <v>8.2028610000000005E-3</v>
      </c>
      <c r="T906" s="138">
        <v>0.1492175</v>
      </c>
    </row>
    <row r="907" spans="5:20">
      <c r="E907" s="130">
        <v>0.99775000000000003</v>
      </c>
      <c r="F907" s="77">
        <v>0.98819000000000001</v>
      </c>
      <c r="G907" s="75">
        <v>34.156999999999996</v>
      </c>
      <c r="H907" s="88">
        <v>0.99685436000000005</v>
      </c>
      <c r="I907" s="77">
        <v>0.98498649999999999</v>
      </c>
      <c r="J907" s="15">
        <v>65.644000000000005</v>
      </c>
      <c r="R907" s="53">
        <v>474.11</v>
      </c>
      <c r="S907" s="76">
        <v>8.1876469999999993E-3</v>
      </c>
      <c r="T907" s="138">
        <v>0.14897368999999999</v>
      </c>
    </row>
    <row r="908" spans="5:20">
      <c r="E908" s="130">
        <v>0.99773000000000001</v>
      </c>
      <c r="F908" s="77">
        <v>0.98814999999999997</v>
      </c>
      <c r="G908" s="75">
        <v>34.158000000000001</v>
      </c>
      <c r="H908" s="88">
        <v>0.99684759999999994</v>
      </c>
      <c r="I908" s="77">
        <v>0.98496795000000004</v>
      </c>
      <c r="J908" s="15">
        <v>65.644999999999996</v>
      </c>
      <c r="R908" s="53">
        <v>474.12</v>
      </c>
      <c r="S908" s="76">
        <v>8.1724380000000006E-3</v>
      </c>
      <c r="T908" s="138">
        <v>0.14872983000000001</v>
      </c>
    </row>
    <row r="909" spans="5:20">
      <c r="E909" s="130">
        <v>0.99772000000000005</v>
      </c>
      <c r="F909" s="77">
        <v>0.98812</v>
      </c>
      <c r="G909" s="75">
        <v>34.158999999999999</v>
      </c>
      <c r="H909" s="88">
        <v>0.99684083000000001</v>
      </c>
      <c r="I909" s="77">
        <v>0.98494934999999995</v>
      </c>
      <c r="J909" s="15">
        <v>65.646000000000001</v>
      </c>
      <c r="R909" s="53">
        <v>474.13</v>
      </c>
      <c r="S909" s="76">
        <v>8.1572329999999998E-3</v>
      </c>
      <c r="T909" s="138">
        <v>0.14848592999999999</v>
      </c>
    </row>
    <row r="910" spans="5:20">
      <c r="E910" s="130">
        <v>0.99770999999999999</v>
      </c>
      <c r="F910" s="77">
        <v>0.98807999999999996</v>
      </c>
      <c r="G910" s="75">
        <v>34.159999999999997</v>
      </c>
      <c r="H910" s="88">
        <v>0.99683403999999998</v>
      </c>
      <c r="I910" s="77">
        <v>0.98493074999999997</v>
      </c>
      <c r="J910" s="15">
        <v>65.647000000000006</v>
      </c>
      <c r="R910" s="53">
        <v>474.14</v>
      </c>
      <c r="S910" s="76">
        <v>8.1420320000000004E-3</v>
      </c>
      <c r="T910" s="138">
        <v>0.14824198</v>
      </c>
    </row>
    <row r="911" spans="5:20">
      <c r="E911" s="130">
        <v>0.99770000000000003</v>
      </c>
      <c r="F911" s="77">
        <v>0.98804999999999998</v>
      </c>
      <c r="G911" s="75">
        <v>34.161000000000001</v>
      </c>
      <c r="H911" s="88">
        <v>0.99682724</v>
      </c>
      <c r="I911" s="77">
        <v>0.98491216000000004</v>
      </c>
      <c r="J911" s="15">
        <v>65.647999999999996</v>
      </c>
      <c r="R911" s="53">
        <v>474.15</v>
      </c>
      <c r="S911" s="76">
        <v>8.1268339999999994E-3</v>
      </c>
      <c r="T911" s="138">
        <v>0.14799799</v>
      </c>
    </row>
    <row r="912" spans="5:20">
      <c r="E912" s="130">
        <v>0.99768000000000001</v>
      </c>
      <c r="F912" s="77">
        <v>0.98801000000000005</v>
      </c>
      <c r="G912" s="75">
        <v>34.161999999999999</v>
      </c>
      <c r="H912" s="88">
        <v>0.99682044999999997</v>
      </c>
      <c r="I912" s="77">
        <v>0.98489355999999995</v>
      </c>
      <c r="J912" s="15">
        <v>65.649000000000001</v>
      </c>
      <c r="R912" s="53">
        <v>474.16</v>
      </c>
      <c r="S912" s="76">
        <v>8.1116420000000005E-3</v>
      </c>
      <c r="T912" s="138">
        <v>0.14775394</v>
      </c>
    </row>
    <row r="913" spans="5:20">
      <c r="E913" s="130">
        <v>0.99766999999999995</v>
      </c>
      <c r="F913" s="77">
        <v>0.98797999999999997</v>
      </c>
      <c r="G913" s="75">
        <v>34.162999999999997</v>
      </c>
      <c r="H913" s="88">
        <v>0.99681365</v>
      </c>
      <c r="I913" s="77">
        <v>0.98487495999999997</v>
      </c>
      <c r="J913" s="15">
        <v>65.650000000000006</v>
      </c>
      <c r="R913" s="53">
        <v>474.17</v>
      </c>
      <c r="S913" s="76">
        <v>8.096453E-3</v>
      </c>
      <c r="T913" s="138">
        <v>0.14750985999999999</v>
      </c>
    </row>
    <row r="914" spans="5:20">
      <c r="E914" s="130">
        <v>0.99765999999999999</v>
      </c>
      <c r="F914" s="77">
        <v>0.98794000000000004</v>
      </c>
      <c r="G914" s="75">
        <v>34.164000000000001</v>
      </c>
      <c r="H914" s="88">
        <v>0.99680679999999999</v>
      </c>
      <c r="I914" s="77">
        <v>0.98485637000000004</v>
      </c>
      <c r="J914" s="15">
        <v>65.650999999999996</v>
      </c>
      <c r="R914" s="53">
        <v>474.18</v>
      </c>
      <c r="S914" s="76">
        <v>8.0812685000000006E-3</v>
      </c>
      <c r="T914" s="138">
        <v>0.14726571999999999</v>
      </c>
    </row>
    <row r="915" spans="5:20">
      <c r="E915" s="130">
        <v>0.99763999999999997</v>
      </c>
      <c r="F915" s="77">
        <v>0.9879</v>
      </c>
      <c r="G915" s="75">
        <v>34.164999999999999</v>
      </c>
      <c r="H915" s="88">
        <v>0.99679994999999999</v>
      </c>
      <c r="I915" s="77">
        <v>0.98483779999999999</v>
      </c>
      <c r="J915" s="15">
        <v>65.652000000000001</v>
      </c>
      <c r="R915" s="53">
        <v>474.19</v>
      </c>
      <c r="S915" s="76">
        <v>8.0660880000000008E-3</v>
      </c>
      <c r="T915" s="138">
        <v>0.14702153000000001</v>
      </c>
    </row>
    <row r="916" spans="5:20">
      <c r="E916" s="130">
        <v>0.99763000000000002</v>
      </c>
      <c r="F916" s="77">
        <v>0.98787000000000003</v>
      </c>
      <c r="G916" s="75">
        <v>34.165999999999997</v>
      </c>
      <c r="H916" s="88">
        <v>0.99679309999999999</v>
      </c>
      <c r="I916" s="77">
        <v>0.98481920000000001</v>
      </c>
      <c r="J916" s="15">
        <v>65.653000000000006</v>
      </c>
      <c r="R916" s="53">
        <v>474.2</v>
      </c>
      <c r="S916" s="76">
        <v>8.0509120000000003E-3</v>
      </c>
      <c r="T916" s="138">
        <v>0.1467773</v>
      </c>
    </row>
    <row r="917" spans="5:20">
      <c r="E917" s="130">
        <v>0.99761999999999995</v>
      </c>
      <c r="F917" s="77">
        <v>0.98782999999999999</v>
      </c>
      <c r="G917" s="75">
        <v>34.167000000000002</v>
      </c>
      <c r="H917" s="88">
        <v>0.99678619999999996</v>
      </c>
      <c r="I917" s="77">
        <v>0.98480049999999997</v>
      </c>
      <c r="J917" s="15">
        <v>65.653999999999996</v>
      </c>
      <c r="R917" s="53">
        <v>474.21</v>
      </c>
      <c r="S917" s="76">
        <v>8.0357399999999995E-3</v>
      </c>
      <c r="T917" s="138">
        <v>0.14653303000000001</v>
      </c>
    </row>
    <row r="918" spans="5:20">
      <c r="E918" s="130">
        <v>0.99760000000000004</v>
      </c>
      <c r="F918" s="77">
        <v>0.98780000000000001</v>
      </c>
      <c r="G918" s="75">
        <v>34.167999999999999</v>
      </c>
      <c r="H918" s="88">
        <v>0.99677925999999994</v>
      </c>
      <c r="I918" s="77">
        <v>0.98478189999999999</v>
      </c>
      <c r="J918" s="15">
        <v>65.655000000000001</v>
      </c>
      <c r="R918" s="53">
        <v>474.22</v>
      </c>
      <c r="S918" s="76">
        <v>8.0205710000000006E-3</v>
      </c>
      <c r="T918" s="138">
        <v>0.14628869999999999</v>
      </c>
    </row>
    <row r="919" spans="5:20">
      <c r="E919" s="130">
        <v>0.99758999999999998</v>
      </c>
      <c r="F919" s="77">
        <v>0.98775999999999997</v>
      </c>
      <c r="G919" s="75">
        <v>34.168999999999997</v>
      </c>
      <c r="H919" s="88">
        <v>0.99677234999999997</v>
      </c>
      <c r="I919" s="77">
        <v>0.98476326000000003</v>
      </c>
      <c r="J919" s="15">
        <v>65.656000000000006</v>
      </c>
      <c r="R919" s="53">
        <v>474.23</v>
      </c>
      <c r="S919" s="76">
        <v>8.0054080000000003E-3</v>
      </c>
      <c r="T919" s="138">
        <v>0.14604433</v>
      </c>
    </row>
    <row r="920" spans="5:20">
      <c r="E920" s="130">
        <v>0.99758000000000002</v>
      </c>
      <c r="F920" s="77">
        <v>0.98773</v>
      </c>
      <c r="G920" s="75">
        <v>34.17</v>
      </c>
      <c r="H920" s="88">
        <v>0.99676542999999995</v>
      </c>
      <c r="I920" s="77">
        <v>0.98474466999999999</v>
      </c>
      <c r="J920" s="15">
        <v>65.656999999999996</v>
      </c>
      <c r="R920" s="53">
        <v>474.24</v>
      </c>
      <c r="S920" s="76">
        <v>7.9902484999999999E-3</v>
      </c>
      <c r="T920" s="138">
        <v>0.14579990000000001</v>
      </c>
    </row>
    <row r="921" spans="5:20">
      <c r="E921" s="130">
        <v>0.99756</v>
      </c>
      <c r="F921" s="77">
        <v>0.98768999999999996</v>
      </c>
      <c r="G921" s="75">
        <v>34.170999999999999</v>
      </c>
      <c r="H921" s="88">
        <v>0.99675849999999999</v>
      </c>
      <c r="I921" s="77">
        <v>0.98472599999999999</v>
      </c>
      <c r="J921" s="15">
        <v>65.658000000000001</v>
      </c>
      <c r="R921" s="53">
        <v>474.25</v>
      </c>
      <c r="S921" s="76">
        <v>7.9750930000000008E-3</v>
      </c>
      <c r="T921" s="138">
        <v>0.14555545</v>
      </c>
    </row>
    <row r="922" spans="5:20">
      <c r="E922" s="130">
        <v>0.99755000000000005</v>
      </c>
      <c r="F922" s="77">
        <v>0.98765999999999998</v>
      </c>
      <c r="G922" s="75">
        <v>34.171999999999997</v>
      </c>
      <c r="H922" s="88">
        <v>0.99675155000000004</v>
      </c>
      <c r="I922" s="77">
        <v>0.98470740000000001</v>
      </c>
      <c r="J922" s="15">
        <v>65.659000000000006</v>
      </c>
      <c r="R922" s="53">
        <v>474.26</v>
      </c>
      <c r="S922" s="76">
        <v>7.9599409999999999E-3</v>
      </c>
      <c r="T922" s="138">
        <v>0.14531094</v>
      </c>
    </row>
    <row r="923" spans="5:20">
      <c r="E923" s="130">
        <v>0.99753999999999998</v>
      </c>
      <c r="F923" s="77">
        <v>0.98762000000000005</v>
      </c>
      <c r="G923" s="75">
        <v>34.173000000000002</v>
      </c>
      <c r="H923" s="88">
        <v>0.99674459999999998</v>
      </c>
      <c r="I923" s="77">
        <v>0.98468876000000005</v>
      </c>
      <c r="J923" s="15">
        <v>65.66</v>
      </c>
      <c r="R923" s="53">
        <v>474.27</v>
      </c>
      <c r="S923" s="76">
        <v>7.9447939999999998E-3</v>
      </c>
      <c r="T923" s="138">
        <v>0.14506637999999999</v>
      </c>
    </row>
    <row r="924" spans="5:20">
      <c r="E924" s="130">
        <v>0.99751999999999996</v>
      </c>
      <c r="F924" s="77">
        <v>0.98758000000000001</v>
      </c>
      <c r="G924" s="75">
        <v>34.173999999999999</v>
      </c>
      <c r="H924" s="88">
        <v>0.9967376</v>
      </c>
      <c r="I924" s="77">
        <v>0.98467009999999999</v>
      </c>
      <c r="J924" s="15">
        <v>65.661000000000001</v>
      </c>
      <c r="R924" s="53">
        <v>474.28</v>
      </c>
      <c r="S924" s="76">
        <v>7.9296509999999994E-3</v>
      </c>
      <c r="T924" s="138">
        <v>0.14482178000000001</v>
      </c>
    </row>
    <row r="925" spans="5:20">
      <c r="E925" s="130">
        <v>0.99751000000000001</v>
      </c>
      <c r="F925" s="77">
        <v>0.98755000000000004</v>
      </c>
      <c r="G925" s="75">
        <v>34.174999999999997</v>
      </c>
      <c r="H925" s="88">
        <v>0.99673060000000002</v>
      </c>
      <c r="I925" s="77">
        <v>0.98465144999999998</v>
      </c>
      <c r="J925" s="15">
        <v>65.662000000000006</v>
      </c>
      <c r="R925" s="53">
        <v>474.29</v>
      </c>
      <c r="S925" s="76">
        <v>7.9145115000000005E-3</v>
      </c>
      <c r="T925" s="138">
        <v>0.14457712</v>
      </c>
    </row>
    <row r="926" spans="5:20">
      <c r="E926" s="130">
        <v>0.99748999999999999</v>
      </c>
      <c r="F926" s="77">
        <v>0.98751</v>
      </c>
      <c r="G926" s="75">
        <v>34.176000000000002</v>
      </c>
      <c r="H926" s="88">
        <v>0.99672360000000004</v>
      </c>
      <c r="I926" s="77">
        <v>0.98463279999999997</v>
      </c>
      <c r="J926" s="15">
        <v>65.662999999999997</v>
      </c>
      <c r="R926" s="53">
        <v>474.3</v>
      </c>
      <c r="S926" s="76">
        <v>7.8993770000000008E-3</v>
      </c>
      <c r="T926" s="138">
        <v>0.14433241999999999</v>
      </c>
    </row>
    <row r="927" spans="5:20">
      <c r="E927" s="130">
        <v>0.99748000000000003</v>
      </c>
      <c r="F927" s="77">
        <v>0.98748000000000002</v>
      </c>
      <c r="G927" s="75">
        <v>34.177</v>
      </c>
      <c r="H927" s="88">
        <v>0.99671655999999997</v>
      </c>
      <c r="I927" s="77">
        <v>0.98461412999999998</v>
      </c>
      <c r="J927" s="15">
        <v>65.664000000000001</v>
      </c>
      <c r="R927" s="53">
        <v>474.31</v>
      </c>
      <c r="S927" s="76">
        <v>7.8842459999999993E-3</v>
      </c>
      <c r="T927" s="138">
        <v>0.14408767</v>
      </c>
    </row>
    <row r="928" spans="5:20">
      <c r="E928" s="130">
        <v>0.99746999999999997</v>
      </c>
      <c r="F928" s="77">
        <v>0.98743999999999998</v>
      </c>
      <c r="G928" s="75">
        <v>34.177999999999997</v>
      </c>
      <c r="H928" s="88">
        <v>0.99670950000000003</v>
      </c>
      <c r="I928" s="77">
        <v>0.98459549999999996</v>
      </c>
      <c r="J928" s="15">
        <v>65.665000000000006</v>
      </c>
      <c r="R928" s="53">
        <v>474.32</v>
      </c>
      <c r="S928" s="76">
        <v>7.8691200000000003E-3</v>
      </c>
      <c r="T928" s="138">
        <v>0.14384288000000001</v>
      </c>
    </row>
    <row r="929" spans="5:20">
      <c r="E929" s="130">
        <v>0.99744999999999995</v>
      </c>
      <c r="F929" s="77">
        <v>0.98741000000000001</v>
      </c>
      <c r="G929" s="75">
        <v>34.179000000000002</v>
      </c>
      <c r="H929" s="88">
        <v>0.99670250000000005</v>
      </c>
      <c r="I929" s="77">
        <v>0.98457680000000003</v>
      </c>
      <c r="J929" s="15">
        <v>65.665999999999997</v>
      </c>
      <c r="R929" s="53">
        <v>474.33</v>
      </c>
      <c r="S929" s="76">
        <v>7.8539969999999997E-3</v>
      </c>
      <c r="T929" s="138">
        <v>0.14359805</v>
      </c>
    </row>
    <row r="930" spans="5:20">
      <c r="E930" s="130">
        <v>0.99743999999999999</v>
      </c>
      <c r="F930" s="77">
        <v>0.98736999999999997</v>
      </c>
      <c r="G930" s="75">
        <v>34.18</v>
      </c>
      <c r="H930" s="88">
        <v>0.99669540000000001</v>
      </c>
      <c r="I930" s="77">
        <v>0.98455817000000001</v>
      </c>
      <c r="J930" s="15">
        <v>65.667000000000002</v>
      </c>
      <c r="R930" s="53">
        <v>474.34</v>
      </c>
      <c r="S930" s="76">
        <v>7.8388780000000005E-3</v>
      </c>
      <c r="T930" s="138">
        <v>0.14335315000000001</v>
      </c>
    </row>
    <row r="931" spans="5:20">
      <c r="E931" s="130">
        <v>0.99741999999999997</v>
      </c>
      <c r="F931" s="77">
        <v>0.98733000000000004</v>
      </c>
      <c r="G931" s="75">
        <v>34.180999999999997</v>
      </c>
      <c r="H931" s="88">
        <v>0.99668836999999999</v>
      </c>
      <c r="I931" s="77">
        <v>0.98453944999999998</v>
      </c>
      <c r="J931" s="15">
        <v>65.668000000000006</v>
      </c>
      <c r="R931" s="53">
        <v>474.35</v>
      </c>
      <c r="S931" s="76">
        <v>7.8237629999999992E-3</v>
      </c>
      <c r="T931" s="138">
        <v>0.14310822000000001</v>
      </c>
    </row>
    <row r="932" spans="5:20">
      <c r="E932" s="130">
        <v>0.99741000000000002</v>
      </c>
      <c r="F932" s="77">
        <v>0.98729999999999996</v>
      </c>
      <c r="G932" s="75">
        <v>34.182000000000002</v>
      </c>
      <c r="H932" s="88">
        <v>0.99668129999999999</v>
      </c>
      <c r="I932" s="77">
        <v>0.98452079999999997</v>
      </c>
      <c r="J932" s="15">
        <v>65.668999999999997</v>
      </c>
      <c r="R932" s="53">
        <v>474.36</v>
      </c>
      <c r="S932" s="76">
        <v>7.8086535999999998E-3</v>
      </c>
      <c r="T932" s="138">
        <v>0.14286324</v>
      </c>
    </row>
    <row r="933" spans="5:20">
      <c r="E933" s="130">
        <v>0.99739</v>
      </c>
      <c r="F933" s="77">
        <v>0.98726000000000003</v>
      </c>
      <c r="G933" s="75">
        <v>34.183</v>
      </c>
      <c r="H933" s="88">
        <v>0.99667410000000001</v>
      </c>
      <c r="I933" s="77">
        <v>0.98450210000000005</v>
      </c>
      <c r="J933" s="15">
        <v>65.67</v>
      </c>
      <c r="R933" s="53">
        <v>474.37</v>
      </c>
      <c r="S933" s="76">
        <v>7.7935469999999996E-3</v>
      </c>
      <c r="T933" s="138">
        <v>0.14261821999999999</v>
      </c>
    </row>
    <row r="934" spans="5:20">
      <c r="E934" s="130">
        <v>0.99738000000000004</v>
      </c>
      <c r="F934" s="77">
        <v>0.98723000000000005</v>
      </c>
      <c r="G934" s="75">
        <v>34.183999999999997</v>
      </c>
      <c r="H934" s="88">
        <v>0.99666699999999997</v>
      </c>
      <c r="I934" s="77">
        <v>0.98448340000000001</v>
      </c>
      <c r="J934" s="15">
        <v>65.671000000000006</v>
      </c>
      <c r="R934" s="53">
        <v>474.38</v>
      </c>
      <c r="S934" s="76">
        <v>7.7784452999999998E-3</v>
      </c>
      <c r="T934" s="138">
        <v>0.14237314000000001</v>
      </c>
    </row>
    <row r="935" spans="5:20">
      <c r="E935" s="130">
        <v>0.99736000000000002</v>
      </c>
      <c r="F935" s="77">
        <v>0.98719000000000001</v>
      </c>
      <c r="G935" s="75">
        <v>34.185000000000002</v>
      </c>
      <c r="H935" s="88">
        <v>0.99665990000000004</v>
      </c>
      <c r="I935" s="77">
        <v>0.98446469999999997</v>
      </c>
      <c r="J935" s="15">
        <v>65.671999999999997</v>
      </c>
      <c r="R935" s="53">
        <v>474.39</v>
      </c>
      <c r="S935" s="76">
        <v>7.7633470000000003E-3</v>
      </c>
      <c r="T935" s="138">
        <v>0.14212801999999999</v>
      </c>
    </row>
    <row r="936" spans="5:20">
      <c r="E936" s="130">
        <v>0.99734999999999996</v>
      </c>
      <c r="F936" s="77">
        <v>0.98714999999999997</v>
      </c>
      <c r="G936" s="75">
        <v>34.186</v>
      </c>
      <c r="H936" s="88">
        <v>0.99665269999999995</v>
      </c>
      <c r="I936" s="77">
        <v>0.98444604999999996</v>
      </c>
      <c r="J936" s="15">
        <v>65.673000000000002</v>
      </c>
      <c r="R936" s="53">
        <v>474.4</v>
      </c>
      <c r="S936" s="76">
        <v>7.7482530000000001E-3</v>
      </c>
      <c r="T936" s="138">
        <v>0.14188285</v>
      </c>
    </row>
    <row r="937" spans="5:20">
      <c r="E937" s="130">
        <v>0.99733000000000005</v>
      </c>
      <c r="F937" s="77">
        <v>0.98712</v>
      </c>
      <c r="G937" s="75">
        <v>34.186999999999998</v>
      </c>
      <c r="H937" s="88">
        <v>0.99664549999999996</v>
      </c>
      <c r="I937" s="77">
        <v>0.98442733000000004</v>
      </c>
      <c r="J937" s="15">
        <v>65.674000000000007</v>
      </c>
      <c r="R937" s="53">
        <v>474.41</v>
      </c>
      <c r="S937" s="76">
        <v>7.7331630000000004E-3</v>
      </c>
      <c r="T937" s="138">
        <v>0.14163764000000001</v>
      </c>
    </row>
    <row r="938" spans="5:20">
      <c r="E938" s="130">
        <v>0.99731999999999998</v>
      </c>
      <c r="F938" s="77">
        <v>0.98707999999999996</v>
      </c>
      <c r="G938" s="75">
        <v>34.188000000000002</v>
      </c>
      <c r="H938" s="88">
        <v>0.99663835999999995</v>
      </c>
      <c r="I938" s="77">
        <v>0.98440859999999997</v>
      </c>
      <c r="J938" s="15">
        <v>65.674999999999997</v>
      </c>
      <c r="R938" s="53">
        <v>474.42</v>
      </c>
      <c r="S938" s="76">
        <v>7.7180774000000004E-3</v>
      </c>
      <c r="T938" s="138">
        <v>0.14139238000000001</v>
      </c>
    </row>
    <row r="939" spans="5:20">
      <c r="E939" s="130">
        <v>0.99729999999999996</v>
      </c>
      <c r="F939" s="77">
        <v>0.98704999999999998</v>
      </c>
      <c r="G939" s="75">
        <v>34.189</v>
      </c>
      <c r="H939" s="88">
        <v>0.99663115000000002</v>
      </c>
      <c r="I939" s="77">
        <v>0.98438990000000004</v>
      </c>
      <c r="J939" s="15">
        <v>65.676000000000002</v>
      </c>
      <c r="R939" s="53">
        <v>474.43</v>
      </c>
      <c r="S939" s="76">
        <v>7.7029956E-3</v>
      </c>
      <c r="T939" s="138">
        <v>0.14114708000000001</v>
      </c>
    </row>
    <row r="940" spans="5:20">
      <c r="E940" s="130">
        <v>0.99729000000000001</v>
      </c>
      <c r="F940" s="77">
        <v>0.98701000000000005</v>
      </c>
      <c r="G940" s="75">
        <v>34.19</v>
      </c>
      <c r="H940" s="88">
        <v>0.99662393000000005</v>
      </c>
      <c r="I940" s="77">
        <v>0.9843712</v>
      </c>
      <c r="J940" s="15">
        <v>65.677000000000007</v>
      </c>
      <c r="R940" s="53">
        <v>474.44</v>
      </c>
      <c r="S940" s="76">
        <v>7.6879180000000002E-3</v>
      </c>
      <c r="T940" s="138">
        <v>0.14090171000000001</v>
      </c>
    </row>
    <row r="941" spans="5:20">
      <c r="E941" s="130">
        <v>0.99726999999999999</v>
      </c>
      <c r="F941" s="77">
        <v>0.98697000000000001</v>
      </c>
      <c r="G941" s="75">
        <v>34.191000000000003</v>
      </c>
      <c r="H941" s="88">
        <v>0.99661670000000002</v>
      </c>
      <c r="I941" s="77">
        <v>0.98435247000000003</v>
      </c>
      <c r="J941" s="15">
        <v>65.677999999999997</v>
      </c>
      <c r="R941" s="53">
        <v>474.45</v>
      </c>
      <c r="S941" s="76">
        <v>7.6728444999999996E-3</v>
      </c>
      <c r="T941" s="138">
        <v>0.14065632</v>
      </c>
    </row>
    <row r="942" spans="5:20">
      <c r="E942" s="130">
        <v>0.99726000000000004</v>
      </c>
      <c r="F942" s="77">
        <v>0.98694000000000004</v>
      </c>
      <c r="G942" s="75">
        <v>34.192</v>
      </c>
      <c r="H942" s="88">
        <v>0.99660945000000001</v>
      </c>
      <c r="I942" s="77">
        <v>0.98433375000000001</v>
      </c>
      <c r="J942" s="15">
        <v>65.679000000000002</v>
      </c>
      <c r="R942" s="53">
        <v>474.46</v>
      </c>
      <c r="S942" s="76">
        <v>7.6577746999999998E-3</v>
      </c>
      <c r="T942" s="138">
        <v>0.14041086999999999</v>
      </c>
    </row>
    <row r="943" spans="5:20">
      <c r="E943" s="130">
        <v>0.99724000000000002</v>
      </c>
      <c r="F943" s="77">
        <v>0.9869</v>
      </c>
      <c r="G943" s="75">
        <v>34.192999999999998</v>
      </c>
      <c r="H943" s="88">
        <v>0.99660219999999999</v>
      </c>
      <c r="I943" s="77">
        <v>0.98431504000000003</v>
      </c>
      <c r="J943" s="15">
        <v>65.680000000000007</v>
      </c>
      <c r="R943" s="53">
        <v>474.47</v>
      </c>
      <c r="S943" s="76">
        <v>7.6427096999999999E-3</v>
      </c>
      <c r="T943" s="138">
        <v>0.14016537000000001</v>
      </c>
    </row>
    <row r="944" spans="5:20">
      <c r="E944" s="130">
        <v>0.99722</v>
      </c>
      <c r="F944" s="77">
        <v>0.98687000000000002</v>
      </c>
      <c r="G944" s="75">
        <v>34.194000000000003</v>
      </c>
      <c r="H944" s="88">
        <v>0.99659489999999995</v>
      </c>
      <c r="I944" s="77">
        <v>0.98429630000000001</v>
      </c>
      <c r="J944" s="15">
        <v>65.680999999999997</v>
      </c>
      <c r="R944" s="53">
        <v>474.48</v>
      </c>
      <c r="S944" s="76">
        <v>7.6276483000000004E-3</v>
      </c>
      <c r="T944" s="138">
        <v>0.13991983</v>
      </c>
    </row>
    <row r="945" spans="5:20">
      <c r="E945" s="130">
        <v>0.99721000000000004</v>
      </c>
      <c r="F945" s="77">
        <v>0.98682999999999998</v>
      </c>
      <c r="G945" s="75">
        <v>34.195</v>
      </c>
      <c r="H945" s="88">
        <v>0.99658762999999995</v>
      </c>
      <c r="I945" s="77">
        <v>0.98427754999999995</v>
      </c>
      <c r="J945" s="15">
        <v>65.682000000000002</v>
      </c>
      <c r="R945" s="53">
        <v>474.49</v>
      </c>
      <c r="S945" s="76">
        <v>7.6125906999999996E-3</v>
      </c>
      <c r="T945" s="138">
        <v>0.13967425</v>
      </c>
    </row>
    <row r="946" spans="5:20">
      <c r="E946" s="130">
        <v>0.99719000000000002</v>
      </c>
      <c r="F946" s="77">
        <v>0.98678999999999994</v>
      </c>
      <c r="G946" s="75">
        <v>34.195999999999998</v>
      </c>
      <c r="H946" s="88">
        <v>0.99658029999999997</v>
      </c>
      <c r="I946" s="77">
        <v>0.98425883000000003</v>
      </c>
      <c r="J946" s="15">
        <v>65.683000000000007</v>
      </c>
      <c r="R946" s="53">
        <v>474.5</v>
      </c>
      <c r="S946" s="76">
        <v>7.5975377000000004E-3</v>
      </c>
      <c r="T946" s="138">
        <v>0.13942860000000001</v>
      </c>
    </row>
    <row r="947" spans="5:20">
      <c r="E947" s="130">
        <v>0.99717999999999996</v>
      </c>
      <c r="F947" s="77">
        <v>0.98675999999999997</v>
      </c>
      <c r="G947" s="75">
        <v>34.197000000000003</v>
      </c>
      <c r="H947" s="88">
        <v>0.99657300000000004</v>
      </c>
      <c r="I947" s="77">
        <v>0.98424005999999997</v>
      </c>
      <c r="J947" s="15">
        <v>65.683999999999997</v>
      </c>
      <c r="R947" s="53">
        <v>474.51</v>
      </c>
      <c r="S947" s="76">
        <v>7.5824884999999998E-3</v>
      </c>
      <c r="T947" s="138">
        <v>0.13918293000000001</v>
      </c>
    </row>
    <row r="948" spans="5:20">
      <c r="E948" s="130">
        <v>0.99716000000000005</v>
      </c>
      <c r="F948" s="77">
        <v>0.98672000000000004</v>
      </c>
      <c r="G948" s="75">
        <v>34.198</v>
      </c>
      <c r="H948" s="88">
        <v>0.99656564000000003</v>
      </c>
      <c r="I948" s="77">
        <v>0.98422133999999994</v>
      </c>
      <c r="J948" s="15">
        <v>65.685000000000002</v>
      </c>
      <c r="R948" s="53">
        <v>474.52</v>
      </c>
      <c r="S948" s="76">
        <v>7.5674434000000002E-3</v>
      </c>
      <c r="T948" s="138">
        <v>0.13893718999999999</v>
      </c>
    </row>
    <row r="949" spans="5:20">
      <c r="E949" s="130">
        <v>0.99714000000000003</v>
      </c>
      <c r="F949" s="77">
        <v>0.98668</v>
      </c>
      <c r="G949" s="75">
        <v>34.198999999999998</v>
      </c>
      <c r="H949" s="88">
        <v>0.99655830000000001</v>
      </c>
      <c r="I949" s="77">
        <v>0.98420255999999995</v>
      </c>
      <c r="J949" s="15">
        <v>65.686000000000007</v>
      </c>
      <c r="R949" s="53">
        <v>474.53</v>
      </c>
      <c r="S949" s="76">
        <v>7.5524019999999997E-3</v>
      </c>
      <c r="T949" s="138">
        <v>0.13869140999999999</v>
      </c>
    </row>
    <row r="950" spans="5:20">
      <c r="E950" s="130">
        <v>0.99712999999999996</v>
      </c>
      <c r="F950" s="77">
        <v>0.98665000000000003</v>
      </c>
      <c r="G950" s="75">
        <v>34.200000000000003</v>
      </c>
      <c r="H950" s="88">
        <v>0.99655090000000002</v>
      </c>
      <c r="I950" s="77">
        <v>0.98418380000000005</v>
      </c>
      <c r="J950" s="15">
        <v>65.686999999999998</v>
      </c>
      <c r="R950" s="53">
        <v>474.54</v>
      </c>
      <c r="S950" s="76">
        <v>7.5373649999999999E-3</v>
      </c>
      <c r="T950" s="138">
        <v>0.1384456</v>
      </c>
    </row>
    <row r="951" spans="5:20">
      <c r="E951" s="130">
        <v>0.99711000000000005</v>
      </c>
      <c r="F951" s="77">
        <v>0.98660999999999999</v>
      </c>
      <c r="G951" s="75">
        <v>34.201000000000001</v>
      </c>
      <c r="H951" s="88">
        <v>0.99654350000000003</v>
      </c>
      <c r="I951" s="77">
        <v>0.98416499999999996</v>
      </c>
      <c r="J951" s="15">
        <v>65.688000000000002</v>
      </c>
      <c r="R951" s="53">
        <v>474.55</v>
      </c>
      <c r="S951" s="76">
        <v>7.5223319999999996E-3</v>
      </c>
      <c r="T951" s="138">
        <v>0.13819972</v>
      </c>
    </row>
    <row r="952" spans="5:20">
      <c r="E952" s="130">
        <v>0.99709000000000003</v>
      </c>
      <c r="F952" s="77">
        <v>0.98656999999999995</v>
      </c>
      <c r="G952" s="75">
        <v>34.201999999999998</v>
      </c>
      <c r="H952" s="88">
        <v>0.99653614000000001</v>
      </c>
      <c r="I952" s="77">
        <v>0.98414630000000003</v>
      </c>
      <c r="J952" s="15">
        <v>65.688999999999993</v>
      </c>
      <c r="R952" s="53">
        <v>474.56</v>
      </c>
      <c r="S952" s="76">
        <v>7.5073033000000004E-3</v>
      </c>
      <c r="T952" s="138">
        <v>0.13795379999999999</v>
      </c>
    </row>
    <row r="953" spans="5:20">
      <c r="E953" s="130">
        <v>0.99707999999999997</v>
      </c>
      <c r="F953" s="77">
        <v>0.98653999999999997</v>
      </c>
      <c r="G953" s="75">
        <v>34.203000000000003</v>
      </c>
      <c r="H953" s="88">
        <v>0.99652874000000002</v>
      </c>
      <c r="I953" s="77">
        <v>0.98412750000000004</v>
      </c>
      <c r="J953" s="15">
        <v>65.69</v>
      </c>
      <c r="R953" s="53">
        <v>474.57</v>
      </c>
      <c r="S953" s="76">
        <v>7.4922781999999999E-3</v>
      </c>
      <c r="T953" s="138">
        <v>0.13770784</v>
      </c>
    </row>
    <row r="954" spans="5:20">
      <c r="E954" s="130">
        <v>0.99705999999999995</v>
      </c>
      <c r="F954" s="77">
        <v>0.98650000000000004</v>
      </c>
      <c r="G954" s="75">
        <v>34.204000000000001</v>
      </c>
      <c r="H954" s="88">
        <v>0.99652130000000005</v>
      </c>
      <c r="I954" s="77">
        <v>0.98410874999999998</v>
      </c>
      <c r="J954" s="15">
        <v>65.691000000000003</v>
      </c>
      <c r="R954" s="53">
        <v>474.58</v>
      </c>
      <c r="S954" s="76">
        <v>7.4772574000000003E-3</v>
      </c>
      <c r="T954" s="138">
        <v>0.13746183000000001</v>
      </c>
    </row>
    <row r="955" spans="5:20">
      <c r="E955" s="130">
        <v>0.99704000000000004</v>
      </c>
      <c r="F955" s="77">
        <v>0.98646999999999996</v>
      </c>
      <c r="G955" s="75">
        <v>34.204999999999998</v>
      </c>
      <c r="H955" s="88">
        <v>0.99651383999999998</v>
      </c>
      <c r="I955" s="77">
        <v>0.98408989999999996</v>
      </c>
      <c r="J955" s="15">
        <v>65.691999999999993</v>
      </c>
      <c r="R955" s="53">
        <v>474.59</v>
      </c>
      <c r="S955" s="76">
        <v>7.4622407999999996E-3</v>
      </c>
      <c r="T955" s="138">
        <v>0.13721578000000001</v>
      </c>
    </row>
    <row r="956" spans="5:20">
      <c r="E956" s="130">
        <v>0.99702999999999997</v>
      </c>
      <c r="F956" s="77">
        <v>0.98643000000000003</v>
      </c>
      <c r="G956" s="75">
        <v>34.206000000000003</v>
      </c>
      <c r="H956" s="88">
        <v>0.99650640000000001</v>
      </c>
      <c r="I956" s="77">
        <v>0.98407113999999996</v>
      </c>
      <c r="J956" s="15">
        <v>65.692999999999998</v>
      </c>
      <c r="R956" s="53">
        <v>474.6</v>
      </c>
      <c r="S956" s="76">
        <v>7.4472280000000002E-3</v>
      </c>
      <c r="T956" s="138">
        <v>0.13696966999999999</v>
      </c>
    </row>
    <row r="957" spans="5:20">
      <c r="E957" s="130">
        <v>0.99700999999999995</v>
      </c>
      <c r="F957" s="77">
        <v>0.98638999999999999</v>
      </c>
      <c r="G957" s="75">
        <v>34.207000000000001</v>
      </c>
      <c r="H957" s="88">
        <v>0.99649889999999997</v>
      </c>
      <c r="I957" s="77">
        <v>0.98405235999999996</v>
      </c>
      <c r="J957" s="15">
        <v>65.694000000000003</v>
      </c>
      <c r="R957" s="53">
        <v>474.61</v>
      </c>
      <c r="S957" s="76">
        <v>7.4322190000000003E-3</v>
      </c>
      <c r="T957" s="138">
        <v>0.13672351999999999</v>
      </c>
    </row>
    <row r="958" spans="5:20">
      <c r="E958" s="130">
        <v>0.99699000000000004</v>
      </c>
      <c r="F958" s="77">
        <v>0.98636000000000001</v>
      </c>
      <c r="G958" s="75">
        <v>34.207999999999998</v>
      </c>
      <c r="H958" s="88">
        <v>0.99649140000000003</v>
      </c>
      <c r="I958" s="77">
        <v>0.98403359999999995</v>
      </c>
      <c r="J958" s="15">
        <v>65.694999999999993</v>
      </c>
      <c r="R958" s="53">
        <v>474.62</v>
      </c>
      <c r="S958" s="76">
        <v>7.4172140000000001E-3</v>
      </c>
      <c r="T958" s="138">
        <v>0.13647732000000001</v>
      </c>
    </row>
    <row r="959" spans="5:20">
      <c r="E959" s="130">
        <v>0.99697999999999998</v>
      </c>
      <c r="F959" s="77">
        <v>0.98631999999999997</v>
      </c>
      <c r="G959" s="75">
        <v>34.209000000000003</v>
      </c>
      <c r="H959" s="88">
        <v>0.99648386</v>
      </c>
      <c r="I959" s="77">
        <v>0.98401475000000005</v>
      </c>
      <c r="J959" s="15">
        <v>65.695999999999998</v>
      </c>
      <c r="R959" s="53">
        <v>474.63</v>
      </c>
      <c r="S959" s="76">
        <v>7.4022137999999998E-3</v>
      </c>
      <c r="T959" s="138">
        <v>0.13623108</v>
      </c>
    </row>
    <row r="960" spans="5:20">
      <c r="E960" s="130">
        <v>0.99695999999999996</v>
      </c>
      <c r="F960" s="77">
        <v>0.98628000000000005</v>
      </c>
      <c r="G960" s="75">
        <v>34.21</v>
      </c>
      <c r="H960" s="88">
        <v>0.99647635000000001</v>
      </c>
      <c r="I960" s="77">
        <v>0.98399599999999998</v>
      </c>
      <c r="J960" s="15">
        <v>65.697000000000003</v>
      </c>
      <c r="R960" s="53">
        <v>474.64</v>
      </c>
      <c r="S960" s="76">
        <v>7.3872167000000001E-3</v>
      </c>
      <c r="T960" s="138">
        <v>0.13598478</v>
      </c>
    </row>
    <row r="961" spans="5:20">
      <c r="E961" s="130">
        <v>0.99694000000000005</v>
      </c>
      <c r="F961" s="77">
        <v>0.98624999999999996</v>
      </c>
      <c r="G961" s="75">
        <v>34.210999999999999</v>
      </c>
      <c r="H961" s="88">
        <v>0.99646880000000004</v>
      </c>
      <c r="I961" s="77">
        <v>0.98397714000000003</v>
      </c>
      <c r="J961" s="15">
        <v>65.697999999999993</v>
      </c>
      <c r="R961" s="53">
        <v>474.65</v>
      </c>
      <c r="S961" s="76">
        <v>7.3722242000000002E-3</v>
      </c>
      <c r="T961" s="138">
        <v>0.13573845000000001</v>
      </c>
    </row>
    <row r="962" spans="5:20">
      <c r="E962" s="130">
        <v>0.99692000000000003</v>
      </c>
      <c r="F962" s="77">
        <v>0.98621000000000003</v>
      </c>
      <c r="G962" s="75">
        <v>34.212000000000003</v>
      </c>
      <c r="H962" s="88">
        <v>0.99646129999999999</v>
      </c>
      <c r="I962" s="77">
        <v>0.98395829999999995</v>
      </c>
      <c r="J962" s="15">
        <v>65.698999999999998</v>
      </c>
      <c r="R962" s="53">
        <v>474.66</v>
      </c>
      <c r="S962" s="76">
        <v>7.3572354999999999E-3</v>
      </c>
      <c r="T962" s="138">
        <v>0.13549206</v>
      </c>
    </row>
    <row r="963" spans="5:20">
      <c r="E963" s="130">
        <v>0.99690000000000001</v>
      </c>
      <c r="F963" s="77">
        <v>0.98616999999999999</v>
      </c>
      <c r="G963" s="75">
        <v>34.213000000000001</v>
      </c>
      <c r="H963" s="88">
        <v>0.99645364000000003</v>
      </c>
      <c r="I963" s="77">
        <v>0.98393949999999997</v>
      </c>
      <c r="J963" s="15">
        <v>65.7</v>
      </c>
      <c r="R963" s="53">
        <v>474.67</v>
      </c>
      <c r="S963" s="76">
        <v>7.3422510000000002E-3</v>
      </c>
      <c r="T963" s="138">
        <v>0.13524564</v>
      </c>
    </row>
    <row r="964" spans="5:20">
      <c r="E964" s="130">
        <v>0.99689000000000005</v>
      </c>
      <c r="F964" s="77">
        <v>0.98614000000000002</v>
      </c>
      <c r="G964" s="75">
        <v>34.213999999999999</v>
      </c>
      <c r="H964" s="88">
        <v>0.9964461</v>
      </c>
      <c r="I964" s="77">
        <v>0.98392069999999998</v>
      </c>
      <c r="J964" s="15">
        <v>65.700999999999993</v>
      </c>
      <c r="R964" s="53">
        <v>474.68</v>
      </c>
      <c r="S964" s="76">
        <v>7.3272700000000003E-3</v>
      </c>
      <c r="T964" s="138">
        <v>0.13499916000000001</v>
      </c>
    </row>
    <row r="965" spans="5:20">
      <c r="E965" s="130">
        <v>0.99687000000000003</v>
      </c>
      <c r="F965" s="77">
        <v>0.98609999999999998</v>
      </c>
      <c r="G965" s="75">
        <v>34.215000000000003</v>
      </c>
      <c r="H965" s="88">
        <v>0.99643844000000004</v>
      </c>
      <c r="I965" s="77">
        <v>0.98390186000000002</v>
      </c>
      <c r="J965" s="15">
        <v>65.701999999999998</v>
      </c>
      <c r="R965" s="53">
        <v>474.69</v>
      </c>
      <c r="S965" s="76">
        <v>7.3122936000000003E-3</v>
      </c>
      <c r="T965" s="138">
        <v>0.13475263000000001</v>
      </c>
    </row>
    <row r="966" spans="5:20">
      <c r="E966" s="130">
        <v>0.99685000000000001</v>
      </c>
      <c r="F966" s="77">
        <v>0.98606000000000005</v>
      </c>
      <c r="G966" s="75">
        <v>34.216000000000001</v>
      </c>
      <c r="H966" s="88">
        <v>0.99643079999999995</v>
      </c>
      <c r="I966" s="77">
        <v>0.98388299999999995</v>
      </c>
      <c r="J966" s="15">
        <v>65.703000000000003</v>
      </c>
      <c r="R966" s="53">
        <v>474.7</v>
      </c>
      <c r="S966" s="76">
        <v>7.2973209999999998E-3</v>
      </c>
      <c r="T966" s="138">
        <v>0.13450604999999999</v>
      </c>
    </row>
    <row r="967" spans="5:20">
      <c r="E967" s="130">
        <v>0.99682999999999999</v>
      </c>
      <c r="F967" s="77">
        <v>0.98602999999999996</v>
      </c>
      <c r="G967" s="75">
        <v>34.216999999999999</v>
      </c>
      <c r="H967" s="88">
        <v>0.99642319999999995</v>
      </c>
      <c r="I967" s="77">
        <v>0.98386419999999997</v>
      </c>
      <c r="J967" s="15">
        <v>65.703999999999994</v>
      </c>
      <c r="R967" s="53">
        <v>474.71</v>
      </c>
      <c r="S967" s="76">
        <v>7.2823525000000004E-3</v>
      </c>
      <c r="T967" s="138">
        <v>0.13425943000000001</v>
      </c>
    </row>
    <row r="968" spans="5:20">
      <c r="E968" s="130">
        <v>0.99680999999999997</v>
      </c>
      <c r="F968" s="77">
        <v>0.98599000000000003</v>
      </c>
      <c r="G968" s="75">
        <v>34.218000000000004</v>
      </c>
      <c r="H968" s="88">
        <v>0.99641555999999998</v>
      </c>
      <c r="I968" s="77">
        <v>0.98384534999999995</v>
      </c>
      <c r="J968" s="15">
        <v>65.704999999999998</v>
      </c>
      <c r="R968" s="53">
        <v>474.72</v>
      </c>
      <c r="S968" s="76">
        <v>7.2673876000000004E-3</v>
      </c>
      <c r="T968" s="138">
        <v>0.13401277</v>
      </c>
    </row>
    <row r="969" spans="5:20">
      <c r="E969" s="130">
        <v>0.99678999999999995</v>
      </c>
      <c r="F969" s="77">
        <v>0.98594999999999999</v>
      </c>
      <c r="G969" s="75">
        <v>34.219000000000001</v>
      </c>
      <c r="H969" s="88">
        <v>0.99640786999999997</v>
      </c>
      <c r="I969" s="77">
        <v>0.98382645999999996</v>
      </c>
      <c r="J969" s="15">
        <v>65.706000000000003</v>
      </c>
      <c r="R969" s="53">
        <v>474.73</v>
      </c>
      <c r="S969" s="76">
        <v>7.2524273000000002E-3</v>
      </c>
      <c r="T969" s="138">
        <v>0.13376605999999999</v>
      </c>
    </row>
    <row r="970" spans="5:20">
      <c r="E970" s="130">
        <v>0.99678</v>
      </c>
      <c r="F970" s="77">
        <v>0.98590999999999995</v>
      </c>
      <c r="G970" s="75">
        <v>34.22</v>
      </c>
      <c r="H970" s="88">
        <v>0.99640019999999996</v>
      </c>
      <c r="I970" s="77">
        <v>0.9838076</v>
      </c>
      <c r="J970" s="15">
        <v>65.706999999999994</v>
      </c>
      <c r="R970" s="53">
        <v>474.74</v>
      </c>
      <c r="S970" s="76">
        <v>7.2374707E-3</v>
      </c>
      <c r="T970" s="138">
        <v>0.13351929000000001</v>
      </c>
    </row>
    <row r="971" spans="5:20">
      <c r="E971" s="130">
        <v>0.99675999999999998</v>
      </c>
      <c r="F971" s="77">
        <v>0.98587999999999998</v>
      </c>
      <c r="G971" s="75">
        <v>34.220999999999997</v>
      </c>
      <c r="H971" s="88">
        <v>0.99639239999999996</v>
      </c>
      <c r="I971" s="77">
        <v>0.98378880000000002</v>
      </c>
      <c r="J971" s="15">
        <v>65.707999999999998</v>
      </c>
      <c r="R971" s="53">
        <v>474.75</v>
      </c>
      <c r="S971" s="76">
        <v>7.2225179999999998E-3</v>
      </c>
      <c r="T971" s="138">
        <v>0.13327248</v>
      </c>
    </row>
    <row r="972" spans="5:20">
      <c r="E972" s="130">
        <v>0.99673999999999996</v>
      </c>
      <c r="F972" s="77">
        <v>0.98584000000000005</v>
      </c>
      <c r="G972" s="75">
        <v>34.222000000000001</v>
      </c>
      <c r="H972" s="88">
        <v>0.99638473999999999</v>
      </c>
      <c r="I972" s="77">
        <v>0.98376989999999997</v>
      </c>
      <c r="J972" s="15">
        <v>65.709000000000003</v>
      </c>
      <c r="R972" s="53">
        <v>474.76</v>
      </c>
      <c r="S972" s="76">
        <v>7.2075689999999996E-3</v>
      </c>
      <c r="T972" s="138">
        <v>0.13302563000000001</v>
      </c>
    </row>
    <row r="973" spans="5:20">
      <c r="E973" s="130">
        <v>0.99672000000000005</v>
      </c>
      <c r="F973" s="77">
        <v>0.98580000000000001</v>
      </c>
      <c r="G973" s="75">
        <v>34.222999999999999</v>
      </c>
      <c r="H973" s="88">
        <v>0.99637699999999996</v>
      </c>
      <c r="I973" s="77">
        <v>0.98375106000000001</v>
      </c>
      <c r="J973" s="15">
        <v>65.709999999999994</v>
      </c>
      <c r="R973" s="53">
        <v>474.77</v>
      </c>
      <c r="S973" s="76">
        <v>7.1926246999999997E-3</v>
      </c>
      <c r="T973" s="138">
        <v>0.13277873000000001</v>
      </c>
    </row>
    <row r="974" spans="5:20">
      <c r="E974" s="130">
        <v>0.99670000000000003</v>
      </c>
      <c r="F974" s="77">
        <v>0.98577000000000004</v>
      </c>
      <c r="G974" s="75">
        <v>34.223999999999997</v>
      </c>
      <c r="H974" s="88">
        <v>0.99636924000000004</v>
      </c>
      <c r="I974" s="77">
        <v>0.98373215999999997</v>
      </c>
      <c r="J974" s="15">
        <v>65.710999999999999</v>
      </c>
      <c r="R974" s="53">
        <v>474.78</v>
      </c>
      <c r="S974" s="76">
        <v>7.1776840000000001E-3</v>
      </c>
      <c r="T974" s="138">
        <v>0.13253179000000001</v>
      </c>
    </row>
    <row r="975" spans="5:20">
      <c r="E975" s="130">
        <v>0.99668000000000001</v>
      </c>
      <c r="F975" s="77">
        <v>0.98573</v>
      </c>
      <c r="G975" s="75">
        <v>34.225000000000001</v>
      </c>
      <c r="H975" s="88">
        <v>0.99636142999999999</v>
      </c>
      <c r="I975" s="77">
        <v>0.98371326999999997</v>
      </c>
      <c r="J975" s="15">
        <v>65.712000000000003</v>
      </c>
      <c r="R975" s="53">
        <v>474.79</v>
      </c>
      <c r="S975" s="76">
        <v>7.1627473999999998E-3</v>
      </c>
      <c r="T975" s="138">
        <v>0.13228479000000001</v>
      </c>
    </row>
    <row r="976" spans="5:20">
      <c r="E976" s="130">
        <v>0.99665999999999999</v>
      </c>
      <c r="F976" s="77">
        <v>0.98568999999999996</v>
      </c>
      <c r="G976" s="75">
        <v>34.225999999999999</v>
      </c>
      <c r="H976" s="88">
        <v>0.99635359999999995</v>
      </c>
      <c r="I976" s="77">
        <v>0.98369439999999997</v>
      </c>
      <c r="J976" s="15">
        <v>65.712999999999994</v>
      </c>
      <c r="R976" s="53">
        <v>474.8</v>
      </c>
      <c r="S976" s="76">
        <v>7.1478145999999999E-3</v>
      </c>
      <c r="T976" s="138">
        <v>0.13203773999999999</v>
      </c>
    </row>
    <row r="977" spans="5:20">
      <c r="E977" s="130">
        <v>0.99663999999999997</v>
      </c>
      <c r="F977" s="77">
        <v>0.98565000000000003</v>
      </c>
      <c r="G977" s="75">
        <v>34.226999999999997</v>
      </c>
      <c r="H977" s="88">
        <v>0.99634579999999995</v>
      </c>
      <c r="I977" s="77">
        <v>0.98367554000000001</v>
      </c>
      <c r="J977" s="15">
        <v>65.713999999999999</v>
      </c>
      <c r="R977" s="53">
        <v>474.81</v>
      </c>
      <c r="S977" s="76">
        <v>7.1328859999999997E-3</v>
      </c>
      <c r="T977" s="138">
        <v>0.13179067</v>
      </c>
    </row>
    <row r="978" spans="5:20">
      <c r="E978" s="130">
        <v>0.99661999999999995</v>
      </c>
      <c r="F978" s="77">
        <v>0.98562000000000005</v>
      </c>
      <c r="G978" s="75">
        <v>34.228000000000002</v>
      </c>
      <c r="H978" s="88">
        <v>0.99633799999999995</v>
      </c>
      <c r="I978" s="77">
        <v>0.98365663999999997</v>
      </c>
      <c r="J978" s="15">
        <v>65.715000000000003</v>
      </c>
      <c r="R978" s="53">
        <v>474.82</v>
      </c>
      <c r="S978" s="76">
        <v>7.1179609999999999E-3</v>
      </c>
      <c r="T978" s="138">
        <v>0.13154352999999999</v>
      </c>
    </row>
    <row r="979" spans="5:20">
      <c r="E979" s="130">
        <v>0.99660000000000004</v>
      </c>
      <c r="F979" s="77">
        <v>0.98558000000000001</v>
      </c>
      <c r="G979" s="75">
        <v>34.228999999999999</v>
      </c>
      <c r="H979" s="88">
        <v>0.99633013999999998</v>
      </c>
      <c r="I979" s="77">
        <v>0.98363774999999998</v>
      </c>
      <c r="J979" s="15">
        <v>65.715999999999994</v>
      </c>
      <c r="R979" s="53">
        <v>474.83</v>
      </c>
      <c r="S979" s="76">
        <v>7.1030403000000002E-3</v>
      </c>
      <c r="T979" s="138">
        <v>0.13129635000000001</v>
      </c>
    </row>
    <row r="980" spans="5:20">
      <c r="E980" s="130">
        <v>0.99658000000000002</v>
      </c>
      <c r="F980" s="77">
        <v>0.98553999999999997</v>
      </c>
      <c r="G980" s="75">
        <v>34.229999999999997</v>
      </c>
      <c r="H980" s="88">
        <v>0.99632229999999999</v>
      </c>
      <c r="I980" s="77">
        <v>0.98361880000000002</v>
      </c>
      <c r="J980" s="15">
        <v>65.716999999999999</v>
      </c>
      <c r="R980" s="53">
        <v>474.84</v>
      </c>
      <c r="S980" s="76">
        <v>7.0881240000000003E-3</v>
      </c>
      <c r="T980" s="138">
        <v>0.13104911</v>
      </c>
    </row>
    <row r="981" spans="5:20">
      <c r="E981" s="130">
        <v>0.99656</v>
      </c>
      <c r="F981" s="77">
        <v>0.98551</v>
      </c>
      <c r="G981" s="75">
        <v>34.231000000000002</v>
      </c>
      <c r="H981" s="88">
        <v>0.99631440000000004</v>
      </c>
      <c r="I981" s="77">
        <v>0.98359989999999997</v>
      </c>
      <c r="J981" s="15">
        <v>65.718000000000004</v>
      </c>
      <c r="R981" s="53">
        <v>474.85</v>
      </c>
      <c r="S981" s="76">
        <v>7.0732110000000003E-3</v>
      </c>
      <c r="T981" s="138">
        <v>0.13080184</v>
      </c>
    </row>
    <row r="982" spans="5:20">
      <c r="E982" s="130">
        <v>0.99653999999999998</v>
      </c>
      <c r="F982" s="77">
        <v>0.98546999999999996</v>
      </c>
      <c r="G982" s="75">
        <v>34.231999999999999</v>
      </c>
      <c r="H982" s="88">
        <v>0.99630653999999996</v>
      </c>
      <c r="I982" s="77">
        <v>0.98358100000000004</v>
      </c>
      <c r="J982" s="15">
        <v>65.718999999999994</v>
      </c>
      <c r="R982" s="53">
        <v>474.86</v>
      </c>
      <c r="S982" s="76">
        <v>7.0583019999999998E-3</v>
      </c>
      <c r="T982" s="138">
        <v>0.13055451000000001</v>
      </c>
    </row>
    <row r="983" spans="5:20">
      <c r="E983" s="130">
        <v>0.99651999999999996</v>
      </c>
      <c r="F983" s="77">
        <v>0.98543000000000003</v>
      </c>
      <c r="G983" s="75">
        <v>34.232999999999997</v>
      </c>
      <c r="H983" s="88">
        <v>0.99629860000000003</v>
      </c>
      <c r="I983" s="77">
        <v>0.98356204999999997</v>
      </c>
      <c r="J983" s="15">
        <v>65.72</v>
      </c>
      <c r="R983" s="53">
        <v>474.87</v>
      </c>
      <c r="S983" s="76">
        <v>7.0433969999999999E-3</v>
      </c>
      <c r="T983" s="138">
        <v>0.13030715000000001</v>
      </c>
    </row>
    <row r="984" spans="5:20">
      <c r="E984" s="130">
        <v>0.99650000000000005</v>
      </c>
      <c r="F984" s="77">
        <v>0.98538999999999999</v>
      </c>
      <c r="G984" s="75">
        <v>34.234000000000002</v>
      </c>
      <c r="H984" s="88">
        <v>0.99629069999999997</v>
      </c>
      <c r="I984" s="77">
        <v>0.98354315999999997</v>
      </c>
      <c r="J984" s="15">
        <v>65.721000000000004</v>
      </c>
      <c r="R984" s="53">
        <v>474.88</v>
      </c>
      <c r="S984" s="76">
        <v>7.0284963999999997E-3</v>
      </c>
      <c r="T984" s="138">
        <v>0.13005973000000001</v>
      </c>
    </row>
    <row r="985" spans="5:20">
      <c r="E985" s="130">
        <v>0.99646999999999997</v>
      </c>
      <c r="F985" s="77">
        <v>0.98536000000000001</v>
      </c>
      <c r="G985" s="75">
        <v>34.234999999999999</v>
      </c>
      <c r="H985" s="88">
        <v>0.99628269999999997</v>
      </c>
      <c r="I985" s="77">
        <v>0.98352419999999996</v>
      </c>
      <c r="J985" s="15">
        <v>65.721999999999994</v>
      </c>
      <c r="R985" s="53">
        <v>474.89</v>
      </c>
      <c r="S985" s="76">
        <v>7.0135993999999998E-3</v>
      </c>
      <c r="T985" s="138">
        <v>0.12981227000000001</v>
      </c>
    </row>
    <row r="986" spans="5:20">
      <c r="E986" s="130">
        <v>0.99644999999999995</v>
      </c>
      <c r="F986" s="77">
        <v>0.98531999999999997</v>
      </c>
      <c r="G986" s="75">
        <v>34.235999999999997</v>
      </c>
      <c r="H986" s="88">
        <v>0.99627469999999996</v>
      </c>
      <c r="I986" s="77">
        <v>0.98350530000000003</v>
      </c>
      <c r="J986" s="15">
        <v>65.722999999999999</v>
      </c>
      <c r="R986" s="53">
        <v>474.9</v>
      </c>
      <c r="S986" s="76">
        <v>6.9987060000000004E-3</v>
      </c>
      <c r="T986" s="138">
        <v>0.12956476</v>
      </c>
    </row>
    <row r="987" spans="5:20">
      <c r="E987" s="130">
        <v>0.99643000000000004</v>
      </c>
      <c r="F987" s="77">
        <v>0.98528000000000004</v>
      </c>
      <c r="G987" s="75">
        <v>34.237000000000002</v>
      </c>
      <c r="H987" s="88">
        <v>0.99626669999999995</v>
      </c>
      <c r="I987" s="77">
        <v>0.98348634999999995</v>
      </c>
      <c r="J987" s="15">
        <v>65.724000000000004</v>
      </c>
      <c r="R987" s="53">
        <v>474.91</v>
      </c>
      <c r="S987" s="76">
        <v>6.9838169999999998E-3</v>
      </c>
      <c r="T987" s="138">
        <v>0.12931720999999999</v>
      </c>
    </row>
    <row r="988" spans="5:20">
      <c r="E988" s="130">
        <v>0.99641000000000002</v>
      </c>
      <c r="F988" s="77">
        <v>0.98524</v>
      </c>
      <c r="G988" s="75">
        <v>34.238</v>
      </c>
      <c r="H988" s="88">
        <v>0.99625874000000003</v>
      </c>
      <c r="I988" s="77">
        <v>0.98346739999999999</v>
      </c>
      <c r="J988" s="15">
        <v>65.724999999999994</v>
      </c>
      <c r="R988" s="53">
        <v>474.92</v>
      </c>
      <c r="S988" s="76">
        <v>6.9689317999999997E-3</v>
      </c>
      <c r="T988" s="138">
        <v>0.12906960000000001</v>
      </c>
    </row>
    <row r="989" spans="5:20">
      <c r="E989" s="130">
        <v>0.99639</v>
      </c>
      <c r="F989" s="77">
        <v>0.98519999999999996</v>
      </c>
      <c r="G989" s="75">
        <v>34.238999999999997</v>
      </c>
      <c r="H989" s="88">
        <v>0.99625074999999996</v>
      </c>
      <c r="I989" s="77">
        <v>0.98344845000000003</v>
      </c>
      <c r="J989" s="15">
        <v>65.725999999999999</v>
      </c>
      <c r="R989" s="53">
        <v>474.93</v>
      </c>
      <c r="S989" s="76">
        <v>6.9540506E-3</v>
      </c>
      <c r="T989" s="138">
        <v>0.12882194999999999</v>
      </c>
    </row>
    <row r="990" spans="5:20">
      <c r="E990" s="130">
        <v>0.99636999999999998</v>
      </c>
      <c r="F990" s="77">
        <v>0.98516999999999999</v>
      </c>
      <c r="G990" s="75">
        <v>34.24</v>
      </c>
      <c r="H990" s="88">
        <v>0.99624270000000004</v>
      </c>
      <c r="I990" s="77">
        <v>0.98342949999999996</v>
      </c>
      <c r="J990" s="15">
        <v>65.727000000000004</v>
      </c>
      <c r="R990" s="53">
        <v>474.94</v>
      </c>
      <c r="S990" s="76">
        <v>6.9391736999999997E-3</v>
      </c>
      <c r="T990" s="138">
        <v>0.12857425</v>
      </c>
    </row>
    <row r="991" spans="5:20">
      <c r="E991" s="130">
        <v>0.99634</v>
      </c>
      <c r="F991" s="77">
        <v>0.98512999999999995</v>
      </c>
      <c r="G991" s="75">
        <v>34.241</v>
      </c>
      <c r="H991" s="88">
        <v>0.99623459999999997</v>
      </c>
      <c r="I991" s="77">
        <v>0.98341054000000006</v>
      </c>
      <c r="J991" s="15">
        <v>65.727999999999994</v>
      </c>
      <c r="R991" s="53">
        <v>474.95</v>
      </c>
      <c r="S991" s="76">
        <v>6.9243005000000002E-3</v>
      </c>
      <c r="T991" s="138">
        <v>0.12832652</v>
      </c>
    </row>
    <row r="992" spans="5:20">
      <c r="E992" s="130">
        <v>0.99631999999999998</v>
      </c>
      <c r="F992" s="77">
        <v>0.98509000000000002</v>
      </c>
      <c r="G992" s="75">
        <v>34.241999999999997</v>
      </c>
      <c r="H992" s="88">
        <v>0.99622655000000004</v>
      </c>
      <c r="I992" s="77">
        <v>0.98339160000000003</v>
      </c>
      <c r="J992" s="15">
        <v>65.728999999999999</v>
      </c>
      <c r="R992" s="53">
        <v>474.96</v>
      </c>
      <c r="S992" s="76">
        <v>6.9094309999999997E-3</v>
      </c>
      <c r="T992" s="138">
        <v>0.12807873</v>
      </c>
    </row>
    <row r="993" spans="5:20">
      <c r="E993" s="130">
        <v>0.99629999999999996</v>
      </c>
      <c r="F993" s="77">
        <v>0.98504999999999998</v>
      </c>
      <c r="G993" s="75">
        <v>34.243000000000002</v>
      </c>
      <c r="H993" s="88">
        <v>0.99621844000000004</v>
      </c>
      <c r="I993" s="77">
        <v>0.98337260000000004</v>
      </c>
      <c r="J993" s="15">
        <v>65.73</v>
      </c>
      <c r="R993" s="53">
        <v>474.97</v>
      </c>
      <c r="S993" s="76">
        <v>6.8945656999999999E-3</v>
      </c>
      <c r="T993" s="138">
        <v>0.1278309</v>
      </c>
    </row>
    <row r="994" spans="5:20">
      <c r="E994" s="130">
        <v>0.99628000000000005</v>
      </c>
      <c r="F994" s="77">
        <v>0.98502000000000001</v>
      </c>
      <c r="G994" s="75">
        <v>34.244</v>
      </c>
      <c r="H994" s="88">
        <v>0.99621033999999997</v>
      </c>
      <c r="I994" s="77">
        <v>0.9833537</v>
      </c>
      <c r="J994" s="15">
        <v>65.730999999999995</v>
      </c>
      <c r="R994" s="53">
        <v>474.98</v>
      </c>
      <c r="S994" s="76">
        <v>6.8797040000000004E-3</v>
      </c>
      <c r="T994" s="138">
        <v>0.127583</v>
      </c>
    </row>
    <row r="995" spans="5:20">
      <c r="E995" s="130">
        <v>0.99624999999999997</v>
      </c>
      <c r="F995" s="77">
        <v>0.98497999999999997</v>
      </c>
      <c r="G995" s="75">
        <v>34.244999999999997</v>
      </c>
      <c r="H995" s="88">
        <v>0.99620222999999997</v>
      </c>
      <c r="I995" s="77">
        <v>0.98333466000000003</v>
      </c>
      <c r="J995" s="15">
        <v>65.731999999999999</v>
      </c>
      <c r="R995" s="53">
        <v>474.99</v>
      </c>
      <c r="S995" s="76">
        <v>6.8648466999999998E-3</v>
      </c>
      <c r="T995" s="138">
        <v>0.12733506999999999</v>
      </c>
    </row>
    <row r="996" spans="5:20">
      <c r="E996" s="130">
        <v>0.99622999999999995</v>
      </c>
      <c r="F996" s="77">
        <v>0.98494000000000004</v>
      </c>
      <c r="G996" s="75">
        <v>34.246000000000002</v>
      </c>
      <c r="H996" s="88">
        <v>0.99619405999999999</v>
      </c>
      <c r="I996" s="77">
        <v>0.98331570000000001</v>
      </c>
      <c r="J996" s="15">
        <v>65.733000000000004</v>
      </c>
      <c r="R996" s="53">
        <v>475</v>
      </c>
      <c r="S996" s="76">
        <v>6.8499930000000004E-3</v>
      </c>
      <c r="T996" s="138">
        <v>0.12708709000000001</v>
      </c>
    </row>
    <row r="997" spans="5:20">
      <c r="E997" s="130">
        <v>0.99621000000000004</v>
      </c>
      <c r="F997" s="77">
        <v>0.9849</v>
      </c>
      <c r="G997" s="75">
        <v>34.247</v>
      </c>
      <c r="H997" s="88">
        <v>0.99618589999999996</v>
      </c>
      <c r="I997" s="77">
        <v>0.98329670000000002</v>
      </c>
      <c r="J997" s="15">
        <v>65.733999999999995</v>
      </c>
      <c r="R997" s="53">
        <v>475.01</v>
      </c>
      <c r="S997" s="76">
        <v>6.8351430000000001E-3</v>
      </c>
      <c r="T997" s="138">
        <v>0.12683907</v>
      </c>
    </row>
    <row r="998" spans="5:20">
      <c r="E998" s="130">
        <v>0.99617999999999995</v>
      </c>
      <c r="F998" s="77">
        <v>0.98485999999999996</v>
      </c>
      <c r="G998" s="75">
        <v>34.247999999999998</v>
      </c>
      <c r="H998" s="88">
        <v>0.99617770000000005</v>
      </c>
      <c r="I998" s="77">
        <v>0.98327770000000003</v>
      </c>
      <c r="J998" s="15">
        <v>65.734999999999999</v>
      </c>
      <c r="R998" s="53">
        <v>475.02</v>
      </c>
      <c r="S998" s="76">
        <v>6.8202973E-3</v>
      </c>
      <c r="T998" s="138">
        <v>0.12659100000000001</v>
      </c>
    </row>
    <row r="999" spans="5:20">
      <c r="E999" s="130">
        <v>0.99616000000000005</v>
      </c>
      <c r="F999" s="77">
        <v>0.98482999999999998</v>
      </c>
      <c r="G999" s="75">
        <v>34.249000000000002</v>
      </c>
      <c r="H999" s="88">
        <v>0.99616950000000004</v>
      </c>
      <c r="I999" s="77">
        <v>0.98325870000000004</v>
      </c>
      <c r="J999" s="15">
        <v>65.736000000000004</v>
      </c>
      <c r="R999" s="53">
        <v>475.03</v>
      </c>
      <c r="S999" s="76">
        <v>6.8054552999999999E-3</v>
      </c>
      <c r="T999" s="138">
        <v>0.12634287999999999</v>
      </c>
    </row>
    <row r="1000" spans="5:20">
      <c r="E1000" s="130">
        <v>0.99614000000000003</v>
      </c>
      <c r="F1000" s="77">
        <v>0.98479000000000005</v>
      </c>
      <c r="G1000" s="75">
        <v>34.25</v>
      </c>
      <c r="H1000" s="88">
        <v>0.99616130000000003</v>
      </c>
      <c r="I1000" s="77">
        <v>0.98323970000000005</v>
      </c>
      <c r="J1000" s="15">
        <v>65.736999999999995</v>
      </c>
      <c r="R1000" s="53">
        <v>475.04</v>
      </c>
      <c r="S1000" s="76">
        <v>6.7906175000000003E-3</v>
      </c>
      <c r="T1000" s="138">
        <v>0.12609471</v>
      </c>
    </row>
    <row r="1001" spans="5:20">
      <c r="E1001" s="130">
        <v>0.99611000000000005</v>
      </c>
      <c r="F1001" s="77">
        <v>0.98475000000000001</v>
      </c>
      <c r="G1001" s="75">
        <v>34.250999999999998</v>
      </c>
      <c r="H1001" s="88">
        <v>0.99615299999999996</v>
      </c>
      <c r="I1001" s="77">
        <v>0.98322069999999995</v>
      </c>
      <c r="J1001" s="15">
        <v>65.738</v>
      </c>
      <c r="R1001" s="53">
        <v>475.05</v>
      </c>
      <c r="S1001" s="76">
        <v>6.7757833999999998E-3</v>
      </c>
      <c r="T1001" s="138">
        <v>0.1258465</v>
      </c>
    </row>
    <row r="1002" spans="5:20">
      <c r="E1002" s="130">
        <v>0.99609000000000003</v>
      </c>
      <c r="F1002" s="77">
        <v>0.98470999999999997</v>
      </c>
      <c r="G1002" s="75">
        <v>34.252000000000002</v>
      </c>
      <c r="H1002" s="88">
        <v>0.99614480000000005</v>
      </c>
      <c r="I1002" s="77">
        <v>0.98320169999999996</v>
      </c>
      <c r="J1002" s="15">
        <v>65.739000000000004</v>
      </c>
      <c r="R1002" s="53">
        <v>475.06</v>
      </c>
      <c r="S1002" s="76">
        <v>6.7609534999999998E-3</v>
      </c>
      <c r="T1002" s="138">
        <v>0.12559824</v>
      </c>
    </row>
    <row r="1003" spans="5:20">
      <c r="E1003" s="130">
        <v>0.99605999999999995</v>
      </c>
      <c r="F1003" s="77">
        <v>0.98467000000000005</v>
      </c>
      <c r="G1003" s="75">
        <v>34.253</v>
      </c>
      <c r="H1003" s="88">
        <v>0.99613649999999998</v>
      </c>
      <c r="I1003" s="77">
        <v>0.98318267000000004</v>
      </c>
      <c r="J1003" s="15">
        <v>65.739999999999995</v>
      </c>
      <c r="R1003" s="53">
        <v>475.07</v>
      </c>
      <c r="S1003" s="76">
        <v>6.7461272999999999E-3</v>
      </c>
      <c r="T1003" s="138">
        <v>0.12534993999999999</v>
      </c>
    </row>
    <row r="1004" spans="5:20">
      <c r="E1004" s="130">
        <v>0.99604000000000004</v>
      </c>
      <c r="F1004" s="77">
        <v>0.98463000000000001</v>
      </c>
      <c r="G1004" s="75">
        <v>34.253999999999998</v>
      </c>
      <c r="H1004" s="88">
        <v>0.99612820000000002</v>
      </c>
      <c r="I1004" s="77">
        <v>0.98316360000000003</v>
      </c>
      <c r="J1004" s="15">
        <v>65.741</v>
      </c>
      <c r="R1004" s="53">
        <v>475.08</v>
      </c>
      <c r="S1004" s="76">
        <v>6.7313049999999999E-3</v>
      </c>
      <c r="T1004" s="138">
        <v>0.12510157999999999</v>
      </c>
    </row>
    <row r="1005" spans="5:20">
      <c r="E1005" s="130">
        <v>0.99600999999999995</v>
      </c>
      <c r="F1005" s="77">
        <v>0.98460000000000003</v>
      </c>
      <c r="G1005" s="75">
        <v>34.255000000000003</v>
      </c>
      <c r="H1005" s="88">
        <v>0.99611985999999997</v>
      </c>
      <c r="I1005" s="77">
        <v>0.98314460000000004</v>
      </c>
      <c r="J1005" s="15">
        <v>65.742000000000004</v>
      </c>
      <c r="R1005" s="53">
        <v>475.09</v>
      </c>
      <c r="S1005" s="76">
        <v>6.7164865000000004E-3</v>
      </c>
      <c r="T1005" s="138">
        <v>0.12485319</v>
      </c>
    </row>
    <row r="1006" spans="5:20">
      <c r="E1006" s="130">
        <v>0.99599000000000004</v>
      </c>
      <c r="F1006" s="77">
        <v>0.98455999999999999</v>
      </c>
      <c r="G1006" s="75">
        <v>34.256</v>
      </c>
      <c r="H1006" s="88">
        <v>0.99611150000000004</v>
      </c>
      <c r="I1006" s="77">
        <v>0.98312557</v>
      </c>
      <c r="J1006" s="15">
        <v>65.742999999999995</v>
      </c>
      <c r="R1006" s="53">
        <v>475.1</v>
      </c>
      <c r="S1006" s="76">
        <v>6.7016719999999997E-3</v>
      </c>
      <c r="T1006" s="138">
        <v>0.12460474000000001</v>
      </c>
    </row>
    <row r="1007" spans="5:20">
      <c r="E1007" s="130">
        <v>0.99595999999999996</v>
      </c>
      <c r="F1007" s="77">
        <v>0.98451999999999995</v>
      </c>
      <c r="G1007" s="75">
        <v>34.256999999999998</v>
      </c>
      <c r="H1007" s="88">
        <v>0.99610317000000004</v>
      </c>
      <c r="I1007" s="77">
        <v>0.98310649999999999</v>
      </c>
      <c r="J1007" s="15">
        <v>65.744</v>
      </c>
      <c r="R1007" s="53">
        <v>475.11</v>
      </c>
      <c r="S1007" s="76">
        <v>6.6868615999999999E-3</v>
      </c>
      <c r="T1007" s="138">
        <v>0.12435625</v>
      </c>
    </row>
    <row r="1008" spans="5:20">
      <c r="E1008" s="130">
        <v>0.99594000000000005</v>
      </c>
      <c r="F1008" s="77">
        <v>0.98448000000000002</v>
      </c>
      <c r="G1008" s="75">
        <v>34.258000000000003</v>
      </c>
      <c r="H1008" s="88">
        <v>0.99609479999999995</v>
      </c>
      <c r="I1008" s="77">
        <v>0.9830875</v>
      </c>
      <c r="J1008" s="15">
        <v>65.745000000000005</v>
      </c>
      <c r="R1008" s="53">
        <v>475.12</v>
      </c>
      <c r="S1008" s="76">
        <v>6.6720549999999997E-3</v>
      </c>
      <c r="T1008" s="138">
        <v>0.1241077</v>
      </c>
    </row>
    <row r="1009" spans="5:20">
      <c r="E1009" s="130">
        <v>0.99590999999999996</v>
      </c>
      <c r="F1009" s="77">
        <v>0.98443999999999998</v>
      </c>
      <c r="G1009" s="75">
        <v>34.259</v>
      </c>
      <c r="H1009" s="88">
        <v>0.99608640000000004</v>
      </c>
      <c r="I1009" s="77">
        <v>0.98306839999999995</v>
      </c>
      <c r="J1009" s="15">
        <v>65.745999999999995</v>
      </c>
      <c r="R1009" s="53">
        <v>475.13</v>
      </c>
      <c r="S1009" s="76">
        <v>6.6572519999999998E-3</v>
      </c>
      <c r="T1009" s="138">
        <v>0.12385912</v>
      </c>
    </row>
    <row r="1010" spans="5:20">
      <c r="E1010" s="130">
        <v>0.99589000000000005</v>
      </c>
      <c r="F1010" s="77">
        <v>0.98440000000000005</v>
      </c>
      <c r="G1010" s="75">
        <v>34.26</v>
      </c>
      <c r="H1010" s="88">
        <v>0.99607800000000002</v>
      </c>
      <c r="I1010" s="77">
        <v>0.98304933000000005</v>
      </c>
      <c r="J1010" s="15">
        <v>65.747</v>
      </c>
      <c r="R1010" s="53">
        <v>475.14</v>
      </c>
      <c r="S1010" s="76">
        <v>6.6424533999999997E-3</v>
      </c>
      <c r="T1010" s="138">
        <v>0.12361049</v>
      </c>
    </row>
    <row r="1011" spans="5:20">
      <c r="E1011" s="130">
        <v>0.99585999999999997</v>
      </c>
      <c r="F1011" s="77">
        <v>0.98436000000000001</v>
      </c>
      <c r="G1011" s="75">
        <v>34.261000000000003</v>
      </c>
      <c r="H1011" s="88">
        <v>0.99606954999999997</v>
      </c>
      <c r="I1011" s="77">
        <v>0.98303026000000004</v>
      </c>
      <c r="J1011" s="15">
        <v>65.748000000000005</v>
      </c>
      <c r="R1011" s="53">
        <v>475.15</v>
      </c>
      <c r="S1011" s="76">
        <v>6.6276583999999999E-3</v>
      </c>
      <c r="T1011" s="138">
        <v>0.12336179999999999</v>
      </c>
    </row>
    <row r="1012" spans="5:20">
      <c r="E1012" s="130">
        <v>0.99582999999999999</v>
      </c>
      <c r="F1012" s="77">
        <v>0.98433000000000004</v>
      </c>
      <c r="G1012" s="75">
        <v>34.262</v>
      </c>
      <c r="H1012" s="88">
        <v>0.99606110000000003</v>
      </c>
      <c r="I1012" s="77">
        <v>0.98301119999999997</v>
      </c>
      <c r="J1012" s="15">
        <v>65.748999999999995</v>
      </c>
      <c r="R1012" s="53">
        <v>475.16</v>
      </c>
      <c r="S1012" s="76">
        <v>6.6128669999999997E-3</v>
      </c>
      <c r="T1012" s="138">
        <v>0.12311308</v>
      </c>
    </row>
    <row r="1013" spans="5:20">
      <c r="E1013" s="130">
        <v>0.99580999999999997</v>
      </c>
      <c r="F1013" s="77">
        <v>0.98429</v>
      </c>
      <c r="G1013" s="75">
        <v>34.262999999999998</v>
      </c>
      <c r="H1013" s="88">
        <v>0.99605259999999995</v>
      </c>
      <c r="I1013" s="77">
        <v>0.98299210000000004</v>
      </c>
      <c r="J1013" s="15">
        <v>65.75</v>
      </c>
      <c r="R1013" s="53">
        <v>475.17</v>
      </c>
      <c r="S1013" s="76">
        <v>6.5980800000000001E-3</v>
      </c>
      <c r="T1013" s="138">
        <v>0.12286430600000001</v>
      </c>
    </row>
    <row r="1014" spans="5:20">
      <c r="E1014" s="130">
        <v>0.99578</v>
      </c>
      <c r="F1014" s="77">
        <v>0.98424999999999996</v>
      </c>
      <c r="G1014" s="75">
        <v>34.264000000000003</v>
      </c>
      <c r="H1014" s="88">
        <v>0.99604415999999996</v>
      </c>
      <c r="I1014" s="77">
        <v>0.98297303999999996</v>
      </c>
      <c r="J1014" s="15">
        <v>65.751000000000005</v>
      </c>
      <c r="R1014" s="53">
        <v>475.18</v>
      </c>
      <c r="S1014" s="76">
        <v>6.5832966999999996E-3</v>
      </c>
      <c r="T1014" s="138">
        <v>0.12261548999999999</v>
      </c>
    </row>
    <row r="1015" spans="5:20">
      <c r="E1015" s="130">
        <v>0.99575000000000002</v>
      </c>
      <c r="F1015" s="77">
        <v>0.98421000000000003</v>
      </c>
      <c r="G1015" s="75">
        <v>34.265000000000001</v>
      </c>
      <c r="H1015" s="88">
        <v>0.99603564</v>
      </c>
      <c r="I1015" s="77">
        <v>0.98295396999999995</v>
      </c>
      <c r="J1015" s="15">
        <v>65.751999999999995</v>
      </c>
      <c r="R1015" s="53">
        <v>475.19</v>
      </c>
      <c r="S1015" s="76">
        <v>6.5685170000000003E-3</v>
      </c>
      <c r="T1015" s="138">
        <v>0.122366615</v>
      </c>
    </row>
    <row r="1016" spans="5:20">
      <c r="E1016" s="130">
        <v>0.99572000000000005</v>
      </c>
      <c r="F1016" s="77">
        <v>0.98416999999999999</v>
      </c>
      <c r="G1016" s="75">
        <v>34.265999999999998</v>
      </c>
      <c r="H1016" s="88">
        <v>0.99602710000000005</v>
      </c>
      <c r="I1016" s="77">
        <v>0.98293489999999994</v>
      </c>
      <c r="J1016" s="15">
        <v>65.753</v>
      </c>
      <c r="R1016" s="53">
        <v>475.2</v>
      </c>
      <c r="S1016" s="76">
        <v>6.5537416000000003E-3</v>
      </c>
      <c r="T1016" s="138">
        <v>0.12211770600000001</v>
      </c>
    </row>
    <row r="1017" spans="5:20">
      <c r="E1017" s="130">
        <v>0.99570000000000003</v>
      </c>
      <c r="F1017" s="77">
        <v>0.98412999999999995</v>
      </c>
      <c r="G1017" s="75">
        <v>34.267000000000003</v>
      </c>
      <c r="H1017" s="88">
        <v>0.99601850000000003</v>
      </c>
      <c r="I1017" s="77">
        <v>0.98291576000000003</v>
      </c>
      <c r="J1017" s="15">
        <v>65.754000000000005</v>
      </c>
      <c r="R1017" s="53">
        <v>475.21</v>
      </c>
      <c r="S1017" s="76">
        <v>6.5389699999999999E-3</v>
      </c>
      <c r="T1017" s="138">
        <v>0.121868744</v>
      </c>
    </row>
    <row r="1018" spans="5:20">
      <c r="E1018" s="130">
        <v>0.99567000000000005</v>
      </c>
      <c r="F1018" s="77">
        <v>0.98409000000000002</v>
      </c>
      <c r="G1018" s="75">
        <v>34.268000000000001</v>
      </c>
      <c r="H1018" s="88">
        <v>0.99600995000000003</v>
      </c>
      <c r="I1018" s="77">
        <v>0.98289669999999996</v>
      </c>
      <c r="J1018" s="15">
        <v>65.754999999999995</v>
      </c>
      <c r="R1018" s="53">
        <v>475.22</v>
      </c>
      <c r="S1018" s="76">
        <v>6.5242019999999998E-3</v>
      </c>
      <c r="T1018" s="138">
        <v>0.12161973</v>
      </c>
    </row>
    <row r="1019" spans="5:20">
      <c r="E1019" s="130">
        <v>0.99563999999999997</v>
      </c>
      <c r="F1019" s="77">
        <v>0.98404999999999998</v>
      </c>
      <c r="G1019" s="75">
        <v>34.268999999999998</v>
      </c>
      <c r="H1019" s="88">
        <v>0.99600135999999995</v>
      </c>
      <c r="I1019" s="77">
        <v>0.98287754999999999</v>
      </c>
      <c r="J1019" s="15">
        <v>65.756</v>
      </c>
      <c r="R1019" s="53">
        <v>475.23</v>
      </c>
      <c r="S1019" s="76">
        <v>6.5094380000000002E-3</v>
      </c>
      <c r="T1019" s="138">
        <v>0.12137067999999999</v>
      </c>
    </row>
    <row r="1020" spans="5:20">
      <c r="E1020" s="130">
        <v>0.99560999999999999</v>
      </c>
      <c r="F1020" s="77">
        <v>0.98401000000000005</v>
      </c>
      <c r="G1020" s="75">
        <v>34.270000000000003</v>
      </c>
      <c r="H1020" s="88">
        <v>0.99599280000000001</v>
      </c>
      <c r="I1020" s="77">
        <v>0.98285849999999997</v>
      </c>
      <c r="J1020" s="15">
        <v>65.757000000000005</v>
      </c>
      <c r="R1020" s="53">
        <v>475.24</v>
      </c>
      <c r="S1020" s="76">
        <v>6.4946780000000003E-3</v>
      </c>
      <c r="T1020" s="138">
        <v>0.12112158000000001</v>
      </c>
    </row>
    <row r="1021" spans="5:20">
      <c r="E1021" s="130">
        <v>0.99558000000000002</v>
      </c>
      <c r="F1021" s="77">
        <v>0.98397000000000001</v>
      </c>
      <c r="G1021" s="75">
        <v>34.271000000000001</v>
      </c>
      <c r="H1021" s="88">
        <v>0.99598414000000002</v>
      </c>
      <c r="I1021" s="77">
        <v>0.98283935</v>
      </c>
      <c r="J1021" s="15">
        <v>65.757999999999996</v>
      </c>
      <c r="R1021" s="53">
        <v>475.25</v>
      </c>
      <c r="S1021" s="76">
        <v>6.4799217999999999E-3</v>
      </c>
      <c r="T1021" s="138">
        <v>0.12087243</v>
      </c>
    </row>
    <row r="1022" spans="5:20">
      <c r="E1022" s="130">
        <v>0.99555000000000005</v>
      </c>
      <c r="F1022" s="77">
        <v>0.98394000000000004</v>
      </c>
      <c r="G1022" s="75">
        <v>34.271999999999998</v>
      </c>
      <c r="H1022" s="88">
        <v>0.99597550000000001</v>
      </c>
      <c r="I1022" s="77">
        <v>0.98282020000000003</v>
      </c>
      <c r="J1022" s="15">
        <v>65.759</v>
      </c>
      <c r="R1022" s="53">
        <v>475.26</v>
      </c>
      <c r="S1022" s="76">
        <v>6.4651696E-3</v>
      </c>
      <c r="T1022" s="138">
        <v>0.12062323</v>
      </c>
    </row>
    <row r="1023" spans="5:20">
      <c r="E1023" s="130">
        <v>0.99551999999999996</v>
      </c>
      <c r="F1023" s="77">
        <v>0.9839</v>
      </c>
      <c r="G1023" s="75">
        <v>34.273000000000003</v>
      </c>
      <c r="H1023" s="88">
        <v>0.99596680000000004</v>
      </c>
      <c r="I1023" s="77">
        <v>0.98280109999999998</v>
      </c>
      <c r="J1023" s="15">
        <v>65.760000000000005</v>
      </c>
      <c r="R1023" s="53">
        <v>475.27</v>
      </c>
      <c r="S1023" s="76">
        <v>6.4504206999999999E-3</v>
      </c>
      <c r="T1023" s="138">
        <v>0.120373994</v>
      </c>
    </row>
    <row r="1024" spans="5:20">
      <c r="E1024" s="130">
        <v>0.99548999999999999</v>
      </c>
      <c r="F1024" s="77">
        <v>0.98385999999999996</v>
      </c>
      <c r="G1024" s="75">
        <v>34.274000000000001</v>
      </c>
      <c r="H1024" s="88">
        <v>0.99595809999999996</v>
      </c>
      <c r="I1024" s="77">
        <v>0.98278195000000002</v>
      </c>
      <c r="J1024" s="15">
        <v>65.760999999999996</v>
      </c>
      <c r="R1024" s="53">
        <v>475.28</v>
      </c>
      <c r="S1024" s="76">
        <v>6.4356760000000004E-3</v>
      </c>
      <c r="T1024" s="138">
        <v>0.120124705</v>
      </c>
    </row>
    <row r="1025" spans="5:20">
      <c r="E1025" s="130">
        <v>0.99546000000000001</v>
      </c>
      <c r="F1025" s="77">
        <v>0.98382000000000003</v>
      </c>
      <c r="G1025" s="75">
        <v>34.274999999999999</v>
      </c>
      <c r="H1025" s="88">
        <v>0.99594939999999998</v>
      </c>
      <c r="I1025" s="77">
        <v>0.98276280000000005</v>
      </c>
      <c r="J1025" s="15">
        <v>65.762</v>
      </c>
      <c r="R1025" s="53">
        <v>475.29</v>
      </c>
      <c r="S1025" s="76">
        <v>6.4209354999999997E-3</v>
      </c>
      <c r="T1025" s="138">
        <v>0.11987536999999999</v>
      </c>
    </row>
    <row r="1026" spans="5:20">
      <c r="E1026" s="130">
        <v>0.99543000000000004</v>
      </c>
      <c r="F1026" s="77">
        <v>0.98377999999999999</v>
      </c>
      <c r="G1026" s="75">
        <v>34.276000000000003</v>
      </c>
      <c r="H1026" s="88">
        <v>0.99594070000000001</v>
      </c>
      <c r="I1026" s="77">
        <v>0.98274360000000005</v>
      </c>
      <c r="J1026" s="15">
        <v>65.763000000000005</v>
      </c>
      <c r="R1026" s="53">
        <v>475.3</v>
      </c>
      <c r="S1026" s="76">
        <v>6.4061986999999999E-3</v>
      </c>
      <c r="T1026" s="138">
        <v>0.119625986</v>
      </c>
    </row>
    <row r="1027" spans="5:20">
      <c r="E1027" s="130">
        <v>0.99539999999999995</v>
      </c>
      <c r="F1027" s="77">
        <v>0.98373999999999995</v>
      </c>
      <c r="G1027" s="75">
        <v>34.277000000000001</v>
      </c>
      <c r="H1027" s="88">
        <v>0.99593189999999998</v>
      </c>
      <c r="I1027" s="77">
        <v>0.9827245</v>
      </c>
      <c r="J1027" s="15">
        <v>65.763999999999996</v>
      </c>
      <c r="R1027" s="53">
        <v>475.31</v>
      </c>
      <c r="S1027" s="76">
        <v>6.3914649999999998E-3</v>
      </c>
      <c r="T1027" s="138">
        <v>0.119376555</v>
      </c>
    </row>
    <row r="1028" spans="5:20">
      <c r="E1028" s="130">
        <v>0.99536999999999998</v>
      </c>
      <c r="F1028" s="77">
        <v>0.98370000000000002</v>
      </c>
      <c r="G1028" s="75">
        <v>34.277999999999999</v>
      </c>
      <c r="H1028" s="88">
        <v>0.99592316000000003</v>
      </c>
      <c r="I1028" s="77">
        <v>0.98270535000000003</v>
      </c>
      <c r="J1028" s="15">
        <v>65.765000000000001</v>
      </c>
      <c r="R1028" s="53">
        <v>475.32</v>
      </c>
      <c r="S1028" s="76">
        <v>6.3767362999999997E-3</v>
      </c>
      <c r="T1028" s="138">
        <v>0.11912708</v>
      </c>
    </row>
    <row r="1029" spans="5:20">
      <c r="E1029" s="130">
        <v>0.99534</v>
      </c>
      <c r="F1029" s="77">
        <v>0.98365999999999998</v>
      </c>
      <c r="G1029" s="75">
        <v>34.279000000000003</v>
      </c>
      <c r="H1029" s="88">
        <v>0.99591434000000001</v>
      </c>
      <c r="I1029" s="77">
        <v>0.98268615999999998</v>
      </c>
      <c r="J1029" s="15">
        <v>65.766000000000005</v>
      </c>
      <c r="R1029" s="53">
        <v>475.33</v>
      </c>
      <c r="S1029" s="76">
        <v>6.3620107000000002E-3</v>
      </c>
      <c r="T1029" s="138">
        <v>0.11887755999999999</v>
      </c>
    </row>
    <row r="1030" spans="5:20">
      <c r="E1030" s="130">
        <v>0.99531000000000003</v>
      </c>
      <c r="F1030" s="77">
        <v>0.98362000000000005</v>
      </c>
      <c r="G1030" s="75">
        <v>34.28</v>
      </c>
      <c r="H1030" s="88">
        <v>0.9959055</v>
      </c>
      <c r="I1030" s="77">
        <v>0.98266697000000003</v>
      </c>
      <c r="J1030" s="15">
        <v>65.766999999999996</v>
      </c>
      <c r="R1030" s="53">
        <v>475.34</v>
      </c>
      <c r="S1030" s="76">
        <v>6.3472893000000004E-3</v>
      </c>
      <c r="T1030" s="138">
        <v>0.11862799</v>
      </c>
    </row>
    <row r="1031" spans="5:20">
      <c r="E1031" s="130">
        <v>0.99528000000000005</v>
      </c>
      <c r="F1031" s="77">
        <v>0.98358000000000001</v>
      </c>
      <c r="G1031" s="75">
        <v>34.280999999999999</v>
      </c>
      <c r="H1031" s="88">
        <v>0.99589669999999997</v>
      </c>
      <c r="I1031" s="77">
        <v>0.98264784000000005</v>
      </c>
      <c r="J1031" s="15">
        <v>65.768000000000001</v>
      </c>
      <c r="R1031" s="53">
        <v>475.35</v>
      </c>
      <c r="S1031" s="76">
        <v>6.3325715999999997E-3</v>
      </c>
      <c r="T1031" s="138">
        <v>0.11837837</v>
      </c>
    </row>
    <row r="1032" spans="5:20">
      <c r="E1032" s="130">
        <v>0.99524000000000001</v>
      </c>
      <c r="F1032" s="77">
        <v>0.98353999999999997</v>
      </c>
      <c r="G1032" s="75">
        <v>34.281999999999996</v>
      </c>
      <c r="H1032" s="88">
        <v>0.99588779999999999</v>
      </c>
      <c r="I1032" s="77">
        <v>0.98262864000000005</v>
      </c>
      <c r="J1032" s="15">
        <v>65.769000000000005</v>
      </c>
      <c r="R1032" s="53">
        <v>475.36</v>
      </c>
      <c r="S1032" s="76">
        <v>6.3178577000000003E-3</v>
      </c>
      <c r="T1032" s="138">
        <v>0.11812871</v>
      </c>
    </row>
    <row r="1033" spans="5:20">
      <c r="E1033" s="130">
        <v>0.99521000000000004</v>
      </c>
      <c r="F1033" s="77">
        <v>0.98350000000000004</v>
      </c>
      <c r="G1033" s="75">
        <v>34.283000000000001</v>
      </c>
      <c r="H1033" s="88">
        <v>0.99587893000000005</v>
      </c>
      <c r="I1033" s="77">
        <v>0.98260945</v>
      </c>
      <c r="J1033" s="15">
        <v>65.77</v>
      </c>
      <c r="R1033" s="53">
        <v>475.37</v>
      </c>
      <c r="S1033" s="76">
        <v>6.3031474000000004E-3</v>
      </c>
      <c r="T1033" s="138">
        <v>0.117878996</v>
      </c>
    </row>
    <row r="1034" spans="5:20">
      <c r="E1034" s="130">
        <v>0.99517999999999995</v>
      </c>
      <c r="F1034" s="77">
        <v>0.98346</v>
      </c>
      <c r="G1034" s="75">
        <v>34.283999999999999</v>
      </c>
      <c r="H1034" s="88">
        <v>0.99587004999999995</v>
      </c>
      <c r="I1034" s="77">
        <v>0.98259026000000005</v>
      </c>
      <c r="J1034" s="15">
        <v>65.771000000000001</v>
      </c>
      <c r="R1034" s="53">
        <v>475.38</v>
      </c>
      <c r="S1034" s="76">
        <v>6.2884413999999998E-3</v>
      </c>
      <c r="T1034" s="138">
        <v>0.11762924</v>
      </c>
    </row>
    <row r="1035" spans="5:20">
      <c r="E1035" s="130">
        <v>0.99514000000000002</v>
      </c>
      <c r="F1035" s="77">
        <v>0.98341999999999996</v>
      </c>
      <c r="G1035" s="75">
        <v>34.284999999999997</v>
      </c>
      <c r="H1035" s="88">
        <v>0.99586110000000005</v>
      </c>
      <c r="I1035" s="77">
        <v>0.98257106999999999</v>
      </c>
      <c r="J1035" s="15">
        <v>65.772000000000006</v>
      </c>
      <c r="R1035" s="53">
        <v>475.39</v>
      </c>
      <c r="S1035" s="76">
        <v>6.2737390000000004E-3</v>
      </c>
      <c r="T1035" s="138">
        <v>0.117379434</v>
      </c>
    </row>
    <row r="1036" spans="5:20">
      <c r="E1036" s="130">
        <v>0.99511000000000005</v>
      </c>
      <c r="F1036" s="77">
        <v>0.98338000000000003</v>
      </c>
      <c r="G1036" s="75">
        <v>34.286000000000001</v>
      </c>
      <c r="H1036" s="88">
        <v>0.99585219999999997</v>
      </c>
      <c r="I1036" s="77">
        <v>0.98255190000000003</v>
      </c>
      <c r="J1036" s="15">
        <v>65.772999999999996</v>
      </c>
      <c r="R1036" s="53">
        <v>475.4</v>
      </c>
      <c r="S1036" s="76">
        <v>6.2590403999999997E-3</v>
      </c>
      <c r="T1036" s="138">
        <v>0.11712959000000001</v>
      </c>
    </row>
    <row r="1037" spans="5:20">
      <c r="E1037" s="130">
        <v>0.99507999999999996</v>
      </c>
      <c r="F1037" s="77">
        <v>0.98333999999999999</v>
      </c>
      <c r="G1037" s="75">
        <v>34.286999999999999</v>
      </c>
      <c r="H1037" s="88">
        <v>0.99584322999999997</v>
      </c>
      <c r="I1037" s="77">
        <v>0.98253259999999998</v>
      </c>
      <c r="J1037" s="15">
        <v>65.774000000000001</v>
      </c>
      <c r="R1037" s="53">
        <v>475.41</v>
      </c>
      <c r="S1037" s="76">
        <v>6.2443459999999996E-3</v>
      </c>
      <c r="T1037" s="138">
        <v>0.11687968999999999</v>
      </c>
    </row>
    <row r="1038" spans="5:20">
      <c r="E1038" s="130">
        <v>0.99504000000000004</v>
      </c>
      <c r="F1038" s="77">
        <v>0.98329999999999995</v>
      </c>
      <c r="G1038" s="75">
        <v>34.287999999999997</v>
      </c>
      <c r="H1038" s="88">
        <v>0.99583423000000004</v>
      </c>
      <c r="I1038" s="77">
        <v>0.98251339999999998</v>
      </c>
      <c r="J1038" s="15">
        <v>65.775000000000006</v>
      </c>
      <c r="R1038" s="53">
        <v>475.42</v>
      </c>
      <c r="S1038" s="76">
        <v>6.2296549999999997E-3</v>
      </c>
      <c r="T1038" s="138">
        <v>0.11662974</v>
      </c>
    </row>
    <row r="1039" spans="5:20">
      <c r="E1039" s="130">
        <v>0.99500999999999995</v>
      </c>
      <c r="F1039" s="77">
        <v>0.98326000000000002</v>
      </c>
      <c r="G1039" s="75">
        <v>34.289000000000001</v>
      </c>
      <c r="H1039" s="88">
        <v>0.99582523000000001</v>
      </c>
      <c r="I1039" s="77">
        <v>0.98249419999999998</v>
      </c>
      <c r="J1039" s="15">
        <v>65.775999999999996</v>
      </c>
      <c r="R1039" s="53">
        <v>475.43</v>
      </c>
      <c r="S1039" s="76">
        <v>6.2149680000000004E-3</v>
      </c>
      <c r="T1039" s="138">
        <v>0.11637975</v>
      </c>
    </row>
    <row r="1040" spans="5:20">
      <c r="E1040" s="130">
        <v>0.99995000000000001</v>
      </c>
      <c r="F1040" s="77">
        <v>0.99948999999999999</v>
      </c>
      <c r="G1040" s="75">
        <v>33.819000000000003</v>
      </c>
      <c r="H1040" s="88">
        <v>0.99581620000000004</v>
      </c>
      <c r="I1040" s="77">
        <v>0.98247499999999999</v>
      </c>
      <c r="J1040" s="15">
        <v>65.777000000000001</v>
      </c>
      <c r="R1040" s="53">
        <v>475.44</v>
      </c>
      <c r="S1040" s="76">
        <v>6.2002847000000002E-3</v>
      </c>
      <c r="T1040" s="138">
        <v>0.11612972000000001</v>
      </c>
    </row>
    <row r="1041" spans="5:20">
      <c r="E1041" s="130">
        <v>0.99994000000000005</v>
      </c>
      <c r="F1041" s="77">
        <v>0.99944999999999995</v>
      </c>
      <c r="G1041" s="75">
        <v>33.82</v>
      </c>
      <c r="H1041" s="88">
        <v>0.99580709999999995</v>
      </c>
      <c r="I1041" s="77">
        <v>0.98245572999999997</v>
      </c>
      <c r="J1041" s="15">
        <v>65.778000000000006</v>
      </c>
      <c r="R1041" s="53">
        <v>475.45</v>
      </c>
      <c r="S1041" s="76">
        <v>6.1856050000000003E-3</v>
      </c>
      <c r="T1041" s="138">
        <v>0.11587963</v>
      </c>
    </row>
    <row r="1042" spans="5:20">
      <c r="E1042" s="130">
        <v>0.99994000000000005</v>
      </c>
      <c r="F1042" s="77">
        <v>0.99941999999999998</v>
      </c>
      <c r="G1042" s="75">
        <v>33.820999999999998</v>
      </c>
      <c r="H1042" s="88">
        <v>0.99579804999999999</v>
      </c>
      <c r="I1042" s="77">
        <v>0.98243650000000005</v>
      </c>
      <c r="J1042" s="15">
        <v>65.778999999999996</v>
      </c>
      <c r="R1042" s="53">
        <v>475.46</v>
      </c>
      <c r="S1042" s="76">
        <v>6.1709293999999996E-3</v>
      </c>
      <c r="T1042" s="138">
        <v>0.1156295</v>
      </c>
    </row>
    <row r="1043" spans="5:20">
      <c r="E1043" s="130">
        <v>0.99994000000000005</v>
      </c>
      <c r="F1043" s="77">
        <v>0.99939</v>
      </c>
      <c r="G1043" s="75">
        <v>33.822000000000003</v>
      </c>
      <c r="H1043" s="88">
        <v>0.99578900000000004</v>
      </c>
      <c r="I1043" s="77">
        <v>0.98241719999999999</v>
      </c>
      <c r="J1043" s="15">
        <v>65.78</v>
      </c>
      <c r="R1043" s="53">
        <v>475.47</v>
      </c>
      <c r="S1043" s="76">
        <v>6.1562580000000004E-3</v>
      </c>
      <c r="T1043" s="138">
        <v>0.11537931999999999</v>
      </c>
    </row>
    <row r="1044" spans="5:20">
      <c r="E1044" s="130">
        <v>0.99992999999999999</v>
      </c>
      <c r="F1044" s="77">
        <v>0.99936000000000003</v>
      </c>
      <c r="G1044" s="75">
        <v>33.823</v>
      </c>
      <c r="H1044" s="88">
        <v>0.99577990000000005</v>
      </c>
      <c r="I1044" s="77">
        <v>0.98239799999999999</v>
      </c>
      <c r="J1044" s="15">
        <v>65.781000000000006</v>
      </c>
      <c r="R1044" s="53">
        <v>475.48</v>
      </c>
      <c r="S1044" s="76">
        <v>6.1415895E-3</v>
      </c>
      <c r="T1044" s="138">
        <v>0.1151291</v>
      </c>
    </row>
    <row r="1045" spans="5:20">
      <c r="E1045" s="130">
        <v>0.99992999999999999</v>
      </c>
      <c r="F1045" s="77">
        <v>0.99933000000000005</v>
      </c>
      <c r="G1045" s="75">
        <v>33.823999999999998</v>
      </c>
      <c r="H1045" s="88">
        <v>0.99577070000000001</v>
      </c>
      <c r="I1045" s="77">
        <v>0.98237870000000005</v>
      </c>
      <c r="J1045" s="15">
        <v>65.781999999999996</v>
      </c>
      <c r="R1045" s="53">
        <v>475.49</v>
      </c>
      <c r="S1045" s="76">
        <v>6.1269252999999997E-3</v>
      </c>
      <c r="T1045" s="138">
        <v>0.114878826</v>
      </c>
    </row>
    <row r="1046" spans="5:20">
      <c r="E1046" s="130">
        <v>0.99992999999999999</v>
      </c>
      <c r="F1046" s="77">
        <v>0.99929000000000001</v>
      </c>
      <c r="G1046" s="75">
        <v>33.825000000000003</v>
      </c>
      <c r="H1046" s="88">
        <v>0.99576160000000002</v>
      </c>
      <c r="I1046" s="77">
        <v>0.98235947000000001</v>
      </c>
      <c r="J1046" s="15">
        <v>65.783000000000001</v>
      </c>
      <c r="R1046" s="53">
        <v>475.5</v>
      </c>
      <c r="S1046" s="76">
        <v>6.1122650000000004E-3</v>
      </c>
      <c r="T1046" s="138">
        <v>0.11462851</v>
      </c>
    </row>
    <row r="1047" spans="5:20">
      <c r="E1047" s="130">
        <v>0.99992000000000003</v>
      </c>
      <c r="F1047" s="77">
        <v>0.99926000000000004</v>
      </c>
      <c r="G1047" s="75">
        <v>33.826000000000001</v>
      </c>
      <c r="H1047" s="88">
        <v>0.99575232999999996</v>
      </c>
      <c r="I1047" s="77">
        <v>0.98234016000000002</v>
      </c>
      <c r="J1047" s="15">
        <v>65.784000000000006</v>
      </c>
      <c r="R1047" s="53">
        <v>475.51</v>
      </c>
      <c r="S1047" s="76">
        <v>6.0976086999999998E-3</v>
      </c>
      <c r="T1047" s="138">
        <v>0.11437814</v>
      </c>
    </row>
    <row r="1048" spans="5:20">
      <c r="E1048" s="130">
        <v>0.99992000000000003</v>
      </c>
      <c r="F1048" s="77">
        <v>0.99922999999999995</v>
      </c>
      <c r="G1048" s="75">
        <v>33.826999999999998</v>
      </c>
      <c r="H1048" s="88">
        <v>0.99574315999999996</v>
      </c>
      <c r="I1048" s="77">
        <v>0.98232090000000005</v>
      </c>
      <c r="J1048" s="15">
        <v>65.784999999999997</v>
      </c>
      <c r="R1048" s="53">
        <v>475.52</v>
      </c>
      <c r="S1048" s="76">
        <v>6.0829556999999999E-3</v>
      </c>
      <c r="T1048" s="138">
        <v>0.114127725</v>
      </c>
    </row>
    <row r="1049" spans="5:20">
      <c r="E1049" s="130">
        <v>0.99992000000000003</v>
      </c>
      <c r="F1049" s="77">
        <v>0.99919999999999998</v>
      </c>
      <c r="G1049" s="75">
        <v>33.828000000000003</v>
      </c>
      <c r="H1049" s="88">
        <v>0.99573389999999995</v>
      </c>
      <c r="I1049" s="77">
        <v>0.9823016</v>
      </c>
      <c r="J1049" s="15">
        <v>65.786000000000001</v>
      </c>
      <c r="R1049" s="53">
        <v>475.53</v>
      </c>
      <c r="S1049" s="76">
        <v>6.0683064999999996E-3</v>
      </c>
      <c r="T1049" s="138">
        <v>0.11387727</v>
      </c>
    </row>
    <row r="1050" spans="5:20">
      <c r="E1050" s="130">
        <v>0.99990999999999997</v>
      </c>
      <c r="F1050" s="77">
        <v>0.99916000000000005</v>
      </c>
      <c r="G1050" s="75">
        <v>33.829000000000001</v>
      </c>
      <c r="H1050" s="88">
        <v>0.99572470000000002</v>
      </c>
      <c r="I1050" s="77">
        <v>0.98228234000000003</v>
      </c>
      <c r="J1050" s="15">
        <v>65.787000000000006</v>
      </c>
      <c r="R1050" s="53">
        <v>475.54</v>
      </c>
      <c r="S1050" s="76">
        <v>6.0536614999999998E-3</v>
      </c>
      <c r="T1050" s="138">
        <v>0.11362675999999999</v>
      </c>
    </row>
    <row r="1051" spans="5:20">
      <c r="E1051" s="130">
        <v>0.99990999999999997</v>
      </c>
      <c r="F1051" s="77">
        <v>0.99912999999999996</v>
      </c>
      <c r="G1051" s="75">
        <v>33.83</v>
      </c>
      <c r="H1051" s="88">
        <v>0.99571540000000003</v>
      </c>
      <c r="I1051" s="77">
        <v>0.982263</v>
      </c>
      <c r="J1051" s="15">
        <v>65.787999999999997</v>
      </c>
      <c r="R1051" s="53">
        <v>475.55</v>
      </c>
      <c r="S1051" s="76">
        <v>6.03902E-3</v>
      </c>
      <c r="T1051" s="138">
        <v>0.11337621000000001</v>
      </c>
    </row>
    <row r="1052" spans="5:20">
      <c r="E1052" s="130">
        <v>0.99990999999999997</v>
      </c>
      <c r="F1052" s="77">
        <v>0.99909999999999999</v>
      </c>
      <c r="G1052" s="75">
        <v>33.831000000000003</v>
      </c>
      <c r="H1052" s="88">
        <v>0.99570610000000004</v>
      </c>
      <c r="I1052" s="77">
        <v>0.98224370000000005</v>
      </c>
      <c r="J1052" s="15">
        <v>65.789000000000001</v>
      </c>
      <c r="R1052" s="53">
        <v>475.56</v>
      </c>
      <c r="S1052" s="76">
        <v>6.0243824999999997E-3</v>
      </c>
      <c r="T1052" s="138">
        <v>0.11312561</v>
      </c>
    </row>
    <row r="1053" spans="5:20">
      <c r="E1053" s="130">
        <v>0.99990000000000001</v>
      </c>
      <c r="F1053" s="77">
        <v>0.99907000000000001</v>
      </c>
      <c r="G1053" s="75">
        <v>33.832000000000001</v>
      </c>
      <c r="H1053" s="88">
        <v>0.99569680000000005</v>
      </c>
      <c r="I1053" s="77">
        <v>0.9822244</v>
      </c>
      <c r="J1053" s="15">
        <v>65.790000000000006</v>
      </c>
      <c r="R1053" s="53">
        <v>475.57</v>
      </c>
      <c r="S1053" s="76">
        <v>6.0097487000000003E-3</v>
      </c>
      <c r="T1053" s="138">
        <v>0.11287496</v>
      </c>
    </row>
    <row r="1054" spans="5:20">
      <c r="E1054" s="130">
        <v>0.99990000000000001</v>
      </c>
      <c r="F1054" s="77">
        <v>0.99902999999999997</v>
      </c>
      <c r="G1054" s="75">
        <v>33.832999999999998</v>
      </c>
      <c r="H1054" s="88">
        <v>0.9956874</v>
      </c>
      <c r="I1054" s="77">
        <v>0.98220510000000005</v>
      </c>
      <c r="J1054" s="15">
        <v>65.790999999999997</v>
      </c>
      <c r="R1054" s="53">
        <v>475.58</v>
      </c>
      <c r="S1054" s="76">
        <v>5.9951185000000004E-3</v>
      </c>
      <c r="T1054" s="138">
        <v>0.11262427</v>
      </c>
    </row>
    <row r="1055" spans="5:20">
      <c r="E1055" s="130">
        <v>0.99990000000000001</v>
      </c>
      <c r="F1055" s="77">
        <v>0.999</v>
      </c>
      <c r="G1055" s="75">
        <v>33.834000000000003</v>
      </c>
      <c r="H1055" s="88">
        <v>0.99567806999999997</v>
      </c>
      <c r="I1055" s="77">
        <v>0.9821858</v>
      </c>
      <c r="J1055" s="15">
        <v>65.792000000000002</v>
      </c>
      <c r="R1055" s="53">
        <v>475.59</v>
      </c>
      <c r="S1055" s="76">
        <v>5.9804919999999996E-3</v>
      </c>
      <c r="T1055" s="138">
        <v>0.11237353</v>
      </c>
    </row>
    <row r="1056" spans="5:20">
      <c r="E1056" s="130">
        <v>0.99988999999999995</v>
      </c>
      <c r="F1056" s="77">
        <v>0.99897000000000002</v>
      </c>
      <c r="G1056" s="75">
        <v>33.835000000000001</v>
      </c>
      <c r="H1056" s="88">
        <v>0.99566869999999996</v>
      </c>
      <c r="I1056" s="77">
        <v>0.98216647000000001</v>
      </c>
      <c r="J1056" s="15">
        <v>65.793000000000006</v>
      </c>
      <c r="R1056" s="53">
        <v>475.6</v>
      </c>
      <c r="S1056" s="76">
        <v>5.9658699999999999E-3</v>
      </c>
      <c r="T1056" s="138">
        <v>0.112122744</v>
      </c>
    </row>
    <row r="1057" spans="5:20">
      <c r="E1057" s="130">
        <v>0.99988999999999995</v>
      </c>
      <c r="F1057" s="77">
        <v>0.99894000000000005</v>
      </c>
      <c r="G1057" s="75">
        <v>33.835999999999999</v>
      </c>
      <c r="H1057" s="88">
        <v>0.99565930000000002</v>
      </c>
      <c r="I1057" s="77">
        <v>0.98214710000000005</v>
      </c>
      <c r="J1057" s="15">
        <v>65.793999999999997</v>
      </c>
      <c r="R1057" s="53">
        <v>475.61</v>
      </c>
      <c r="S1057" s="76">
        <v>5.9512510000000003E-3</v>
      </c>
      <c r="T1057" s="138">
        <v>0.11187191</v>
      </c>
    </row>
    <row r="1058" spans="5:20">
      <c r="E1058" s="130">
        <v>0.99987999999999999</v>
      </c>
      <c r="F1058" s="77">
        <v>0.99890000000000001</v>
      </c>
      <c r="G1058" s="75">
        <v>33.837000000000003</v>
      </c>
      <c r="H1058" s="88">
        <v>0.99564980000000003</v>
      </c>
      <c r="I1058" s="77">
        <v>0.9821278</v>
      </c>
      <c r="J1058" s="15">
        <v>65.795000000000002</v>
      </c>
      <c r="R1058" s="53">
        <v>475.62</v>
      </c>
      <c r="S1058" s="76">
        <v>5.9366360000000003E-3</v>
      </c>
      <c r="T1058" s="138">
        <v>0.11162103</v>
      </c>
    </row>
    <row r="1059" spans="5:20">
      <c r="E1059" s="130">
        <v>0.99987999999999999</v>
      </c>
      <c r="F1059" s="77">
        <v>0.99887000000000004</v>
      </c>
      <c r="G1059" s="75">
        <v>33.838000000000001</v>
      </c>
      <c r="H1059" s="88">
        <v>0.99564039999999998</v>
      </c>
      <c r="I1059" s="77">
        <v>0.98210839999999999</v>
      </c>
      <c r="J1059" s="15">
        <v>65.796000000000006</v>
      </c>
      <c r="R1059" s="53">
        <v>475.63</v>
      </c>
      <c r="S1059" s="76">
        <v>5.922025E-3</v>
      </c>
      <c r="T1059" s="138">
        <v>0.1113701</v>
      </c>
    </row>
    <row r="1060" spans="5:20">
      <c r="E1060" s="130">
        <v>0.99987999999999999</v>
      </c>
      <c r="F1060" s="77">
        <v>0.99883999999999995</v>
      </c>
      <c r="G1060" s="75">
        <v>33.838999999999999</v>
      </c>
      <c r="H1060" s="88">
        <v>0.99563089999999999</v>
      </c>
      <c r="I1060" s="77">
        <v>0.98208903999999997</v>
      </c>
      <c r="J1060" s="15">
        <v>65.796999999999997</v>
      </c>
      <c r="R1060" s="53">
        <v>475.64</v>
      </c>
      <c r="S1060" s="76">
        <v>5.9074173000000004E-3</v>
      </c>
      <c r="T1060" s="138">
        <v>0.11111913</v>
      </c>
    </row>
    <row r="1061" spans="5:20">
      <c r="E1061" s="130">
        <v>0.99987000000000004</v>
      </c>
      <c r="F1061" s="77">
        <v>0.99880999999999998</v>
      </c>
      <c r="G1061" s="75">
        <v>33.840000000000003</v>
      </c>
      <c r="H1061" s="88">
        <v>0.99562139999999999</v>
      </c>
      <c r="I1061" s="77">
        <v>0.98206972999999997</v>
      </c>
      <c r="J1061" s="15">
        <v>65.798000000000002</v>
      </c>
      <c r="R1061" s="53">
        <v>475.65</v>
      </c>
      <c r="S1061" s="76">
        <v>5.8928137E-3</v>
      </c>
      <c r="T1061" s="138">
        <v>0.11086811000000001</v>
      </c>
    </row>
    <row r="1062" spans="5:20">
      <c r="E1062" s="130">
        <v>0.99987000000000004</v>
      </c>
      <c r="F1062" s="77">
        <v>0.99877000000000005</v>
      </c>
      <c r="G1062" s="75">
        <v>33.841000000000001</v>
      </c>
      <c r="H1062" s="88">
        <v>0.99561184999999996</v>
      </c>
      <c r="I1062" s="77">
        <v>0.98205036000000001</v>
      </c>
      <c r="J1062" s="15">
        <v>65.799000000000007</v>
      </c>
      <c r="R1062" s="53">
        <v>475.66</v>
      </c>
      <c r="S1062" s="76">
        <v>5.8782139999999997E-3</v>
      </c>
      <c r="T1062" s="138">
        <v>0.11061704</v>
      </c>
    </row>
    <row r="1063" spans="5:20">
      <c r="E1063" s="130">
        <v>0.99987000000000004</v>
      </c>
      <c r="F1063" s="77">
        <v>0.99873999999999996</v>
      </c>
      <c r="G1063" s="75">
        <v>33.841999999999999</v>
      </c>
      <c r="H1063" s="88">
        <v>0.99560230000000005</v>
      </c>
      <c r="I1063" s="77">
        <v>0.98203099999999999</v>
      </c>
      <c r="J1063" s="15">
        <v>65.8</v>
      </c>
      <c r="R1063" s="53">
        <v>475.67</v>
      </c>
      <c r="S1063" s="76">
        <v>5.8636176E-3</v>
      </c>
      <c r="T1063" s="138">
        <v>0.11036593</v>
      </c>
    </row>
    <row r="1064" spans="5:20">
      <c r="E1064" s="130">
        <v>0.99985999999999997</v>
      </c>
      <c r="F1064" s="77">
        <v>0.99870999999999999</v>
      </c>
      <c r="G1064" s="75">
        <v>33.843000000000004</v>
      </c>
      <c r="H1064" s="88">
        <v>0.9955927</v>
      </c>
      <c r="I1064" s="77">
        <v>0.98201159999999998</v>
      </c>
      <c r="J1064" s="15">
        <v>65.801000000000002</v>
      </c>
      <c r="R1064" s="53">
        <v>475.68</v>
      </c>
      <c r="S1064" s="76">
        <v>5.8490256999999997E-3</v>
      </c>
      <c r="T1064" s="138">
        <v>0.11011477</v>
      </c>
    </row>
    <row r="1065" spans="5:20">
      <c r="E1065" s="130">
        <v>0.99985999999999997</v>
      </c>
      <c r="F1065" s="77">
        <v>0.99868000000000001</v>
      </c>
      <c r="G1065" s="75">
        <v>33.844000000000001</v>
      </c>
      <c r="H1065" s="88">
        <v>0.99558310000000005</v>
      </c>
      <c r="I1065" s="77">
        <v>0.98199219999999998</v>
      </c>
      <c r="J1065" s="15">
        <v>65.802000000000007</v>
      </c>
      <c r="R1065" s="53">
        <v>475.69</v>
      </c>
      <c r="S1065" s="76">
        <v>5.8344369999999996E-3</v>
      </c>
      <c r="T1065" s="138">
        <v>0.10986356</v>
      </c>
    </row>
    <row r="1066" spans="5:20">
      <c r="E1066" s="130">
        <v>0.99985999999999997</v>
      </c>
      <c r="F1066" s="77">
        <v>0.99863999999999997</v>
      </c>
      <c r="G1066" s="75">
        <v>33.844999999999999</v>
      </c>
      <c r="H1066" s="88">
        <v>0.9955735</v>
      </c>
      <c r="I1066" s="77">
        <v>0.98197279999999998</v>
      </c>
      <c r="J1066" s="15">
        <v>65.802999999999997</v>
      </c>
      <c r="R1066" s="53">
        <v>475.7</v>
      </c>
      <c r="S1066" s="76">
        <v>5.8198520000000004E-3</v>
      </c>
      <c r="T1066" s="138">
        <v>0.1096123</v>
      </c>
    </row>
    <row r="1067" spans="5:20">
      <c r="E1067" s="130">
        <v>0.99985000000000002</v>
      </c>
      <c r="F1067" s="77">
        <v>0.99861</v>
      </c>
      <c r="G1067" s="75">
        <v>33.845999999999997</v>
      </c>
      <c r="H1067" s="88">
        <v>0.99556385999999997</v>
      </c>
      <c r="I1067" s="77">
        <v>0.98195339999999998</v>
      </c>
      <c r="J1067" s="15">
        <v>65.804000000000002</v>
      </c>
      <c r="R1067" s="53">
        <v>475.71</v>
      </c>
      <c r="S1067" s="76">
        <v>5.8052707000000002E-3</v>
      </c>
      <c r="T1067" s="138">
        <v>0.109361</v>
      </c>
    </row>
    <row r="1068" spans="5:20">
      <c r="E1068" s="130">
        <v>0.99985000000000002</v>
      </c>
      <c r="F1068" s="77">
        <v>0.99858000000000002</v>
      </c>
      <c r="G1068" s="75">
        <v>33.847000000000001</v>
      </c>
      <c r="H1068" s="88">
        <v>0.99555415000000003</v>
      </c>
      <c r="I1068" s="77">
        <v>0.98193399999999997</v>
      </c>
      <c r="J1068" s="15">
        <v>65.805000000000007</v>
      </c>
      <c r="R1068" s="53">
        <v>475.72</v>
      </c>
      <c r="S1068" s="76">
        <v>5.7906937000000002E-3</v>
      </c>
      <c r="T1068" s="138">
        <v>0.109109655</v>
      </c>
    </row>
    <row r="1069" spans="5:20">
      <c r="E1069" s="130">
        <v>0.99983999999999995</v>
      </c>
      <c r="F1069" s="77">
        <v>0.99855000000000005</v>
      </c>
      <c r="G1069" s="75">
        <v>33.847999999999999</v>
      </c>
      <c r="H1069" s="88">
        <v>0.99554450000000005</v>
      </c>
      <c r="I1069" s="77">
        <v>0.98191459999999997</v>
      </c>
      <c r="J1069" s="15">
        <v>65.805999999999997</v>
      </c>
      <c r="R1069" s="53">
        <v>475.73</v>
      </c>
      <c r="S1069" s="76">
        <v>5.77612E-3</v>
      </c>
      <c r="T1069" s="138">
        <v>0.10885826</v>
      </c>
    </row>
    <row r="1070" spans="5:20">
      <c r="E1070" s="130">
        <v>0.99983999999999995</v>
      </c>
      <c r="F1070" s="77">
        <v>0.99851000000000001</v>
      </c>
      <c r="G1070" s="75">
        <v>33.848999999999997</v>
      </c>
      <c r="H1070" s="88">
        <v>0.99553480000000005</v>
      </c>
      <c r="I1070" s="77">
        <v>0.98189515000000005</v>
      </c>
      <c r="J1070" s="15">
        <v>65.807000000000002</v>
      </c>
      <c r="R1070" s="53">
        <v>475.74</v>
      </c>
      <c r="S1070" s="76">
        <v>5.7615503000000004E-3</v>
      </c>
      <c r="T1070" s="138">
        <v>0.108606815</v>
      </c>
    </row>
    <row r="1071" spans="5:20">
      <c r="E1071" s="130">
        <v>0.99983999999999995</v>
      </c>
      <c r="F1071" s="77">
        <v>0.99848000000000003</v>
      </c>
      <c r="G1071" s="75">
        <v>33.85</v>
      </c>
      <c r="H1071" s="88">
        <v>0.99552499999999999</v>
      </c>
      <c r="I1071" s="77">
        <v>0.98187570000000002</v>
      </c>
      <c r="J1071" s="15">
        <v>65.808000000000007</v>
      </c>
      <c r="R1071" s="53">
        <v>475.75</v>
      </c>
      <c r="S1071" s="76">
        <v>5.7469840000000001E-3</v>
      </c>
      <c r="T1071" s="138">
        <v>0.10835533</v>
      </c>
    </row>
    <row r="1072" spans="5:20">
      <c r="E1072" s="130">
        <v>0.99983</v>
      </c>
      <c r="F1072" s="77">
        <v>0.99844999999999995</v>
      </c>
      <c r="G1072" s="75">
        <v>33.850999999999999</v>
      </c>
      <c r="H1072" s="88">
        <v>0.99551520000000004</v>
      </c>
      <c r="I1072" s="77">
        <v>0.98185630000000002</v>
      </c>
      <c r="J1072" s="15">
        <v>65.808999999999997</v>
      </c>
      <c r="R1072" s="53">
        <v>475.76</v>
      </c>
      <c r="S1072" s="76">
        <v>5.7324218E-3</v>
      </c>
      <c r="T1072" s="138">
        <v>0.10810379000000001</v>
      </c>
    </row>
    <row r="1073" spans="5:20">
      <c r="E1073" s="130">
        <v>0.99983</v>
      </c>
      <c r="F1073" s="77">
        <v>0.99841999999999997</v>
      </c>
      <c r="G1073" s="75">
        <v>33.851999999999997</v>
      </c>
      <c r="H1073" s="88">
        <v>0.99550545000000001</v>
      </c>
      <c r="I1073" s="77">
        <v>0.98183686000000003</v>
      </c>
      <c r="J1073" s="15">
        <v>65.81</v>
      </c>
      <c r="R1073" s="53">
        <v>475.77</v>
      </c>
      <c r="S1073" s="76">
        <v>5.7178630000000001E-3</v>
      </c>
      <c r="T1073" s="138">
        <v>0.10785221</v>
      </c>
    </row>
    <row r="1074" spans="5:20">
      <c r="E1074" s="130">
        <v>0.99983</v>
      </c>
      <c r="F1074" s="77">
        <v>0.99838000000000005</v>
      </c>
      <c r="G1074" s="75">
        <v>33.853000000000002</v>
      </c>
      <c r="H1074" s="88">
        <v>0.99549560000000004</v>
      </c>
      <c r="I1074" s="77">
        <v>0.98181739999999995</v>
      </c>
      <c r="J1074" s="15">
        <v>65.811000000000007</v>
      </c>
      <c r="R1074" s="53">
        <v>475.78</v>
      </c>
      <c r="S1074" s="76">
        <v>5.7033079999999998E-3</v>
      </c>
      <c r="T1074" s="138">
        <v>0.107600585</v>
      </c>
    </row>
    <row r="1075" spans="5:20">
      <c r="E1075" s="130">
        <v>0.99982000000000004</v>
      </c>
      <c r="F1075" s="77">
        <v>0.99834999999999996</v>
      </c>
      <c r="G1075" s="75">
        <v>33.853999999999999</v>
      </c>
      <c r="H1075" s="88">
        <v>0.99548579999999998</v>
      </c>
      <c r="I1075" s="77">
        <v>0.98179799999999995</v>
      </c>
      <c r="J1075" s="15">
        <v>65.811999999999998</v>
      </c>
      <c r="R1075" s="53">
        <v>475.79</v>
      </c>
      <c r="S1075" s="76">
        <v>5.688757E-3</v>
      </c>
      <c r="T1075" s="138">
        <v>0.10734890399999999</v>
      </c>
    </row>
    <row r="1076" spans="5:20">
      <c r="E1076" s="130">
        <v>0.99982000000000004</v>
      </c>
      <c r="F1076" s="77">
        <v>0.99831999999999999</v>
      </c>
      <c r="G1076" s="75">
        <v>33.854999999999997</v>
      </c>
      <c r="H1076" s="88">
        <v>0.99547589999999997</v>
      </c>
      <c r="I1076" s="77">
        <v>0.9817785</v>
      </c>
      <c r="J1076" s="15">
        <v>65.813000000000002</v>
      </c>
      <c r="R1076" s="53">
        <v>475.8</v>
      </c>
      <c r="S1076" s="76">
        <v>5.6742093999999996E-3</v>
      </c>
      <c r="T1076" s="138">
        <v>0.107097186</v>
      </c>
    </row>
    <row r="1077" spans="5:20">
      <c r="E1077" s="130">
        <v>0.99980999999999998</v>
      </c>
      <c r="F1077" s="77">
        <v>0.99829000000000001</v>
      </c>
      <c r="G1077" s="75">
        <v>33.856000000000002</v>
      </c>
      <c r="H1077" s="88">
        <v>0.99546599999999996</v>
      </c>
      <c r="I1077" s="77">
        <v>0.9817591</v>
      </c>
      <c r="J1077" s="15">
        <v>65.813999999999993</v>
      </c>
      <c r="R1077" s="53">
        <v>475.81</v>
      </c>
      <c r="S1077" s="76">
        <v>5.6596659999999998E-3</v>
      </c>
      <c r="T1077" s="138">
        <v>0.106845416</v>
      </c>
    </row>
    <row r="1078" spans="5:20">
      <c r="E1078" s="130">
        <v>0.99980999999999998</v>
      </c>
      <c r="F1078" s="77">
        <v>0.99826000000000004</v>
      </c>
      <c r="G1078" s="75">
        <v>33.856999999999999</v>
      </c>
      <c r="H1078" s="88">
        <v>0.99545603999999999</v>
      </c>
      <c r="I1078" s="77">
        <v>0.98173960000000005</v>
      </c>
      <c r="J1078" s="15">
        <v>65.814999999999998</v>
      </c>
      <c r="R1078" s="53">
        <v>475.82</v>
      </c>
      <c r="S1078" s="76">
        <v>5.6451256000000002E-3</v>
      </c>
      <c r="T1078" s="138">
        <v>0.1065936</v>
      </c>
    </row>
    <row r="1079" spans="5:20">
      <c r="E1079" s="130">
        <v>0.99980999999999998</v>
      </c>
      <c r="F1079" s="77">
        <v>0.99822</v>
      </c>
      <c r="G1079" s="75">
        <v>33.857999999999997</v>
      </c>
      <c r="H1079" s="88">
        <v>0.99544615000000003</v>
      </c>
      <c r="I1079" s="77">
        <v>0.98172009999999998</v>
      </c>
      <c r="J1079" s="15">
        <v>65.816000000000003</v>
      </c>
      <c r="R1079" s="53">
        <v>475.83</v>
      </c>
      <c r="S1079" s="76">
        <v>5.6305896000000003E-3</v>
      </c>
      <c r="T1079" s="138">
        <v>0.10634173500000001</v>
      </c>
    </row>
    <row r="1080" spans="5:20">
      <c r="E1080" s="130">
        <v>0.99980000000000002</v>
      </c>
      <c r="F1080" s="77">
        <v>0.99819000000000002</v>
      </c>
      <c r="G1080" s="75">
        <v>33.859000000000002</v>
      </c>
      <c r="H1080" s="88">
        <v>0.99543612999999997</v>
      </c>
      <c r="I1080" s="77">
        <v>0.98170060000000003</v>
      </c>
      <c r="J1080" s="15">
        <v>65.816999999999993</v>
      </c>
      <c r="R1080" s="53">
        <v>475.84</v>
      </c>
      <c r="S1080" s="76">
        <v>5.6160569999999998E-3</v>
      </c>
      <c r="T1080" s="138">
        <v>0.10608982</v>
      </c>
    </row>
    <row r="1081" spans="5:20">
      <c r="E1081" s="130">
        <v>0.99980000000000002</v>
      </c>
      <c r="F1081" s="77">
        <v>0.99816000000000005</v>
      </c>
      <c r="G1081" s="75">
        <v>33.86</v>
      </c>
      <c r="H1081" s="88">
        <v>0.99542609999999998</v>
      </c>
      <c r="I1081" s="77">
        <v>0.98168109999999997</v>
      </c>
      <c r="J1081" s="15">
        <v>65.817999999999998</v>
      </c>
      <c r="R1081" s="53">
        <v>475.85</v>
      </c>
      <c r="S1081" s="76">
        <v>5.6015279999999997E-3</v>
      </c>
      <c r="T1081" s="138">
        <v>0.10583787</v>
      </c>
    </row>
    <row r="1082" spans="5:20">
      <c r="E1082" s="130">
        <v>0.99980000000000002</v>
      </c>
      <c r="F1082" s="77">
        <v>0.99812999999999996</v>
      </c>
      <c r="G1082" s="75">
        <v>33.860999999999997</v>
      </c>
      <c r="H1082" s="88">
        <v>0.99541610000000003</v>
      </c>
      <c r="I1082" s="77">
        <v>0.98166160000000002</v>
      </c>
      <c r="J1082" s="15">
        <v>65.819000000000003</v>
      </c>
      <c r="R1082" s="53">
        <v>475.86</v>
      </c>
      <c r="S1082" s="76">
        <v>5.5870030000000001E-3</v>
      </c>
      <c r="T1082" s="138">
        <v>0.105585866</v>
      </c>
    </row>
    <row r="1083" spans="5:20">
      <c r="E1083" s="130">
        <v>0.99978999999999996</v>
      </c>
      <c r="F1083" s="77">
        <v>0.99809000000000003</v>
      </c>
      <c r="G1083" s="75">
        <v>33.862000000000002</v>
      </c>
      <c r="H1083" s="88">
        <v>0.99540609999999996</v>
      </c>
      <c r="I1083" s="77">
        <v>0.98164209999999996</v>
      </c>
      <c r="J1083" s="15">
        <v>65.819999999999993</v>
      </c>
      <c r="R1083" s="53">
        <v>475.87</v>
      </c>
      <c r="S1083" s="76">
        <v>5.5724815000000004E-3</v>
      </c>
      <c r="T1083" s="138">
        <v>0.10533381</v>
      </c>
    </row>
    <row r="1084" spans="5:20">
      <c r="E1084" s="130">
        <v>0.99978999999999996</v>
      </c>
      <c r="F1084" s="77">
        <v>0.99805999999999995</v>
      </c>
      <c r="G1084" s="75">
        <v>33.863</v>
      </c>
      <c r="H1084" s="88">
        <v>0.99539599999999995</v>
      </c>
      <c r="I1084" s="77">
        <v>0.98162260000000001</v>
      </c>
      <c r="J1084" s="15">
        <v>65.820999999999998</v>
      </c>
      <c r="R1084" s="53">
        <v>475.88</v>
      </c>
      <c r="S1084" s="76">
        <v>5.5579640000000003E-3</v>
      </c>
      <c r="T1084" s="138">
        <v>0.10508172</v>
      </c>
    </row>
    <row r="1085" spans="5:20">
      <c r="E1085" s="130">
        <v>0.99978</v>
      </c>
      <c r="F1085" s="77">
        <v>0.99802999999999997</v>
      </c>
      <c r="G1085" s="75">
        <v>33.863999999999997</v>
      </c>
      <c r="H1085" s="88">
        <v>0.99538590000000005</v>
      </c>
      <c r="I1085" s="77">
        <v>0.98160309999999995</v>
      </c>
      <c r="J1085" s="15">
        <v>65.822000000000003</v>
      </c>
      <c r="R1085" s="53">
        <v>475.89</v>
      </c>
      <c r="S1085" s="76">
        <v>5.5434500000000001E-3</v>
      </c>
      <c r="T1085" s="138">
        <v>0.10482957</v>
      </c>
    </row>
    <row r="1086" spans="5:20">
      <c r="E1086" s="130">
        <v>0.99978</v>
      </c>
      <c r="F1086" s="77">
        <v>0.99799000000000004</v>
      </c>
      <c r="G1086" s="75">
        <v>33.865000000000002</v>
      </c>
      <c r="H1086" s="88">
        <v>0.99537575</v>
      </c>
      <c r="I1086" s="77">
        <v>0.98158354000000003</v>
      </c>
      <c r="J1086" s="15">
        <v>65.822999999999993</v>
      </c>
      <c r="R1086" s="53">
        <v>475.9</v>
      </c>
      <c r="S1086" s="76">
        <v>5.5289400000000004E-3</v>
      </c>
      <c r="T1086" s="138">
        <v>0.10457738499999999</v>
      </c>
    </row>
    <row r="1087" spans="5:20">
      <c r="E1087" s="130">
        <v>0.99978</v>
      </c>
      <c r="F1087" s="77">
        <v>0.99795999999999996</v>
      </c>
      <c r="G1087" s="75">
        <v>33.866</v>
      </c>
      <c r="H1087" s="88">
        <v>0.99536559999999996</v>
      </c>
      <c r="I1087" s="77">
        <v>0.98156403999999997</v>
      </c>
      <c r="J1087" s="15">
        <v>65.823999999999998</v>
      </c>
      <c r="R1087" s="53">
        <v>475.91</v>
      </c>
      <c r="S1087" s="76">
        <v>5.514433E-3</v>
      </c>
      <c r="T1087" s="138">
        <v>0.10432514499999999</v>
      </c>
    </row>
    <row r="1088" spans="5:20">
      <c r="E1088" s="130">
        <v>0.99977000000000005</v>
      </c>
      <c r="F1088" s="77">
        <v>0.99792999999999998</v>
      </c>
      <c r="G1088" s="75">
        <v>33.866999999999997</v>
      </c>
      <c r="H1088" s="88">
        <v>0.9953554</v>
      </c>
      <c r="I1088" s="77">
        <v>0.98154450000000004</v>
      </c>
      <c r="J1088" s="15">
        <v>65.825000000000003</v>
      </c>
      <c r="R1088" s="53">
        <v>475.92</v>
      </c>
      <c r="S1088" s="76">
        <v>5.4999306000000003E-3</v>
      </c>
      <c r="T1088" s="138">
        <v>0.10407286</v>
      </c>
    </row>
    <row r="1089" spans="5:20">
      <c r="E1089" s="130">
        <v>0.99977000000000005</v>
      </c>
      <c r="F1089" s="77">
        <v>0.99790000000000001</v>
      </c>
      <c r="G1089" s="75">
        <v>33.868000000000002</v>
      </c>
      <c r="H1089" s="88">
        <v>0.99534522999999997</v>
      </c>
      <c r="I1089" s="77">
        <v>0.98152494000000001</v>
      </c>
      <c r="J1089" s="15">
        <v>65.825999999999993</v>
      </c>
      <c r="R1089" s="53">
        <v>475.93</v>
      </c>
      <c r="S1089" s="76">
        <v>5.4854313000000004E-3</v>
      </c>
      <c r="T1089" s="138">
        <v>0.10382052999999999</v>
      </c>
    </row>
    <row r="1090" spans="5:20">
      <c r="E1090" s="130">
        <v>0.99975999999999998</v>
      </c>
      <c r="F1090" s="77">
        <v>0.99785999999999997</v>
      </c>
      <c r="G1090" s="75">
        <v>33.869</v>
      </c>
      <c r="H1090" s="88">
        <v>0.99533499999999997</v>
      </c>
      <c r="I1090" s="77">
        <v>0.98150539999999997</v>
      </c>
      <c r="J1090" s="15">
        <v>65.826999999999998</v>
      </c>
      <c r="R1090" s="53">
        <v>475.94</v>
      </c>
      <c r="S1090" s="76">
        <v>5.4709357000000004E-3</v>
      </c>
      <c r="T1090" s="138">
        <v>0.10356816000000001</v>
      </c>
    </row>
    <row r="1091" spans="5:20">
      <c r="E1091" s="130">
        <v>0.99975999999999998</v>
      </c>
      <c r="F1091" s="77">
        <v>0.99782999999999999</v>
      </c>
      <c r="G1091" s="75">
        <v>33.869999999999997</v>
      </c>
      <c r="H1091" s="88">
        <v>0.99532472999999999</v>
      </c>
      <c r="I1091" s="77">
        <v>0.98148579999999996</v>
      </c>
      <c r="J1091" s="15">
        <v>65.828000000000003</v>
      </c>
      <c r="R1091" s="53">
        <v>475.95</v>
      </c>
      <c r="S1091" s="76">
        <v>5.4564440000000004E-3</v>
      </c>
      <c r="T1091" s="138">
        <v>0.10331572999999999</v>
      </c>
    </row>
    <row r="1092" spans="5:20">
      <c r="E1092" s="130">
        <v>0.99975999999999998</v>
      </c>
      <c r="F1092" s="77">
        <v>0.99780000000000002</v>
      </c>
      <c r="G1092" s="75">
        <v>33.871000000000002</v>
      </c>
      <c r="H1092" s="88">
        <v>0.99531440000000004</v>
      </c>
      <c r="I1092" s="77">
        <v>0.98146623</v>
      </c>
      <c r="J1092" s="15">
        <v>65.828999999999994</v>
      </c>
      <c r="R1092" s="53">
        <v>475.96</v>
      </c>
      <c r="S1092" s="76">
        <v>5.4419558000000003E-3</v>
      </c>
      <c r="T1092" s="138">
        <v>0.10306326</v>
      </c>
    </row>
    <row r="1093" spans="5:20">
      <c r="E1093" s="130">
        <v>0.99975000000000003</v>
      </c>
      <c r="F1093" s="77">
        <v>0.99777000000000005</v>
      </c>
      <c r="G1093" s="75">
        <v>33.872</v>
      </c>
      <c r="H1093" s="88">
        <v>0.99530410000000002</v>
      </c>
      <c r="I1093" s="77">
        <v>0.98144670000000001</v>
      </c>
      <c r="J1093" s="15">
        <v>65.83</v>
      </c>
      <c r="R1093" s="53">
        <v>475.97</v>
      </c>
      <c r="S1093" s="76">
        <v>5.4274713999999998E-3</v>
      </c>
      <c r="T1093" s="138">
        <v>0.10281074</v>
      </c>
    </row>
    <row r="1094" spans="5:20">
      <c r="E1094" s="130">
        <v>0.99975000000000003</v>
      </c>
      <c r="F1094" s="77">
        <v>0.99773000000000001</v>
      </c>
      <c r="G1094" s="75">
        <v>33.872999999999998</v>
      </c>
      <c r="H1094" s="88">
        <v>0.99529380000000001</v>
      </c>
      <c r="I1094" s="77">
        <v>0.9814271</v>
      </c>
      <c r="J1094" s="15">
        <v>65.831000000000003</v>
      </c>
      <c r="R1094" s="53">
        <v>475.98</v>
      </c>
      <c r="S1094" s="76">
        <v>5.4129907000000001E-3</v>
      </c>
      <c r="T1094" s="138">
        <v>0.10255818</v>
      </c>
    </row>
    <row r="1095" spans="5:20">
      <c r="E1095" s="130">
        <v>0.99973999999999996</v>
      </c>
      <c r="F1095" s="77">
        <v>0.99770000000000003</v>
      </c>
      <c r="G1095" s="75">
        <v>33.874000000000002</v>
      </c>
      <c r="H1095" s="88">
        <v>0.99528340000000004</v>
      </c>
      <c r="I1095" s="77">
        <v>0.98140746000000001</v>
      </c>
      <c r="J1095" s="15">
        <v>65.831999999999994</v>
      </c>
      <c r="R1095" s="53">
        <v>475.99</v>
      </c>
      <c r="S1095" s="76">
        <v>5.3985137000000004E-3</v>
      </c>
      <c r="T1095" s="138">
        <v>0.10230557</v>
      </c>
    </row>
    <row r="1096" spans="5:20">
      <c r="E1096" s="130">
        <v>0.99973999999999996</v>
      </c>
      <c r="F1096" s="77">
        <v>0.99766999999999995</v>
      </c>
      <c r="G1096" s="75">
        <v>33.875</v>
      </c>
      <c r="H1096" s="88">
        <v>0.99527299999999996</v>
      </c>
      <c r="I1096" s="77">
        <v>0.98138789999999998</v>
      </c>
      <c r="J1096" s="15">
        <v>65.832999999999998</v>
      </c>
      <c r="R1096" s="53">
        <v>476</v>
      </c>
      <c r="S1096" s="76">
        <v>5.3840405000000003E-3</v>
      </c>
      <c r="T1096" s="138">
        <v>0.10205291</v>
      </c>
    </row>
    <row r="1097" spans="5:20">
      <c r="E1097" s="130">
        <v>0.99973999999999996</v>
      </c>
      <c r="F1097" s="77">
        <v>0.99763999999999997</v>
      </c>
      <c r="G1097" s="75">
        <v>33.875999999999998</v>
      </c>
      <c r="H1097" s="88">
        <v>0.99526256000000002</v>
      </c>
      <c r="I1097" s="77">
        <v>0.98136829999999997</v>
      </c>
      <c r="J1097" s="15">
        <v>65.834000000000003</v>
      </c>
      <c r="R1097" s="53">
        <v>476.01</v>
      </c>
      <c r="S1097" s="76">
        <v>5.3695710000000001E-3</v>
      </c>
      <c r="T1097" s="138">
        <v>0.10180019999999999</v>
      </c>
    </row>
    <row r="1098" spans="5:20">
      <c r="E1098" s="130">
        <v>0.99973000000000001</v>
      </c>
      <c r="F1098" s="77">
        <v>0.99760000000000004</v>
      </c>
      <c r="G1098" s="75">
        <v>33.877000000000002</v>
      </c>
      <c r="H1098" s="88">
        <v>0.99525213000000001</v>
      </c>
      <c r="I1098" s="77">
        <v>0.98134869999999996</v>
      </c>
      <c r="J1098" s="15">
        <v>65.834999999999994</v>
      </c>
      <c r="R1098" s="53">
        <v>476.02</v>
      </c>
      <c r="S1098" s="76">
        <v>5.3551049999999998E-3</v>
      </c>
      <c r="T1098" s="138">
        <v>0.10154746000000001</v>
      </c>
    </row>
    <row r="1099" spans="5:20">
      <c r="E1099" s="130">
        <v>0.99973000000000001</v>
      </c>
      <c r="F1099" s="77">
        <v>0.99756999999999996</v>
      </c>
      <c r="G1099" s="75">
        <v>33.878</v>
      </c>
      <c r="H1099" s="88">
        <v>0.99524164000000004</v>
      </c>
      <c r="I1099" s="77">
        <v>0.98132900000000001</v>
      </c>
      <c r="J1099" s="15">
        <v>65.835999999999999</v>
      </c>
      <c r="R1099" s="53">
        <v>476.03</v>
      </c>
      <c r="S1099" s="76">
        <v>5.3406427999999999E-3</v>
      </c>
      <c r="T1099" s="138">
        <v>0.10129465999999999</v>
      </c>
    </row>
    <row r="1100" spans="5:20">
      <c r="E1100" s="130">
        <v>0.99972000000000005</v>
      </c>
      <c r="F1100" s="77">
        <v>0.99753999999999998</v>
      </c>
      <c r="G1100" s="75">
        <v>33.878999999999998</v>
      </c>
      <c r="H1100" s="88">
        <v>0.99523114999999995</v>
      </c>
      <c r="I1100" s="77">
        <v>0.9813094</v>
      </c>
      <c r="J1100" s="15">
        <v>65.837000000000003</v>
      </c>
      <c r="R1100" s="53">
        <v>476.04</v>
      </c>
      <c r="S1100" s="76">
        <v>5.3261840000000003E-3</v>
      </c>
      <c r="T1100" s="138">
        <v>0.10104181</v>
      </c>
    </row>
    <row r="1101" spans="5:20">
      <c r="E1101" s="130">
        <v>0.99972000000000005</v>
      </c>
      <c r="F1101" s="77">
        <v>0.99751000000000001</v>
      </c>
      <c r="G1101" s="75">
        <v>33.880000000000003</v>
      </c>
      <c r="H1101" s="88">
        <v>0.99522060000000001</v>
      </c>
      <c r="I1101" s="77">
        <v>0.98128979999999999</v>
      </c>
      <c r="J1101" s="15">
        <v>65.837999999999994</v>
      </c>
      <c r="R1101" s="53">
        <v>476.05</v>
      </c>
      <c r="S1101" s="76">
        <v>5.3117290000000003E-3</v>
      </c>
      <c r="T1101" s="138">
        <v>0.10078892</v>
      </c>
    </row>
    <row r="1102" spans="5:20">
      <c r="E1102" s="130">
        <v>0.99972000000000005</v>
      </c>
      <c r="F1102" s="77">
        <v>0.99746999999999997</v>
      </c>
      <c r="G1102" s="75">
        <v>33.881</v>
      </c>
      <c r="H1102" s="88">
        <v>0.99521004999999996</v>
      </c>
      <c r="I1102" s="77">
        <v>0.98127012999999996</v>
      </c>
      <c r="J1102" s="15">
        <v>65.838999999999999</v>
      </c>
      <c r="R1102" s="53">
        <v>476.06</v>
      </c>
      <c r="S1102" s="76">
        <v>5.2972775999999997E-3</v>
      </c>
      <c r="T1102" s="138">
        <v>0.10053598</v>
      </c>
    </row>
    <row r="1103" spans="5:20">
      <c r="E1103" s="130">
        <v>0.99970999999999999</v>
      </c>
      <c r="F1103" s="77">
        <v>0.99743999999999999</v>
      </c>
      <c r="G1103" s="75">
        <v>33.881999999999998</v>
      </c>
      <c r="H1103" s="88">
        <v>0.99519944000000005</v>
      </c>
      <c r="I1103" s="77">
        <v>0.98125050000000003</v>
      </c>
      <c r="J1103" s="15">
        <v>65.84</v>
      </c>
      <c r="R1103" s="53">
        <v>476.07</v>
      </c>
      <c r="S1103" s="76">
        <v>5.2828299999999996E-3</v>
      </c>
      <c r="T1103" s="138">
        <v>0.100283</v>
      </c>
    </row>
    <row r="1104" spans="5:20">
      <c r="E1104" s="130">
        <v>0.99970999999999999</v>
      </c>
      <c r="F1104" s="77">
        <v>0.99741000000000002</v>
      </c>
      <c r="G1104" s="75">
        <v>33.883000000000003</v>
      </c>
      <c r="H1104" s="88">
        <v>0.99518883000000002</v>
      </c>
      <c r="I1104" s="77">
        <v>0.98123084999999999</v>
      </c>
      <c r="J1104" s="15">
        <v>65.840999999999994</v>
      </c>
      <c r="R1104" s="53">
        <v>476.08</v>
      </c>
      <c r="S1104" s="76">
        <v>5.2683859999999999E-3</v>
      </c>
      <c r="T1104" s="138">
        <v>0.10002996</v>
      </c>
    </row>
    <row r="1105" spans="5:20">
      <c r="E1105" s="130">
        <v>0.99970000000000003</v>
      </c>
      <c r="F1105" s="77">
        <v>0.99738000000000004</v>
      </c>
      <c r="G1105" s="75">
        <v>33.884</v>
      </c>
      <c r="H1105" s="88">
        <v>0.99517816000000003</v>
      </c>
      <c r="I1105" s="77">
        <v>0.98121119999999995</v>
      </c>
      <c r="J1105" s="15">
        <v>65.841999999999999</v>
      </c>
      <c r="R1105" s="53">
        <v>476.09</v>
      </c>
      <c r="S1105" s="76">
        <v>5.2539459999999998E-3</v>
      </c>
      <c r="T1105" s="138">
        <v>9.9776889999999993E-2</v>
      </c>
    </row>
    <row r="1106" spans="5:20">
      <c r="E1106" s="130">
        <v>0.99970000000000003</v>
      </c>
      <c r="F1106" s="77">
        <v>0.99734</v>
      </c>
      <c r="G1106" s="75">
        <v>33.884999999999998</v>
      </c>
      <c r="H1106" s="88">
        <v>0.99516749999999998</v>
      </c>
      <c r="I1106" s="77">
        <v>0.98119149999999999</v>
      </c>
      <c r="J1106" s="15">
        <v>65.843000000000004</v>
      </c>
      <c r="R1106" s="53">
        <v>476.1</v>
      </c>
      <c r="S1106" s="76">
        <v>5.2395094999999996E-3</v>
      </c>
      <c r="T1106" s="138">
        <v>9.9523760000000003E-2</v>
      </c>
    </row>
    <row r="1107" spans="5:20">
      <c r="E1107" s="130">
        <v>0.99970000000000003</v>
      </c>
      <c r="F1107" s="77">
        <v>0.99731000000000003</v>
      </c>
      <c r="G1107" s="75">
        <v>33.886000000000003</v>
      </c>
      <c r="H1107" s="88">
        <v>0.99515675999999997</v>
      </c>
      <c r="I1107" s="77">
        <v>0.98117184999999996</v>
      </c>
      <c r="J1107" s="15">
        <v>65.843999999999994</v>
      </c>
      <c r="R1107" s="53">
        <v>476.11</v>
      </c>
      <c r="S1107" s="76">
        <v>5.2250763E-3</v>
      </c>
      <c r="T1107" s="138">
        <v>9.9270590000000006E-2</v>
      </c>
    </row>
    <row r="1108" spans="5:20">
      <c r="E1108" s="130">
        <v>0.99968999999999997</v>
      </c>
      <c r="F1108" s="77">
        <v>0.99728000000000006</v>
      </c>
      <c r="G1108" s="75">
        <v>33.887</v>
      </c>
      <c r="H1108" s="88">
        <v>0.99514603999999995</v>
      </c>
      <c r="I1108" s="77">
        <v>0.98115209999999997</v>
      </c>
      <c r="J1108" s="15">
        <v>65.844999999999999</v>
      </c>
      <c r="R1108" s="53">
        <v>476.12</v>
      </c>
      <c r="S1108" s="76">
        <v>5.2106469999999997E-3</v>
      </c>
      <c r="T1108" s="138">
        <v>9.9017369999999993E-2</v>
      </c>
    </row>
    <row r="1109" spans="5:20">
      <c r="E1109" s="130">
        <v>0.99968999999999997</v>
      </c>
      <c r="F1109" s="77">
        <v>0.99724999999999997</v>
      </c>
      <c r="G1109" s="75">
        <v>33.887999999999998</v>
      </c>
      <c r="H1109" s="88">
        <v>0.99513529999999994</v>
      </c>
      <c r="I1109" s="77">
        <v>0.98113245000000004</v>
      </c>
      <c r="J1109" s="15">
        <v>65.846000000000004</v>
      </c>
      <c r="R1109" s="53">
        <v>476.13</v>
      </c>
      <c r="S1109" s="76">
        <v>5.196221E-3</v>
      </c>
      <c r="T1109" s="138">
        <v>9.8764099999999994E-2</v>
      </c>
    </row>
    <row r="1110" spans="5:20">
      <c r="E1110" s="130">
        <v>0.99968000000000001</v>
      </c>
      <c r="F1110" s="77">
        <v>0.99721000000000004</v>
      </c>
      <c r="G1110" s="75">
        <v>33.889000000000003</v>
      </c>
      <c r="H1110" s="88">
        <v>0.99512445999999999</v>
      </c>
      <c r="I1110" s="77">
        <v>0.98111269999999995</v>
      </c>
      <c r="J1110" s="15">
        <v>65.846999999999994</v>
      </c>
      <c r="R1110" s="53">
        <v>476.14</v>
      </c>
      <c r="S1110" s="76">
        <v>5.181799E-3</v>
      </c>
      <c r="T1110" s="138">
        <v>9.8510790000000001E-2</v>
      </c>
    </row>
    <row r="1111" spans="5:20">
      <c r="E1111" s="130">
        <v>0.99968000000000001</v>
      </c>
      <c r="F1111" s="77">
        <v>0.99717999999999996</v>
      </c>
      <c r="G1111" s="75">
        <v>33.89</v>
      </c>
      <c r="H1111" s="88">
        <v>0.99511369999999999</v>
      </c>
      <c r="I1111" s="77">
        <v>0.98109305000000002</v>
      </c>
      <c r="J1111" s="15">
        <v>65.847999999999999</v>
      </c>
      <c r="R1111" s="53">
        <v>476.15</v>
      </c>
      <c r="S1111" s="76">
        <v>5.1673810000000004E-3</v>
      </c>
      <c r="T1111" s="138">
        <v>9.8257430000000007E-2</v>
      </c>
    </row>
    <row r="1112" spans="5:20">
      <c r="E1112" s="130">
        <v>0.99968000000000001</v>
      </c>
      <c r="F1112" s="77">
        <v>0.99714999999999998</v>
      </c>
      <c r="G1112" s="75">
        <v>33.890999999999998</v>
      </c>
      <c r="H1112" s="88">
        <v>0.99510279999999995</v>
      </c>
      <c r="I1112" s="77">
        <v>0.98107330000000004</v>
      </c>
      <c r="J1112" s="15">
        <v>65.849000000000004</v>
      </c>
      <c r="R1112" s="53">
        <v>476.16</v>
      </c>
      <c r="S1112" s="76">
        <v>5.1529664000000003E-3</v>
      </c>
      <c r="T1112" s="138">
        <v>9.8004019999999997E-2</v>
      </c>
    </row>
    <row r="1113" spans="5:20">
      <c r="E1113" s="130">
        <v>0.99966999999999995</v>
      </c>
      <c r="F1113" s="77">
        <v>0.99712000000000001</v>
      </c>
      <c r="G1113" s="75">
        <v>33.892000000000003</v>
      </c>
      <c r="H1113" s="88">
        <v>0.99509190000000003</v>
      </c>
      <c r="I1113" s="77">
        <v>0.98105359999999997</v>
      </c>
      <c r="J1113" s="15">
        <v>65.849999999999994</v>
      </c>
      <c r="R1113" s="53">
        <v>476.17</v>
      </c>
      <c r="S1113" s="76">
        <v>5.1385550000000004E-3</v>
      </c>
      <c r="T1113" s="138">
        <v>9.7750574000000007E-2</v>
      </c>
    </row>
    <row r="1114" spans="5:20">
      <c r="E1114" s="130">
        <v>0.99966999999999995</v>
      </c>
      <c r="F1114" s="77">
        <v>0.99707999999999997</v>
      </c>
      <c r="G1114" s="75">
        <v>33.893000000000001</v>
      </c>
      <c r="H1114" s="88">
        <v>0.99508099999999999</v>
      </c>
      <c r="I1114" s="77">
        <v>0.98103386000000004</v>
      </c>
      <c r="J1114" s="15">
        <v>65.850999999999999</v>
      </c>
      <c r="R1114" s="53">
        <v>476.18</v>
      </c>
      <c r="S1114" s="76">
        <v>5.1241474999999996E-3</v>
      </c>
      <c r="T1114" s="138">
        <v>9.7497070000000005E-2</v>
      </c>
    </row>
    <row r="1115" spans="5:20">
      <c r="E1115" s="130">
        <v>0.99965999999999999</v>
      </c>
      <c r="F1115" s="77">
        <v>0.99704999999999999</v>
      </c>
      <c r="G1115" s="75">
        <v>33.893999999999998</v>
      </c>
      <c r="H1115" s="88">
        <v>0.99507009999999996</v>
      </c>
      <c r="I1115" s="77">
        <v>0.98101413000000004</v>
      </c>
      <c r="J1115" s="15">
        <v>65.852000000000004</v>
      </c>
      <c r="R1115" s="53">
        <v>476.19</v>
      </c>
      <c r="S1115" s="76">
        <v>5.1097436999999997E-3</v>
      </c>
      <c r="T1115" s="138">
        <v>9.7243524999999997E-2</v>
      </c>
    </row>
    <row r="1116" spans="5:20">
      <c r="E1116" s="130">
        <v>0.99965999999999999</v>
      </c>
      <c r="F1116" s="77">
        <v>0.99702000000000002</v>
      </c>
      <c r="G1116" s="75">
        <v>33.895000000000003</v>
      </c>
      <c r="H1116" s="88">
        <v>0.99505913000000001</v>
      </c>
      <c r="I1116" s="77">
        <v>0.98099433999999996</v>
      </c>
      <c r="J1116" s="15">
        <v>65.852999999999994</v>
      </c>
      <c r="R1116" s="53">
        <v>476.2</v>
      </c>
      <c r="S1116" s="76">
        <v>5.0953435999999998E-3</v>
      </c>
      <c r="T1116" s="138">
        <v>9.6989930000000002E-2</v>
      </c>
    </row>
    <row r="1117" spans="5:20">
      <c r="E1117" s="130">
        <v>0.99965000000000004</v>
      </c>
      <c r="F1117" s="77">
        <v>0.99697999999999998</v>
      </c>
      <c r="G1117" s="75">
        <v>33.896000000000001</v>
      </c>
      <c r="H1117" s="88">
        <v>0.99504809999999999</v>
      </c>
      <c r="I1117" s="77">
        <v>0.98097460000000003</v>
      </c>
      <c r="J1117" s="15">
        <v>65.853999999999999</v>
      </c>
      <c r="R1117" s="53">
        <v>476.21</v>
      </c>
      <c r="S1117" s="76">
        <v>5.0809469999999997E-3</v>
      </c>
      <c r="T1117" s="138">
        <v>9.6736290000000003E-2</v>
      </c>
    </row>
    <row r="1118" spans="5:20">
      <c r="E1118" s="130">
        <v>0.99965000000000004</v>
      </c>
      <c r="F1118" s="77">
        <v>0.99695</v>
      </c>
      <c r="G1118" s="75">
        <v>33.896999999999998</v>
      </c>
      <c r="H1118" s="88">
        <v>0.99503710000000001</v>
      </c>
      <c r="I1118" s="77">
        <v>0.98095480000000002</v>
      </c>
      <c r="J1118" s="15">
        <v>65.855000000000004</v>
      </c>
      <c r="R1118" s="53">
        <v>476.22</v>
      </c>
      <c r="S1118" s="76">
        <v>5.066554E-3</v>
      </c>
      <c r="T1118" s="138">
        <v>9.6482604999999999E-2</v>
      </c>
    </row>
    <row r="1119" spans="5:20">
      <c r="E1119" s="130">
        <v>0.99965000000000004</v>
      </c>
      <c r="F1119" s="77">
        <v>0.99692000000000003</v>
      </c>
      <c r="G1119" s="75">
        <v>33.898000000000003</v>
      </c>
      <c r="H1119" s="88">
        <v>0.99502599999999997</v>
      </c>
      <c r="I1119" s="77">
        <v>0.98093509999999995</v>
      </c>
      <c r="J1119" s="15">
        <v>65.855999999999995</v>
      </c>
      <c r="R1119" s="53">
        <v>476.23</v>
      </c>
      <c r="S1119" s="76">
        <v>5.052165E-3</v>
      </c>
      <c r="T1119" s="138">
        <v>9.6228875000000005E-2</v>
      </c>
    </row>
    <row r="1120" spans="5:20">
      <c r="E1120" s="130">
        <v>0.99963999999999997</v>
      </c>
      <c r="F1120" s="77">
        <v>0.99689000000000005</v>
      </c>
      <c r="G1120" s="75">
        <v>33.899000000000001</v>
      </c>
      <c r="H1120" s="88">
        <v>0.99501490000000004</v>
      </c>
      <c r="I1120" s="77">
        <v>0.98091530000000005</v>
      </c>
      <c r="J1120" s="15">
        <v>65.856999999999999</v>
      </c>
      <c r="R1120" s="53">
        <v>476.24</v>
      </c>
      <c r="S1120" s="76">
        <v>5.0377794999999998E-3</v>
      </c>
      <c r="T1120" s="138">
        <v>9.5975089999999999E-2</v>
      </c>
    </row>
    <row r="1121" spans="5:20">
      <c r="E1121" s="130">
        <v>0.99963999999999997</v>
      </c>
      <c r="F1121" s="77">
        <v>0.99685000000000001</v>
      </c>
      <c r="G1121" s="75">
        <v>33.9</v>
      </c>
      <c r="H1121" s="88">
        <v>0.99500379999999999</v>
      </c>
      <c r="I1121" s="77">
        <v>0.98089550000000003</v>
      </c>
      <c r="J1121" s="15">
        <v>65.858000000000004</v>
      </c>
      <c r="R1121" s="53">
        <v>476.25</v>
      </c>
      <c r="S1121" s="76">
        <v>5.0233975000000004E-3</v>
      </c>
      <c r="T1121" s="138">
        <v>9.5721269999999997E-2</v>
      </c>
    </row>
    <row r="1122" spans="5:20">
      <c r="E1122" s="130">
        <v>0.99963000000000002</v>
      </c>
      <c r="F1122" s="77">
        <v>0.99682000000000004</v>
      </c>
      <c r="G1122" s="75">
        <v>33.901000000000003</v>
      </c>
      <c r="H1122" s="88">
        <v>0.9949926</v>
      </c>
      <c r="I1122" s="77">
        <v>0.98087572999999995</v>
      </c>
      <c r="J1122" s="15">
        <v>65.858999999999995</v>
      </c>
      <c r="R1122" s="53">
        <v>476.26</v>
      </c>
      <c r="S1122" s="76">
        <v>5.009019E-3</v>
      </c>
      <c r="T1122" s="138">
        <v>9.5467395999999996E-2</v>
      </c>
    </row>
    <row r="1123" spans="5:20">
      <c r="E1123" s="130">
        <v>0.99963000000000002</v>
      </c>
      <c r="F1123" s="77">
        <v>0.99678999999999995</v>
      </c>
      <c r="G1123" s="75">
        <v>33.902000000000001</v>
      </c>
      <c r="H1123" s="88">
        <v>0.99498147000000003</v>
      </c>
      <c r="I1123" s="77">
        <v>0.9808559</v>
      </c>
      <c r="J1123" s="15">
        <v>65.86</v>
      </c>
      <c r="R1123" s="53">
        <v>476.27</v>
      </c>
      <c r="S1123" s="76">
        <v>4.9946443E-3</v>
      </c>
      <c r="T1123" s="138">
        <v>9.5213469999999994E-2</v>
      </c>
    </row>
    <row r="1124" spans="5:20">
      <c r="E1124" s="130">
        <v>0.99961999999999995</v>
      </c>
      <c r="F1124" s="77">
        <v>0.99675999999999998</v>
      </c>
      <c r="G1124" s="75">
        <v>33.902999999999999</v>
      </c>
      <c r="H1124" s="88">
        <v>0.99497026</v>
      </c>
      <c r="I1124" s="77">
        <v>0.98083609999999999</v>
      </c>
      <c r="J1124" s="15">
        <v>65.861000000000004</v>
      </c>
      <c r="R1124" s="53">
        <v>476.28</v>
      </c>
      <c r="S1124" s="76">
        <v>4.9802730000000003E-3</v>
      </c>
      <c r="T1124" s="138">
        <v>9.4959505E-2</v>
      </c>
    </row>
    <row r="1125" spans="5:20">
      <c r="E1125" s="130">
        <v>0.99961999999999995</v>
      </c>
      <c r="F1125" s="77">
        <v>0.99672000000000005</v>
      </c>
      <c r="G1125" s="75">
        <v>33.904000000000003</v>
      </c>
      <c r="H1125" s="88">
        <v>0.99495900000000004</v>
      </c>
      <c r="I1125" s="77">
        <v>0.98081629999999997</v>
      </c>
      <c r="J1125" s="15">
        <v>65.861999999999995</v>
      </c>
      <c r="R1125" s="53">
        <v>476.29</v>
      </c>
      <c r="S1125" s="76">
        <v>4.9659055999999998E-3</v>
      </c>
      <c r="T1125" s="138">
        <v>9.4705490000000003E-2</v>
      </c>
    </row>
    <row r="1126" spans="5:20">
      <c r="E1126" s="130">
        <v>0.99961</v>
      </c>
      <c r="F1126" s="77">
        <v>0.99668999999999996</v>
      </c>
      <c r="G1126" s="75">
        <v>33.905000000000001</v>
      </c>
      <c r="H1126" s="88">
        <v>0.99494773000000003</v>
      </c>
      <c r="I1126" s="77">
        <v>0.98079645999999998</v>
      </c>
      <c r="J1126" s="15">
        <v>65.863</v>
      </c>
      <c r="R1126" s="53">
        <v>476.3</v>
      </c>
      <c r="S1126" s="76">
        <v>4.9515412999999999E-3</v>
      </c>
      <c r="T1126" s="138">
        <v>9.4451435E-2</v>
      </c>
    </row>
    <row r="1127" spans="5:20">
      <c r="E1127" s="130">
        <v>0.99961</v>
      </c>
      <c r="F1127" s="77">
        <v>0.99665999999999999</v>
      </c>
      <c r="G1127" s="75">
        <v>33.905999999999999</v>
      </c>
      <c r="H1127" s="88">
        <v>0.99493640000000005</v>
      </c>
      <c r="I1127" s="77">
        <v>0.9807766</v>
      </c>
      <c r="J1127" s="15">
        <v>65.864000000000004</v>
      </c>
      <c r="R1127" s="53">
        <v>476.31</v>
      </c>
      <c r="S1127" s="76">
        <v>4.9371811999999998E-3</v>
      </c>
      <c r="T1127" s="138">
        <v>9.4197324999999998E-2</v>
      </c>
    </row>
    <row r="1128" spans="5:20">
      <c r="E1128" s="130">
        <v>0.99961</v>
      </c>
      <c r="F1128" s="77">
        <v>0.99661999999999995</v>
      </c>
      <c r="G1128" s="75">
        <v>33.906999999999996</v>
      </c>
      <c r="H1128" s="88">
        <v>0.99492510000000001</v>
      </c>
      <c r="I1128" s="77">
        <v>0.98075676000000001</v>
      </c>
      <c r="J1128" s="15">
        <v>65.864999999999995</v>
      </c>
      <c r="R1128" s="53">
        <v>476.32</v>
      </c>
      <c r="S1128" s="76">
        <v>4.9228244000000003E-3</v>
      </c>
      <c r="T1128" s="138">
        <v>9.3943170000000006E-2</v>
      </c>
    </row>
    <row r="1129" spans="5:20">
      <c r="E1129" s="130">
        <v>0.99960000000000004</v>
      </c>
      <c r="F1129" s="77">
        <v>0.99658999999999998</v>
      </c>
      <c r="G1129" s="75">
        <v>33.908000000000001</v>
      </c>
      <c r="H1129" s="88">
        <v>0.99491370000000001</v>
      </c>
      <c r="I1129" s="77">
        <v>0.98073690000000002</v>
      </c>
      <c r="J1129" s="15">
        <v>65.866</v>
      </c>
      <c r="R1129" s="53">
        <v>476.33</v>
      </c>
      <c r="S1129" s="76">
        <v>4.9084714000000003E-3</v>
      </c>
      <c r="T1129" s="138">
        <v>9.3688969999999996E-2</v>
      </c>
    </row>
    <row r="1130" spans="5:20">
      <c r="E1130" s="130">
        <v>0.99960000000000004</v>
      </c>
      <c r="F1130" s="77">
        <v>0.99656</v>
      </c>
      <c r="G1130" s="75">
        <v>33.908999999999999</v>
      </c>
      <c r="H1130" s="88">
        <v>0.99490230000000002</v>
      </c>
      <c r="I1130" s="77">
        <v>0.98071706000000003</v>
      </c>
      <c r="J1130" s="15">
        <v>65.867000000000004</v>
      </c>
      <c r="R1130" s="53">
        <v>476.34</v>
      </c>
      <c r="S1130" s="76">
        <v>4.8941215999999997E-3</v>
      </c>
      <c r="T1130" s="138">
        <v>9.3434719999999999E-2</v>
      </c>
    </row>
    <row r="1131" spans="5:20">
      <c r="E1131" s="130">
        <v>0.99958999999999998</v>
      </c>
      <c r="F1131" s="77">
        <v>0.99653000000000003</v>
      </c>
      <c r="G1131" s="75">
        <v>33.909999999999997</v>
      </c>
      <c r="H1131" s="88">
        <v>0.99489086999999998</v>
      </c>
      <c r="I1131" s="77">
        <v>0.98069720000000005</v>
      </c>
      <c r="J1131" s="15">
        <v>65.867999999999995</v>
      </c>
      <c r="R1131" s="53">
        <v>476.35</v>
      </c>
      <c r="S1131" s="76">
        <v>4.8797759999999997E-3</v>
      </c>
      <c r="T1131" s="138">
        <v>9.3180424999999997E-2</v>
      </c>
    </row>
    <row r="1132" spans="5:20">
      <c r="E1132" s="130">
        <v>0.99958999999999998</v>
      </c>
      <c r="F1132" s="77">
        <v>0.99648999999999999</v>
      </c>
      <c r="G1132" s="75">
        <v>33.911000000000001</v>
      </c>
      <c r="H1132" s="88">
        <v>0.99487935999999999</v>
      </c>
      <c r="I1132" s="77">
        <v>0.98067729999999997</v>
      </c>
      <c r="J1132" s="15">
        <v>65.869</v>
      </c>
      <c r="R1132" s="53">
        <v>476.36</v>
      </c>
      <c r="S1132" s="76">
        <v>4.8654335999999999E-3</v>
      </c>
      <c r="T1132" s="138">
        <v>9.2926085000000005E-2</v>
      </c>
    </row>
    <row r="1133" spans="5:20">
      <c r="E1133" s="130">
        <v>0.99958000000000002</v>
      </c>
      <c r="F1133" s="77">
        <v>0.99646000000000001</v>
      </c>
      <c r="G1133" s="75">
        <v>33.911999999999999</v>
      </c>
      <c r="H1133" s="88">
        <v>0.99486786000000005</v>
      </c>
      <c r="I1133" s="77">
        <v>0.98065745999999998</v>
      </c>
      <c r="J1133" s="15">
        <v>65.87</v>
      </c>
      <c r="R1133" s="53">
        <v>476.37</v>
      </c>
      <c r="S1133" s="76">
        <v>4.8510949999999997E-3</v>
      </c>
      <c r="T1133" s="138">
        <v>9.2671699999999996E-2</v>
      </c>
    </row>
    <row r="1134" spans="5:20">
      <c r="E1134" s="130">
        <v>0.99958000000000002</v>
      </c>
      <c r="F1134" s="77">
        <v>0.99643000000000004</v>
      </c>
      <c r="G1134" s="75">
        <v>33.912999999999997</v>
      </c>
      <c r="H1134" s="88">
        <v>0.99485636</v>
      </c>
      <c r="I1134" s="77">
        <v>0.98063754999999997</v>
      </c>
      <c r="J1134" s="15">
        <v>65.870999999999995</v>
      </c>
      <c r="R1134" s="53">
        <v>476.38</v>
      </c>
      <c r="S1134" s="76">
        <v>4.8367595000000001E-3</v>
      </c>
      <c r="T1134" s="138">
        <v>9.2417260000000001E-2</v>
      </c>
    </row>
    <row r="1135" spans="5:20">
      <c r="E1135" s="130">
        <v>0.99956999999999996</v>
      </c>
      <c r="F1135" s="77">
        <v>0.99639999999999995</v>
      </c>
      <c r="G1135" s="75">
        <v>33.914000000000001</v>
      </c>
      <c r="H1135" s="88">
        <v>0.99484479999999997</v>
      </c>
      <c r="I1135" s="77">
        <v>0.98061763999999996</v>
      </c>
      <c r="J1135" s="15">
        <v>65.872</v>
      </c>
      <c r="R1135" s="53">
        <v>476.39</v>
      </c>
      <c r="S1135" s="76">
        <v>4.8224282999999998E-3</v>
      </c>
      <c r="T1135" s="138">
        <v>9.2162789999999994E-2</v>
      </c>
    </row>
    <row r="1136" spans="5:20">
      <c r="E1136" s="130">
        <v>0.99956999999999996</v>
      </c>
      <c r="F1136" s="77">
        <v>0.99636000000000002</v>
      </c>
      <c r="G1136" s="75">
        <v>33.914999999999999</v>
      </c>
      <c r="H1136" s="88">
        <v>0.99483319999999997</v>
      </c>
      <c r="I1136" s="77">
        <v>0.98059772999999995</v>
      </c>
      <c r="J1136" s="15">
        <v>65.873000000000005</v>
      </c>
      <c r="R1136" s="53">
        <v>476.4</v>
      </c>
      <c r="S1136" s="76">
        <v>4.8081004000000002E-3</v>
      </c>
      <c r="T1136" s="138">
        <v>9.1908253999999995E-2</v>
      </c>
    </row>
    <row r="1137" spans="5:20">
      <c r="E1137" s="130">
        <v>0.99956999999999996</v>
      </c>
      <c r="F1137" s="77">
        <v>0.99633000000000005</v>
      </c>
      <c r="G1137" s="75">
        <v>33.915999999999997</v>
      </c>
      <c r="H1137" s="88">
        <v>0.99482155000000005</v>
      </c>
      <c r="I1137" s="77">
        <v>0.98057780000000005</v>
      </c>
      <c r="J1137" s="15">
        <v>65.873999999999995</v>
      </c>
      <c r="R1137" s="53">
        <v>476.41</v>
      </c>
      <c r="S1137" s="76">
        <v>4.7937756999999999E-3</v>
      </c>
      <c r="T1137" s="138">
        <v>9.1653680000000001E-2</v>
      </c>
    </row>
    <row r="1138" spans="5:20">
      <c r="E1138" s="130">
        <v>0.99956</v>
      </c>
      <c r="F1138" s="77">
        <v>0.99629999999999996</v>
      </c>
      <c r="G1138" s="75">
        <v>33.917000000000002</v>
      </c>
      <c r="H1138" s="88">
        <v>0.99480986999999998</v>
      </c>
      <c r="I1138" s="77">
        <v>0.98055786</v>
      </c>
      <c r="J1138" s="15">
        <v>65.875</v>
      </c>
      <c r="R1138" s="53">
        <v>476.42</v>
      </c>
      <c r="S1138" s="76">
        <v>4.7794552999999998E-3</v>
      </c>
      <c r="T1138" s="138">
        <v>9.1399060000000004E-2</v>
      </c>
    </row>
    <row r="1139" spans="5:20">
      <c r="E1139" s="130">
        <v>0.99956</v>
      </c>
      <c r="F1139" s="77">
        <v>0.99626000000000003</v>
      </c>
      <c r="G1139" s="75">
        <v>33.917999999999999</v>
      </c>
      <c r="H1139" s="88">
        <v>0.99479819999999997</v>
      </c>
      <c r="I1139" s="77">
        <v>0.98053794999999999</v>
      </c>
      <c r="J1139" s="15">
        <v>65.876000000000005</v>
      </c>
      <c r="R1139" s="53">
        <v>476.43</v>
      </c>
      <c r="S1139" s="76">
        <v>4.7651380000000004E-3</v>
      </c>
      <c r="T1139" s="138">
        <v>9.1144390000000006E-2</v>
      </c>
    </row>
    <row r="1140" spans="5:20">
      <c r="E1140" s="130">
        <v>0.99955000000000005</v>
      </c>
      <c r="F1140" s="77">
        <v>0.99622999999999995</v>
      </c>
      <c r="G1140" s="75">
        <v>33.918999999999997</v>
      </c>
      <c r="H1140" s="88">
        <v>0.99478644000000005</v>
      </c>
      <c r="I1140" s="77">
        <v>0.980518</v>
      </c>
      <c r="J1140" s="15">
        <v>65.876999999999995</v>
      </c>
      <c r="R1140" s="53">
        <v>476.44</v>
      </c>
      <c r="S1140" s="76">
        <v>4.7508244999999996E-3</v>
      </c>
      <c r="T1140" s="138">
        <v>9.088968E-2</v>
      </c>
    </row>
    <row r="1141" spans="5:20">
      <c r="E1141" s="130">
        <v>0.99955000000000005</v>
      </c>
      <c r="F1141" s="77">
        <v>0.99619999999999997</v>
      </c>
      <c r="G1141" s="75">
        <v>33.92</v>
      </c>
      <c r="H1141" s="88">
        <v>0.99477470000000001</v>
      </c>
      <c r="I1141" s="77">
        <v>0.98049810000000004</v>
      </c>
      <c r="J1141" s="15">
        <v>65.878</v>
      </c>
      <c r="R1141" s="53">
        <v>476.45</v>
      </c>
      <c r="S1141" s="76">
        <v>4.7365143000000004E-3</v>
      </c>
      <c r="T1141" s="138">
        <v>9.0634919999999994E-2</v>
      </c>
    </row>
    <row r="1142" spans="5:20">
      <c r="E1142" s="130">
        <v>0.99953999999999998</v>
      </c>
      <c r="F1142" s="77">
        <v>0.99617</v>
      </c>
      <c r="G1142" s="75">
        <v>33.920999999999999</v>
      </c>
      <c r="H1142" s="88">
        <v>0.99476290000000001</v>
      </c>
      <c r="I1142" s="77">
        <v>0.98047810000000002</v>
      </c>
      <c r="J1142" s="15">
        <v>65.879000000000005</v>
      </c>
      <c r="R1142" s="53">
        <v>476.46</v>
      </c>
      <c r="S1142" s="76">
        <v>4.7222080000000003E-3</v>
      </c>
      <c r="T1142" s="138">
        <v>9.038011E-2</v>
      </c>
    </row>
    <row r="1143" spans="5:20">
      <c r="E1143" s="130">
        <v>0.99953999999999998</v>
      </c>
      <c r="F1143" s="77">
        <v>0.99612999999999996</v>
      </c>
      <c r="G1143" s="75">
        <v>33.921999999999997</v>
      </c>
      <c r="H1143" s="88">
        <v>0.99475104000000003</v>
      </c>
      <c r="I1143" s="77">
        <v>0.98045813999999998</v>
      </c>
      <c r="J1143" s="15">
        <v>65.88</v>
      </c>
      <c r="R1143" s="53">
        <v>476.47</v>
      </c>
      <c r="S1143" s="76">
        <v>4.7079050000000001E-3</v>
      </c>
      <c r="T1143" s="138">
        <v>9.0125255000000001E-2</v>
      </c>
    </row>
    <row r="1144" spans="5:20">
      <c r="E1144" s="130">
        <v>0.99953000000000003</v>
      </c>
      <c r="F1144" s="77">
        <v>0.99609999999999999</v>
      </c>
      <c r="G1144" s="75">
        <v>33.923000000000002</v>
      </c>
      <c r="H1144" s="88">
        <v>0.99473920000000005</v>
      </c>
      <c r="I1144" s="77">
        <v>0.98043820000000004</v>
      </c>
      <c r="J1144" s="15">
        <v>65.881</v>
      </c>
      <c r="R1144" s="53">
        <v>476.48</v>
      </c>
      <c r="S1144" s="76">
        <v>4.6936054999999997E-3</v>
      </c>
      <c r="T1144" s="138">
        <v>8.9870355999999998E-2</v>
      </c>
    </row>
    <row r="1145" spans="5:20">
      <c r="E1145" s="130">
        <v>0.99953000000000003</v>
      </c>
      <c r="F1145" s="77">
        <v>0.99607000000000001</v>
      </c>
      <c r="G1145" s="75">
        <v>33.923999999999999</v>
      </c>
      <c r="H1145" s="88">
        <v>0.99472729999999998</v>
      </c>
      <c r="I1145" s="77">
        <v>0.98041814999999999</v>
      </c>
      <c r="J1145" s="15">
        <v>65.882000000000005</v>
      </c>
      <c r="R1145" s="53">
        <v>476.49</v>
      </c>
      <c r="S1145" s="76">
        <v>4.6793097000000002E-3</v>
      </c>
      <c r="T1145" s="138">
        <v>8.9615404999999995E-2</v>
      </c>
    </row>
    <row r="1146" spans="5:20">
      <c r="E1146" s="130">
        <v>0.99951999999999996</v>
      </c>
      <c r="F1146" s="77">
        <v>0.99602999999999997</v>
      </c>
      <c r="G1146" s="75">
        <v>33.924999999999997</v>
      </c>
      <c r="H1146" s="88">
        <v>0.99471533000000001</v>
      </c>
      <c r="I1146" s="77">
        <v>0.9803982</v>
      </c>
      <c r="J1146" s="15">
        <v>65.882999999999996</v>
      </c>
      <c r="R1146" s="53">
        <v>476.5</v>
      </c>
      <c r="S1146" s="76">
        <v>4.6650175999999998E-3</v>
      </c>
      <c r="T1146" s="138">
        <v>8.9360410000000001E-2</v>
      </c>
    </row>
    <row r="1147" spans="5:20">
      <c r="E1147" s="130">
        <v>0.99951999999999996</v>
      </c>
      <c r="F1147" s="77">
        <v>0.996</v>
      </c>
      <c r="G1147" s="75">
        <v>33.926000000000002</v>
      </c>
      <c r="H1147" s="88">
        <v>0.99470340000000002</v>
      </c>
      <c r="I1147" s="77">
        <v>0.98037814999999995</v>
      </c>
      <c r="J1147" s="15">
        <v>65.884</v>
      </c>
      <c r="R1147" s="53">
        <v>476.51</v>
      </c>
      <c r="S1147" s="76">
        <v>4.6507292000000002E-3</v>
      </c>
      <c r="T1147" s="138">
        <v>8.9105370000000003E-2</v>
      </c>
    </row>
    <row r="1148" spans="5:20">
      <c r="E1148" s="130">
        <v>0.99951000000000001</v>
      </c>
      <c r="F1148" s="77">
        <v>0.99597000000000002</v>
      </c>
      <c r="G1148" s="75">
        <v>33.927</v>
      </c>
      <c r="H1148" s="88">
        <v>0.9946914</v>
      </c>
      <c r="I1148" s="77">
        <v>0.98035819999999996</v>
      </c>
      <c r="J1148" s="15">
        <v>65.885000000000005</v>
      </c>
      <c r="R1148" s="53">
        <v>476.52</v>
      </c>
      <c r="S1148" s="76">
        <v>4.636444E-3</v>
      </c>
      <c r="T1148" s="138">
        <v>8.8850280000000004E-2</v>
      </c>
    </row>
    <row r="1149" spans="5:20">
      <c r="E1149" s="130">
        <v>0.99951000000000001</v>
      </c>
      <c r="F1149" s="77">
        <v>0.99594000000000005</v>
      </c>
      <c r="G1149" s="75">
        <v>33.927999999999997</v>
      </c>
      <c r="H1149" s="88">
        <v>0.99467932999999997</v>
      </c>
      <c r="I1149" s="77">
        <v>0.98033815999999996</v>
      </c>
      <c r="J1149" s="15">
        <v>65.885999999999996</v>
      </c>
      <c r="R1149" s="53">
        <v>476.53</v>
      </c>
      <c r="S1149" s="76">
        <v>4.6221630000000003E-3</v>
      </c>
      <c r="T1149" s="138">
        <v>8.8595144000000001E-2</v>
      </c>
    </row>
    <row r="1150" spans="5:20">
      <c r="E1150" s="130">
        <v>0.99951000000000001</v>
      </c>
      <c r="F1150" s="77">
        <v>0.99590000000000001</v>
      </c>
      <c r="G1150" s="75">
        <v>33.929000000000002</v>
      </c>
      <c r="H1150" s="88">
        <v>0.99466730000000003</v>
      </c>
      <c r="I1150" s="77">
        <v>0.98031809999999997</v>
      </c>
      <c r="J1150" s="15">
        <v>65.887</v>
      </c>
      <c r="R1150" s="53">
        <v>476.54</v>
      </c>
      <c r="S1150" s="76">
        <v>4.6078847000000003E-3</v>
      </c>
      <c r="T1150" s="138">
        <v>8.8339959999999995E-2</v>
      </c>
    </row>
    <row r="1151" spans="5:20" ht="15" thickBot="1">
      <c r="E1151" s="131">
        <v>0.99950000000000006</v>
      </c>
      <c r="F1151" s="129">
        <v>0.99587000000000003</v>
      </c>
      <c r="G1151" s="81">
        <v>33.93</v>
      </c>
      <c r="H1151" s="88">
        <v>0.99465513000000005</v>
      </c>
      <c r="I1151" s="77">
        <v>0.98029803999999998</v>
      </c>
      <c r="J1151" s="15">
        <v>65.888000000000005</v>
      </c>
      <c r="R1151" s="53">
        <v>476.55</v>
      </c>
      <c r="S1151" s="76">
        <v>4.5936103000000002E-3</v>
      </c>
      <c r="T1151" s="138">
        <v>8.8084734999999997E-2</v>
      </c>
    </row>
    <row r="1152" spans="5:20">
      <c r="H1152" s="88">
        <v>0.99464302999999998</v>
      </c>
      <c r="I1152" s="77">
        <v>0.98027799999999998</v>
      </c>
      <c r="J1152" s="15">
        <v>65.888999999999996</v>
      </c>
      <c r="R1152" s="53">
        <v>476.56</v>
      </c>
      <c r="S1152" s="76">
        <v>4.5793396000000002E-3</v>
      </c>
      <c r="T1152" s="138">
        <v>8.7829459999999998E-2</v>
      </c>
    </row>
    <row r="1153" spans="8:20">
      <c r="H1153" s="88">
        <v>0.99463080000000004</v>
      </c>
      <c r="I1153" s="77">
        <v>0.98025799999999996</v>
      </c>
      <c r="J1153" s="15">
        <v>65.89</v>
      </c>
      <c r="R1153" s="53">
        <v>476.57</v>
      </c>
      <c r="S1153" s="76">
        <v>4.5650721999999999E-3</v>
      </c>
      <c r="T1153" s="138">
        <v>8.7574139999999995E-2</v>
      </c>
    </row>
    <row r="1154" spans="8:20">
      <c r="H1154" s="88">
        <v>0.99461860000000002</v>
      </c>
      <c r="I1154" s="77">
        <v>0.9802379</v>
      </c>
      <c r="J1154" s="15">
        <v>65.891000000000005</v>
      </c>
      <c r="R1154" s="53">
        <v>476.58</v>
      </c>
      <c r="S1154" s="76">
        <v>4.5508086000000001E-3</v>
      </c>
      <c r="T1154" s="138">
        <v>8.7318770000000004E-2</v>
      </c>
    </row>
    <row r="1155" spans="8:20">
      <c r="H1155" s="88">
        <v>0.9946064</v>
      </c>
      <c r="I1155" s="77">
        <v>0.98021780000000003</v>
      </c>
      <c r="J1155" s="15">
        <v>65.891999999999996</v>
      </c>
      <c r="R1155" s="53">
        <v>476.59</v>
      </c>
      <c r="S1155" s="76">
        <v>4.5365479999999996E-3</v>
      </c>
      <c r="T1155" s="138">
        <v>8.7063360000000006E-2</v>
      </c>
    </row>
    <row r="1156" spans="8:20">
      <c r="H1156" s="88">
        <v>0.99459410000000004</v>
      </c>
      <c r="I1156" s="77">
        <v>0.98019769999999995</v>
      </c>
      <c r="J1156" s="15">
        <v>65.893000000000001</v>
      </c>
      <c r="R1156" s="53">
        <v>476.6</v>
      </c>
      <c r="S1156" s="76">
        <v>4.5222915000000001E-3</v>
      </c>
      <c r="T1156" s="138">
        <v>8.6807889999999999E-2</v>
      </c>
    </row>
    <row r="1157" spans="8:20">
      <c r="H1157" s="88">
        <v>0.99458175999999998</v>
      </c>
      <c r="I1157" s="77">
        <v>0.98017763999999996</v>
      </c>
      <c r="J1157" s="15">
        <v>65.894000000000005</v>
      </c>
      <c r="R1157" s="53">
        <v>476.61</v>
      </c>
      <c r="S1157" s="76">
        <v>4.5080385000000004E-3</v>
      </c>
      <c r="T1157" s="138">
        <v>8.6552390000000007E-2</v>
      </c>
    </row>
    <row r="1158" spans="8:20">
      <c r="H1158" s="88">
        <v>0.99456935999999996</v>
      </c>
      <c r="I1158" s="77">
        <v>0.98015755000000004</v>
      </c>
      <c r="J1158" s="15">
        <v>65.894999999999996</v>
      </c>
      <c r="R1158" s="53">
        <v>476.62</v>
      </c>
      <c r="S1158" s="76">
        <v>4.4937889999999998E-3</v>
      </c>
      <c r="T1158" s="138">
        <v>8.6296830000000005E-2</v>
      </c>
    </row>
    <row r="1159" spans="8:20">
      <c r="H1159" s="88">
        <v>0.99455696000000005</v>
      </c>
      <c r="I1159" s="77">
        <v>0.98013740000000005</v>
      </c>
      <c r="J1159" s="15">
        <v>65.896000000000001</v>
      </c>
      <c r="R1159" s="53">
        <v>476.63</v>
      </c>
      <c r="S1159" s="76">
        <v>4.4795429999999999E-3</v>
      </c>
      <c r="T1159" s="138">
        <v>8.6041229999999996E-2</v>
      </c>
    </row>
    <row r="1160" spans="8:20">
      <c r="H1160" s="88">
        <v>0.99454456999999996</v>
      </c>
      <c r="I1160" s="77">
        <v>0.98011729999999997</v>
      </c>
      <c r="J1160" s="15">
        <v>65.897000000000006</v>
      </c>
      <c r="R1160" s="53">
        <v>476.64</v>
      </c>
      <c r="S1160" s="76">
        <v>4.4653006000000004E-3</v>
      </c>
      <c r="T1160" s="138">
        <v>8.578558E-2</v>
      </c>
    </row>
    <row r="1161" spans="8:20">
      <c r="H1161" s="88">
        <v>0.99453210000000003</v>
      </c>
      <c r="I1161" s="77">
        <v>0.9800972</v>
      </c>
      <c r="J1161" s="15">
        <v>65.897999999999996</v>
      </c>
      <c r="R1161" s="53">
        <v>476.65</v>
      </c>
      <c r="S1161" s="76">
        <v>4.4510616000000003E-3</v>
      </c>
      <c r="T1161" s="138">
        <v>8.5529885999999999E-2</v>
      </c>
    </row>
    <row r="1162" spans="8:20">
      <c r="H1162" s="88">
        <v>0.99451959999999995</v>
      </c>
      <c r="I1162" s="77">
        <v>0.98007699999999998</v>
      </c>
      <c r="J1162" s="15">
        <v>65.899000000000001</v>
      </c>
      <c r="R1162" s="53">
        <v>476.66</v>
      </c>
      <c r="S1162" s="76">
        <v>4.4368263000000002E-3</v>
      </c>
      <c r="T1162" s="138">
        <v>8.5274144999999996E-2</v>
      </c>
    </row>
    <row r="1163" spans="8:20">
      <c r="H1163" s="88">
        <v>0.99450700000000003</v>
      </c>
      <c r="I1163" s="77">
        <v>0.98005690000000001</v>
      </c>
      <c r="J1163" s="15">
        <v>65.900000000000006</v>
      </c>
      <c r="R1163" s="53">
        <v>476.67</v>
      </c>
      <c r="S1163" s="76">
        <v>4.4225942999999998E-3</v>
      </c>
      <c r="T1163" s="138">
        <v>8.5018350000000006E-2</v>
      </c>
    </row>
    <row r="1164" spans="8:20">
      <c r="H1164" s="88">
        <v>0.99449443999999998</v>
      </c>
      <c r="I1164" s="77">
        <v>0.98003673999999996</v>
      </c>
      <c r="J1164" s="15">
        <v>65.900999999999996</v>
      </c>
      <c r="R1164" s="53">
        <v>476.68</v>
      </c>
      <c r="S1164" s="76">
        <v>4.4083660000000004E-3</v>
      </c>
      <c r="T1164" s="138">
        <v>8.4762519999999994E-2</v>
      </c>
    </row>
    <row r="1165" spans="8:20">
      <c r="H1165" s="88">
        <v>0.99448179999999997</v>
      </c>
      <c r="I1165" s="77">
        <v>0.98001660000000002</v>
      </c>
      <c r="J1165" s="15">
        <v>65.902000000000001</v>
      </c>
      <c r="R1165" s="53">
        <v>476.69</v>
      </c>
      <c r="S1165" s="76">
        <v>4.3941409999999998E-3</v>
      </c>
      <c r="T1165" s="138">
        <v>8.4506639999999994E-2</v>
      </c>
    </row>
    <row r="1166" spans="8:20">
      <c r="H1166" s="88">
        <v>0.99446917000000001</v>
      </c>
      <c r="I1166" s="77">
        <v>0.97999639999999999</v>
      </c>
      <c r="J1166" s="15">
        <v>65.903000000000006</v>
      </c>
      <c r="R1166" s="53">
        <v>476.7</v>
      </c>
      <c r="S1166" s="76">
        <v>4.3799197000000002E-3</v>
      </c>
      <c r="T1166" s="138">
        <v>8.4250710000000006E-2</v>
      </c>
    </row>
    <row r="1167" spans="8:20">
      <c r="H1167" s="88">
        <v>0.99445647000000004</v>
      </c>
      <c r="I1167" s="77">
        <v>0.97997624000000005</v>
      </c>
      <c r="J1167" s="15">
        <v>65.903999999999996</v>
      </c>
      <c r="R1167" s="53">
        <v>476.71</v>
      </c>
      <c r="S1167" s="76">
        <v>4.365702E-3</v>
      </c>
      <c r="T1167" s="138">
        <v>8.3994730000000004E-2</v>
      </c>
    </row>
    <row r="1168" spans="8:20">
      <c r="H1168" s="88">
        <v>0.99444370000000004</v>
      </c>
      <c r="I1168" s="77">
        <v>0.97995602999999998</v>
      </c>
      <c r="J1168" s="15">
        <v>65.905000000000001</v>
      </c>
      <c r="R1168" s="53">
        <v>476.72</v>
      </c>
      <c r="S1168" s="76">
        <v>4.3514879999999997E-3</v>
      </c>
      <c r="T1168" s="138">
        <v>8.3738709999999994E-2</v>
      </c>
    </row>
    <row r="1169" spans="8:20">
      <c r="H1169" s="88">
        <v>0.99443095999999997</v>
      </c>
      <c r="I1169" s="77">
        <v>0.97993580000000002</v>
      </c>
      <c r="J1169" s="15">
        <v>65.906000000000006</v>
      </c>
      <c r="R1169" s="53">
        <v>476.73</v>
      </c>
      <c r="S1169" s="76">
        <v>4.3372769999999996E-3</v>
      </c>
      <c r="T1169" s="138">
        <v>8.3482639999999997E-2</v>
      </c>
    </row>
    <row r="1170" spans="8:20">
      <c r="H1170" s="88">
        <v>0.99441813999999995</v>
      </c>
      <c r="I1170" s="77">
        <v>0.9799156</v>
      </c>
      <c r="J1170" s="15">
        <v>65.906999999999996</v>
      </c>
      <c r="R1170" s="53">
        <v>476.74</v>
      </c>
      <c r="S1170" s="76">
        <v>4.3230695000000003E-3</v>
      </c>
      <c r="T1170" s="138">
        <v>8.3226523999999996E-2</v>
      </c>
    </row>
    <row r="1171" spans="8:20">
      <c r="H1171" s="88">
        <v>0.99440527000000001</v>
      </c>
      <c r="I1171" s="77">
        <v>0.97989535000000005</v>
      </c>
      <c r="J1171" s="15">
        <v>65.908000000000001</v>
      </c>
      <c r="R1171" s="53">
        <v>476.75</v>
      </c>
      <c r="S1171" s="76">
        <v>4.3088659999999997E-3</v>
      </c>
      <c r="T1171" s="138">
        <v>8.2970366000000004E-2</v>
      </c>
    </row>
    <row r="1172" spans="8:20">
      <c r="H1172" s="88">
        <v>0.99439239999999995</v>
      </c>
      <c r="I1172" s="77">
        <v>0.97987515000000003</v>
      </c>
      <c r="J1172" s="15">
        <v>65.909000000000006</v>
      </c>
      <c r="R1172" s="53">
        <v>476.76</v>
      </c>
      <c r="S1172" s="76">
        <v>4.2946655000000002E-3</v>
      </c>
      <c r="T1172" s="138">
        <v>8.2714154999999998E-2</v>
      </c>
    </row>
    <row r="1173" spans="8:20">
      <c r="H1173" s="88">
        <v>0.99437945999999999</v>
      </c>
      <c r="I1173" s="77">
        <v>0.97985489999999997</v>
      </c>
      <c r="J1173" s="15">
        <v>65.91</v>
      </c>
      <c r="R1173" s="53">
        <v>476.77</v>
      </c>
      <c r="S1173" s="76">
        <v>4.2804690000000003E-3</v>
      </c>
      <c r="T1173" s="138">
        <v>8.2457900000000001E-2</v>
      </c>
    </row>
    <row r="1174" spans="8:20">
      <c r="H1174" s="88">
        <v>0.99436647</v>
      </c>
      <c r="I1174" s="77">
        <v>0.9798346</v>
      </c>
      <c r="J1174" s="15">
        <v>65.911000000000001</v>
      </c>
      <c r="R1174" s="53">
        <v>476.78</v>
      </c>
      <c r="S1174" s="76">
        <v>4.2662756000000001E-3</v>
      </c>
      <c r="T1174" s="138">
        <v>8.22016E-2</v>
      </c>
    </row>
    <row r="1175" spans="8:20">
      <c r="H1175" s="88">
        <v>0.9943535</v>
      </c>
      <c r="I1175" s="77">
        <v>0.97981439999999997</v>
      </c>
      <c r="J1175" s="15">
        <v>65.912000000000006</v>
      </c>
      <c r="R1175" s="53">
        <v>476.79</v>
      </c>
      <c r="S1175" s="76">
        <v>4.2520860000000004E-3</v>
      </c>
      <c r="T1175" s="138">
        <v>8.1945249999999997E-2</v>
      </c>
    </row>
    <row r="1176" spans="8:20">
      <c r="H1176" s="88">
        <v>0.99434040000000001</v>
      </c>
      <c r="I1176" s="77">
        <v>0.9797941</v>
      </c>
      <c r="J1176" s="15">
        <v>65.912999999999997</v>
      </c>
      <c r="R1176" s="53">
        <v>476.8</v>
      </c>
      <c r="S1176" s="76">
        <v>4.2378996E-3</v>
      </c>
      <c r="T1176" s="138">
        <v>8.1688849999999993E-2</v>
      </c>
    </row>
    <row r="1177" spans="8:20">
      <c r="H1177" s="88">
        <v>0.99432737000000004</v>
      </c>
      <c r="I1177" s="77">
        <v>0.97977380000000003</v>
      </c>
      <c r="J1177" s="15">
        <v>65.914000000000001</v>
      </c>
      <c r="R1177" s="53">
        <v>476.81</v>
      </c>
      <c r="S1177" s="76">
        <v>4.2237170000000001E-3</v>
      </c>
      <c r="T1177" s="138">
        <v>8.1432409999999997E-2</v>
      </c>
    </row>
    <row r="1178" spans="8:20">
      <c r="H1178" s="88">
        <v>0.99431420000000004</v>
      </c>
      <c r="I1178" s="77">
        <v>0.97975354999999997</v>
      </c>
      <c r="J1178" s="15">
        <v>65.915000000000006</v>
      </c>
      <c r="R1178" s="53">
        <v>476.82</v>
      </c>
      <c r="S1178" s="76">
        <v>4.2095379999999996E-3</v>
      </c>
      <c r="T1178" s="138">
        <v>8.1175919999999999E-2</v>
      </c>
    </row>
    <row r="1179" spans="8:20">
      <c r="H1179" s="88">
        <v>0.99430099999999999</v>
      </c>
      <c r="I1179" s="77">
        <v>0.97973319999999997</v>
      </c>
      <c r="J1179" s="15">
        <v>65.915999999999997</v>
      </c>
      <c r="R1179" s="53">
        <v>476.83</v>
      </c>
      <c r="S1179" s="76">
        <v>4.1953620000000002E-3</v>
      </c>
      <c r="T1179" s="138">
        <v>8.0919384999999996E-2</v>
      </c>
    </row>
    <row r="1180" spans="8:20">
      <c r="H1180" s="88">
        <v>0.99428784999999997</v>
      </c>
      <c r="I1180" s="77">
        <v>0.9797129</v>
      </c>
      <c r="J1180" s="15">
        <v>65.917000000000002</v>
      </c>
      <c r="R1180" s="53">
        <v>476.84</v>
      </c>
      <c r="S1180" s="76">
        <v>4.1811900000000004E-3</v>
      </c>
      <c r="T1180" s="138">
        <v>8.0662800000000007E-2</v>
      </c>
    </row>
    <row r="1181" spans="8:20">
      <c r="H1181" s="88">
        <v>0.99427456000000003</v>
      </c>
      <c r="I1181" s="77">
        <v>0.97969260000000002</v>
      </c>
      <c r="J1181" s="15">
        <v>65.918000000000006</v>
      </c>
      <c r="R1181" s="53">
        <v>476.85</v>
      </c>
      <c r="S1181" s="76">
        <v>4.1670212999999996E-3</v>
      </c>
      <c r="T1181" s="138">
        <v>8.0406173999999997E-2</v>
      </c>
    </row>
    <row r="1182" spans="8:20">
      <c r="H1182" s="88">
        <v>0.99426126000000004</v>
      </c>
      <c r="I1182" s="77">
        <v>0.97967225000000002</v>
      </c>
      <c r="J1182" s="15">
        <v>65.918999999999997</v>
      </c>
      <c r="R1182" s="53">
        <v>476.86</v>
      </c>
      <c r="S1182" s="76">
        <v>4.1528559999999999E-3</v>
      </c>
      <c r="T1182" s="138">
        <v>8.0149499999999999E-2</v>
      </c>
    </row>
    <row r="1183" spans="8:20">
      <c r="H1183" s="88">
        <v>0.99424789999999996</v>
      </c>
      <c r="I1183" s="77">
        <v>0.97965190000000002</v>
      </c>
      <c r="J1183" s="15">
        <v>65.92</v>
      </c>
      <c r="R1183" s="53">
        <v>476.87</v>
      </c>
      <c r="S1183" s="76">
        <v>4.1386940000000001E-3</v>
      </c>
      <c r="T1183" s="138">
        <v>7.9892779999999997E-2</v>
      </c>
    </row>
    <row r="1184" spans="8:20">
      <c r="H1184" s="88">
        <v>0.99423455999999999</v>
      </c>
      <c r="I1184" s="77">
        <v>0.97963160000000005</v>
      </c>
      <c r="J1184" s="15">
        <v>65.921000000000006</v>
      </c>
      <c r="R1184" s="53">
        <v>476.88</v>
      </c>
      <c r="S1184" s="76">
        <v>4.1245357000000002E-3</v>
      </c>
      <c r="T1184" s="138">
        <v>7.9636009999999993E-2</v>
      </c>
    </row>
    <row r="1185" spans="8:20">
      <c r="H1185" s="88">
        <v>0.99422115</v>
      </c>
      <c r="I1185" s="77">
        <v>0.97961120000000002</v>
      </c>
      <c r="J1185" s="15">
        <v>65.921999999999997</v>
      </c>
      <c r="R1185" s="53">
        <v>476.89</v>
      </c>
      <c r="S1185" s="76">
        <v>4.1103809999999998E-3</v>
      </c>
      <c r="T1185" s="138">
        <v>7.9379190000000002E-2</v>
      </c>
    </row>
    <row r="1186" spans="8:20">
      <c r="H1186" s="88">
        <v>0.99420770000000003</v>
      </c>
      <c r="I1186" s="77">
        <v>0.97959083000000002</v>
      </c>
      <c r="J1186" s="15">
        <v>65.923000000000002</v>
      </c>
      <c r="R1186" s="53">
        <v>476.9</v>
      </c>
      <c r="S1186" s="76">
        <v>4.0962296E-3</v>
      </c>
      <c r="T1186" s="138">
        <v>7.9122335000000002E-2</v>
      </c>
    </row>
    <row r="1187" spans="8:20">
      <c r="H1187" s="88">
        <v>0.99419420000000003</v>
      </c>
      <c r="I1187" s="77">
        <v>0.97957044999999998</v>
      </c>
      <c r="J1187" s="15">
        <v>65.924000000000007</v>
      </c>
      <c r="R1187" s="53">
        <v>476.91</v>
      </c>
      <c r="S1187" s="76">
        <v>4.0820819999999999E-3</v>
      </c>
      <c r="T1187" s="138">
        <v>7.8865424000000003E-2</v>
      </c>
    </row>
    <row r="1188" spans="8:20">
      <c r="H1188" s="88">
        <v>0.99418059999999997</v>
      </c>
      <c r="I1188" s="77">
        <v>0.97955006</v>
      </c>
      <c r="J1188" s="15">
        <v>65.924999999999997</v>
      </c>
      <c r="R1188" s="53">
        <v>476.92</v>
      </c>
      <c r="S1188" s="76">
        <v>4.0679373999999999E-3</v>
      </c>
      <c r="T1188" s="138">
        <v>7.860847E-2</v>
      </c>
    </row>
    <row r="1189" spans="8:20">
      <c r="H1189" s="88">
        <v>0.99416702999999995</v>
      </c>
      <c r="I1189" s="77">
        <v>0.97952969999999995</v>
      </c>
      <c r="J1189" s="15">
        <v>65.926000000000002</v>
      </c>
      <c r="R1189" s="53">
        <v>476.93</v>
      </c>
      <c r="S1189" s="76">
        <v>4.0537960000000001E-3</v>
      </c>
      <c r="T1189" s="138">
        <v>7.8351470000000006E-2</v>
      </c>
    </row>
    <row r="1190" spans="8:20">
      <c r="H1190" s="88">
        <v>0.99415344000000005</v>
      </c>
      <c r="I1190" s="77">
        <v>0.97950923000000001</v>
      </c>
      <c r="J1190" s="15">
        <v>65.927000000000007</v>
      </c>
      <c r="R1190" s="53">
        <v>476.94</v>
      </c>
      <c r="S1190" s="76">
        <v>4.0396586999999996E-3</v>
      </c>
      <c r="T1190" s="138">
        <v>7.8094415E-2</v>
      </c>
    </row>
    <row r="1191" spans="8:20">
      <c r="H1191" s="88">
        <v>0.99413973</v>
      </c>
      <c r="I1191" s="77">
        <v>0.97948884999999997</v>
      </c>
      <c r="J1191" s="15">
        <v>65.927999999999997</v>
      </c>
      <c r="R1191" s="53">
        <v>476.95</v>
      </c>
      <c r="S1191" s="76">
        <v>4.0255250000000003E-3</v>
      </c>
      <c r="T1191" s="138">
        <v>7.7837320000000002E-2</v>
      </c>
    </row>
    <row r="1192" spans="8:20">
      <c r="H1192" s="88">
        <v>0.99412599999999995</v>
      </c>
      <c r="I1192" s="77">
        <v>0.97946840000000002</v>
      </c>
      <c r="J1192" s="15">
        <v>65.929000000000002</v>
      </c>
      <c r="R1192" s="53">
        <v>476.96</v>
      </c>
      <c r="S1192" s="76">
        <v>4.0113945000000003E-3</v>
      </c>
      <c r="T1192" s="138">
        <v>7.7580179999999999E-2</v>
      </c>
    </row>
    <row r="1193" spans="8:20">
      <c r="H1193" s="88">
        <v>0.99411225000000003</v>
      </c>
      <c r="I1193" s="77">
        <v>0.97944796000000001</v>
      </c>
      <c r="J1193" s="15">
        <v>65.930000000000007</v>
      </c>
      <c r="R1193" s="53">
        <v>476.97</v>
      </c>
      <c r="S1193" s="76">
        <v>3.9972669999999997E-3</v>
      </c>
      <c r="T1193" s="138">
        <v>7.7322989999999994E-2</v>
      </c>
    </row>
    <row r="1194" spans="8:20">
      <c r="H1194" s="88">
        <v>0.99409840000000005</v>
      </c>
      <c r="I1194" s="77">
        <v>0.97942746000000003</v>
      </c>
      <c r="J1194" s="15">
        <v>65.930999999999997</v>
      </c>
      <c r="R1194" s="53">
        <v>476.98</v>
      </c>
      <c r="S1194" s="76">
        <v>3.9831437000000004E-3</v>
      </c>
      <c r="T1194" s="138">
        <v>7.7065750000000002E-2</v>
      </c>
    </row>
    <row r="1195" spans="8:20">
      <c r="H1195" s="88">
        <v>0.99408459999999998</v>
      </c>
      <c r="I1195" s="77">
        <v>0.97940700000000003</v>
      </c>
      <c r="J1195" s="15">
        <v>65.932000000000002</v>
      </c>
      <c r="R1195" s="53">
        <v>476.99</v>
      </c>
      <c r="S1195" s="76">
        <v>3.9690235000000001E-3</v>
      </c>
      <c r="T1195" s="138">
        <v>7.6808475000000001E-2</v>
      </c>
    </row>
    <row r="1196" spans="8:20">
      <c r="H1196" s="88">
        <v>0.99407069999999997</v>
      </c>
      <c r="I1196" s="77">
        <v>0.97938656999999996</v>
      </c>
      <c r="J1196" s="15">
        <v>65.933000000000007</v>
      </c>
      <c r="R1196" s="53">
        <v>477</v>
      </c>
      <c r="S1196" s="76">
        <v>3.9549069999999997E-3</v>
      </c>
      <c r="T1196" s="138">
        <v>7.6551149999999998E-2</v>
      </c>
    </row>
    <row r="1197" spans="8:20">
      <c r="H1197" s="88">
        <v>0.99405675999999998</v>
      </c>
      <c r="I1197" s="77">
        <v>0.97936606000000004</v>
      </c>
      <c r="J1197" s="15">
        <v>65.933999999999997</v>
      </c>
      <c r="R1197" s="53">
        <v>477.01</v>
      </c>
      <c r="S1197" s="76">
        <v>3.9407937000000004E-3</v>
      </c>
      <c r="T1197" s="138">
        <v>7.6293769999999997E-2</v>
      </c>
    </row>
    <row r="1198" spans="8:20">
      <c r="H1198" s="88">
        <v>0.9940428</v>
      </c>
      <c r="I1198" s="77">
        <v>0.97934555999999995</v>
      </c>
      <c r="J1198" s="15">
        <v>65.935000000000002</v>
      </c>
      <c r="R1198" s="53">
        <v>477.02</v>
      </c>
      <c r="S1198" s="76">
        <v>3.9266837000000001E-3</v>
      </c>
      <c r="T1198" s="138">
        <v>7.6036350000000003E-2</v>
      </c>
    </row>
    <row r="1199" spans="8:20">
      <c r="H1199" s="88">
        <v>0.99402875000000002</v>
      </c>
      <c r="I1199" s="77">
        <v>0.97932505999999997</v>
      </c>
      <c r="J1199" s="15">
        <v>65.936000000000007</v>
      </c>
      <c r="R1199" s="53">
        <v>477.03</v>
      </c>
      <c r="S1199" s="76">
        <v>3.9125773999999997E-3</v>
      </c>
      <c r="T1199" s="138">
        <v>7.5778880000000007E-2</v>
      </c>
    </row>
    <row r="1200" spans="8:20">
      <c r="H1200" s="88">
        <v>0.99401470000000003</v>
      </c>
      <c r="I1200" s="77">
        <v>0.97930450000000002</v>
      </c>
      <c r="J1200" s="15">
        <v>65.936999999999998</v>
      </c>
      <c r="R1200" s="53">
        <v>477.04</v>
      </c>
      <c r="S1200" s="76">
        <v>3.8984744E-3</v>
      </c>
      <c r="T1200" s="138">
        <v>7.5521364999999993E-2</v>
      </c>
    </row>
    <row r="1201" spans="8:20">
      <c r="H1201" s="88">
        <v>0.99400054999999998</v>
      </c>
      <c r="I1201" s="77">
        <v>0.97928400000000004</v>
      </c>
      <c r="J1201" s="15">
        <v>65.938000000000002</v>
      </c>
      <c r="R1201" s="53">
        <v>477.05</v>
      </c>
      <c r="S1201" s="76">
        <v>3.8843749000000002E-3</v>
      </c>
      <c r="T1201" s="138">
        <v>7.5263800000000006E-2</v>
      </c>
    </row>
    <row r="1202" spans="8:20">
      <c r="H1202" s="88">
        <v>0.99398637000000001</v>
      </c>
      <c r="I1202" s="77">
        <v>0.97926340000000001</v>
      </c>
      <c r="J1202" s="15">
        <v>65.938999999999993</v>
      </c>
      <c r="R1202" s="53">
        <v>477.06</v>
      </c>
      <c r="S1202" s="76">
        <v>3.8702787999999998E-3</v>
      </c>
      <c r="T1202" s="138">
        <v>7.5006193999999998E-2</v>
      </c>
    </row>
    <row r="1203" spans="8:20">
      <c r="H1203" s="88">
        <v>0.99397219999999997</v>
      </c>
      <c r="I1203" s="77">
        <v>0.97924290000000003</v>
      </c>
      <c r="J1203" s="15">
        <v>65.94</v>
      </c>
      <c r="R1203" s="53">
        <v>477.07</v>
      </c>
      <c r="S1203" s="76">
        <v>3.8561862999999998E-3</v>
      </c>
      <c r="T1203" s="138">
        <v>7.4748540000000002E-2</v>
      </c>
    </row>
    <row r="1204" spans="8:20">
      <c r="H1204" s="88">
        <v>0.99395794000000004</v>
      </c>
      <c r="I1204" s="77">
        <v>0.97922235999999996</v>
      </c>
      <c r="J1204" s="15">
        <v>65.941000000000003</v>
      </c>
      <c r="R1204" s="53">
        <v>477.08</v>
      </c>
      <c r="S1204" s="76">
        <v>3.8420972000000001E-3</v>
      </c>
      <c r="T1204" s="138">
        <v>7.4490840000000003E-2</v>
      </c>
    </row>
    <row r="1205" spans="8:20">
      <c r="H1205" s="88">
        <v>0.99394362999999997</v>
      </c>
      <c r="I1205" s="77">
        <v>0.97920172999999999</v>
      </c>
      <c r="J1205" s="15">
        <v>65.941999999999993</v>
      </c>
      <c r="R1205" s="53">
        <v>477.09</v>
      </c>
      <c r="S1205" s="76">
        <v>3.8280114999999998E-3</v>
      </c>
      <c r="T1205" s="138">
        <v>7.4233085000000004E-2</v>
      </c>
    </row>
    <row r="1206" spans="8:20">
      <c r="H1206" s="88">
        <v>0.99392926999999998</v>
      </c>
      <c r="I1206" s="77">
        <v>0.97918119999999997</v>
      </c>
      <c r="J1206" s="15">
        <v>65.942999999999998</v>
      </c>
      <c r="R1206" s="53">
        <v>477.1</v>
      </c>
      <c r="S1206" s="76">
        <v>3.8139291999999998E-3</v>
      </c>
      <c r="T1206" s="138">
        <v>7.3975294999999996E-2</v>
      </c>
    </row>
    <row r="1207" spans="8:20">
      <c r="H1207" s="88">
        <v>0.99391483999999997</v>
      </c>
      <c r="I1207" s="77">
        <v>0.97916055000000002</v>
      </c>
      <c r="J1207" s="15">
        <v>65.944000000000003</v>
      </c>
      <c r="R1207" s="53">
        <v>477.11</v>
      </c>
      <c r="S1207" s="76">
        <v>3.7998504000000002E-3</v>
      </c>
      <c r="T1207" s="138">
        <v>7.3717450000000004E-2</v>
      </c>
    </row>
    <row r="1208" spans="8:20">
      <c r="H1208" s="88">
        <v>0.99390040000000002</v>
      </c>
      <c r="I1208" s="77">
        <v>0.97914000000000001</v>
      </c>
      <c r="J1208" s="15">
        <v>65.944999999999993</v>
      </c>
      <c r="R1208" s="53">
        <v>477.12</v>
      </c>
      <c r="S1208" s="76">
        <v>3.7857749999999999E-3</v>
      </c>
      <c r="T1208" s="138">
        <v>7.3459566000000004E-2</v>
      </c>
    </row>
    <row r="1209" spans="8:20">
      <c r="H1209" s="88">
        <v>0.99388593000000003</v>
      </c>
      <c r="I1209" s="77">
        <v>0.97911935999999999</v>
      </c>
      <c r="J1209" s="15">
        <v>65.945999999999998</v>
      </c>
      <c r="R1209" s="53">
        <v>477.13</v>
      </c>
      <c r="S1209" s="76">
        <v>3.7717029999999999E-3</v>
      </c>
      <c r="T1209" s="138">
        <v>7.3201630000000004E-2</v>
      </c>
    </row>
    <row r="1210" spans="8:20">
      <c r="H1210" s="88">
        <v>0.99387139999999996</v>
      </c>
      <c r="I1210" s="77">
        <v>0.97909869999999999</v>
      </c>
      <c r="J1210" s="15">
        <v>65.947000000000003</v>
      </c>
      <c r="R1210" s="53">
        <v>477.14</v>
      </c>
      <c r="S1210" s="76">
        <v>3.7576343999999999E-3</v>
      </c>
      <c r="T1210" s="138">
        <v>7.2943649999999999E-2</v>
      </c>
    </row>
    <row r="1211" spans="8:20">
      <c r="H1211" s="88">
        <v>0.99385679999999998</v>
      </c>
      <c r="I1211" s="77">
        <v>0.97907805000000003</v>
      </c>
      <c r="J1211" s="15">
        <v>65.947999999999993</v>
      </c>
      <c r="R1211" s="53">
        <v>477.15</v>
      </c>
      <c r="S1211" s="76">
        <v>3.7435694000000001E-3</v>
      </c>
      <c r="T1211" s="138">
        <v>7.2685620000000006E-2</v>
      </c>
    </row>
    <row r="1212" spans="8:20">
      <c r="H1212" s="88">
        <v>0.99384220000000001</v>
      </c>
      <c r="I1212" s="77">
        <v>0.97905743000000001</v>
      </c>
      <c r="J1212" s="15">
        <v>65.948999999999998</v>
      </c>
      <c r="R1212" s="53">
        <v>477.16</v>
      </c>
      <c r="S1212" s="76">
        <v>3.7295076000000002E-3</v>
      </c>
      <c r="T1212" s="138">
        <v>7.2427539999999999E-2</v>
      </c>
    </row>
    <row r="1213" spans="8:20">
      <c r="H1213" s="88">
        <v>0.99382746</v>
      </c>
      <c r="I1213" s="77">
        <v>0.97903675000000001</v>
      </c>
      <c r="J1213" s="15">
        <v>65.95</v>
      </c>
      <c r="R1213" s="53">
        <v>477.17</v>
      </c>
      <c r="S1213" s="76">
        <v>3.7154492000000001E-3</v>
      </c>
      <c r="T1213" s="138">
        <v>7.2169419999999998E-2</v>
      </c>
    </row>
    <row r="1214" spans="8:20">
      <c r="H1214" s="88">
        <v>0.99381273999999997</v>
      </c>
      <c r="I1214" s="77">
        <v>0.97901607000000002</v>
      </c>
      <c r="J1214" s="15">
        <v>65.950999999999993</v>
      </c>
      <c r="R1214" s="53">
        <v>477.18</v>
      </c>
      <c r="S1214" s="76">
        <v>3.7013943999999999E-3</v>
      </c>
      <c r="T1214" s="138">
        <v>7.1911249999999996E-2</v>
      </c>
    </row>
    <row r="1215" spans="8:20">
      <c r="H1215" s="88">
        <v>0.99379795999999998</v>
      </c>
      <c r="I1215" s="77">
        <v>0.97899539999999996</v>
      </c>
      <c r="J1215" s="15">
        <v>65.951999999999998</v>
      </c>
      <c r="R1215" s="53">
        <v>477.19</v>
      </c>
      <c r="S1215" s="76">
        <v>3.6873429E-3</v>
      </c>
      <c r="T1215" s="138">
        <v>7.1653040000000001E-2</v>
      </c>
    </row>
    <row r="1216" spans="8:20">
      <c r="H1216" s="88">
        <v>0.99378310000000003</v>
      </c>
      <c r="I1216" s="77">
        <v>0.97897469999999998</v>
      </c>
      <c r="J1216" s="15">
        <v>65.953000000000003</v>
      </c>
      <c r="R1216" s="53">
        <v>477.2</v>
      </c>
      <c r="S1216" s="76">
        <v>3.6732948E-3</v>
      </c>
      <c r="T1216" s="138">
        <v>7.1394780000000005E-2</v>
      </c>
    </row>
    <row r="1217" spans="8:20">
      <c r="H1217" s="88">
        <v>0.99376819999999999</v>
      </c>
      <c r="I1217" s="77">
        <v>0.97895396000000001</v>
      </c>
      <c r="J1217" s="15">
        <v>65.953999999999994</v>
      </c>
      <c r="R1217" s="53">
        <v>477.21</v>
      </c>
      <c r="S1217" s="76">
        <v>3.6592501999999998E-3</v>
      </c>
      <c r="T1217" s="138">
        <v>7.1136475000000005E-2</v>
      </c>
    </row>
    <row r="1218" spans="8:20">
      <c r="H1218" s="88">
        <v>0.99375329999999995</v>
      </c>
      <c r="I1218" s="77">
        <v>0.97893319999999995</v>
      </c>
      <c r="J1218" s="15">
        <v>65.954999999999998</v>
      </c>
      <c r="R1218" s="53">
        <v>477.22</v>
      </c>
      <c r="S1218" s="76">
        <v>3.6452089999999999E-3</v>
      </c>
      <c r="T1218" s="138">
        <v>7.0878120000000003E-2</v>
      </c>
    </row>
    <row r="1219" spans="8:20">
      <c r="H1219" s="88">
        <v>0.99373829999999996</v>
      </c>
      <c r="I1219" s="77">
        <v>0.97891249999999996</v>
      </c>
      <c r="J1219" s="15">
        <v>65.956000000000003</v>
      </c>
      <c r="R1219" s="53">
        <v>477.23</v>
      </c>
      <c r="S1219" s="76">
        <v>3.6311709999999999E-3</v>
      </c>
      <c r="T1219" s="138">
        <v>7.0619719999999997E-2</v>
      </c>
    </row>
    <row r="1220" spans="8:20">
      <c r="H1220" s="88">
        <v>0.99372329999999998</v>
      </c>
      <c r="I1220" s="77">
        <v>0.97889172999999996</v>
      </c>
      <c r="J1220" s="15">
        <v>65.956999999999994</v>
      </c>
      <c r="R1220" s="53">
        <v>477.24</v>
      </c>
      <c r="S1220" s="76">
        <v>3.6171367000000002E-3</v>
      </c>
      <c r="T1220" s="138">
        <v>7.0361270000000004E-2</v>
      </c>
    </row>
    <row r="1221" spans="8:20">
      <c r="H1221" s="88">
        <v>0.99370820000000004</v>
      </c>
      <c r="I1221" s="77">
        <v>0.97887100000000005</v>
      </c>
      <c r="J1221" s="15">
        <v>65.957999999999998</v>
      </c>
      <c r="R1221" s="53">
        <v>477.25</v>
      </c>
      <c r="S1221" s="76">
        <v>3.6031056999999999E-3</v>
      </c>
      <c r="T1221" s="138">
        <v>7.0102769999999995E-2</v>
      </c>
    </row>
    <row r="1222" spans="8:20">
      <c r="H1222" s="88">
        <v>0.99369304999999997</v>
      </c>
      <c r="I1222" s="77">
        <v>0.9788502</v>
      </c>
      <c r="J1222" s="15">
        <v>65.959000000000003</v>
      </c>
      <c r="R1222" s="53">
        <v>477.26</v>
      </c>
      <c r="S1222" s="76">
        <v>3.5890779999999999E-3</v>
      </c>
      <c r="T1222" s="138">
        <v>6.9844229999999993E-2</v>
      </c>
    </row>
    <row r="1223" spans="8:20">
      <c r="H1223" s="88">
        <v>0.99367784999999997</v>
      </c>
      <c r="I1223" s="77">
        <v>0.97882944000000005</v>
      </c>
      <c r="J1223" s="15">
        <v>65.959999999999994</v>
      </c>
      <c r="R1223" s="53">
        <v>477.27</v>
      </c>
      <c r="S1223" s="76">
        <v>3.5750538000000002E-3</v>
      </c>
      <c r="T1223" s="138">
        <v>6.9585640000000004E-2</v>
      </c>
    </row>
    <row r="1224" spans="8:20">
      <c r="H1224" s="88">
        <v>0.99366259999999995</v>
      </c>
      <c r="I1224" s="77">
        <v>0.97880864000000001</v>
      </c>
      <c r="J1224" s="15">
        <v>65.960999999999999</v>
      </c>
      <c r="R1224" s="53">
        <v>477.28</v>
      </c>
      <c r="S1224" s="76">
        <v>3.5610329999999999E-3</v>
      </c>
      <c r="T1224" s="138">
        <v>6.9327009999999994E-2</v>
      </c>
    </row>
    <row r="1225" spans="8:20">
      <c r="H1225" s="88">
        <v>0.99364733999999999</v>
      </c>
      <c r="I1225" s="77">
        <v>0.97878783999999996</v>
      </c>
      <c r="J1225" s="15">
        <v>65.962000000000003</v>
      </c>
      <c r="R1225" s="53">
        <v>477.29</v>
      </c>
      <c r="S1225" s="76">
        <v>3.5470153999999999E-3</v>
      </c>
      <c r="T1225" s="138">
        <v>6.9068334999999995E-2</v>
      </c>
    </row>
    <row r="1226" spans="8:20">
      <c r="H1226" s="88">
        <v>0.99363195999999998</v>
      </c>
      <c r="I1226" s="77">
        <v>0.97876700000000005</v>
      </c>
      <c r="J1226" s="15">
        <v>65.962999999999994</v>
      </c>
      <c r="R1226" s="53">
        <v>477.3</v>
      </c>
      <c r="S1226" s="76">
        <v>3.5330013000000001E-3</v>
      </c>
      <c r="T1226" s="138">
        <v>6.8809605999999995E-2</v>
      </c>
    </row>
    <row r="1227" spans="8:20">
      <c r="H1227" s="88">
        <v>0.99361659999999996</v>
      </c>
      <c r="I1227" s="77">
        <v>0.97874620000000001</v>
      </c>
      <c r="J1227" s="15">
        <v>65.963999999999999</v>
      </c>
      <c r="R1227" s="53">
        <v>477.31</v>
      </c>
      <c r="S1227" s="76">
        <v>3.5189906999999999E-3</v>
      </c>
      <c r="T1227" s="138">
        <v>6.8550829999999993E-2</v>
      </c>
    </row>
    <row r="1228" spans="8:20">
      <c r="H1228" s="88">
        <v>0.99360113999999999</v>
      </c>
      <c r="I1228" s="77">
        <v>0.97872530000000002</v>
      </c>
      <c r="J1228" s="15">
        <v>65.965000000000003</v>
      </c>
      <c r="R1228" s="53">
        <v>477.32</v>
      </c>
      <c r="S1228" s="76">
        <v>3.5049833999999998E-3</v>
      </c>
      <c r="T1228" s="138">
        <v>6.8292013999999998E-2</v>
      </c>
    </row>
    <row r="1229" spans="8:20">
      <c r="H1229" s="88">
        <v>0.99358559999999996</v>
      </c>
      <c r="I1229" s="77">
        <v>0.97870444999999995</v>
      </c>
      <c r="J1229" s="15">
        <v>65.965999999999994</v>
      </c>
      <c r="R1229" s="53">
        <v>477.33</v>
      </c>
      <c r="S1229" s="76">
        <v>3.4909796000000002E-3</v>
      </c>
      <c r="T1229" s="138">
        <v>6.8033144000000004E-2</v>
      </c>
    </row>
    <row r="1230" spans="8:20">
      <c r="H1230" s="88">
        <v>0.99356999999999995</v>
      </c>
      <c r="I1230" s="77">
        <v>0.97868359999999999</v>
      </c>
      <c r="J1230" s="15">
        <v>65.966999999999999</v>
      </c>
      <c r="R1230" s="53">
        <v>477.34</v>
      </c>
      <c r="S1230" s="76">
        <v>3.4769789999999998E-3</v>
      </c>
      <c r="T1230" s="138">
        <v>6.7774230000000005E-2</v>
      </c>
    </row>
    <row r="1231" spans="8:20">
      <c r="H1231" s="88">
        <v>0.99355439999999995</v>
      </c>
      <c r="I1231" s="77">
        <v>0.9786627</v>
      </c>
      <c r="J1231" s="15">
        <v>65.968000000000004</v>
      </c>
      <c r="R1231" s="53">
        <v>477.35</v>
      </c>
      <c r="S1231" s="76">
        <v>3.4629819999999999E-3</v>
      </c>
      <c r="T1231" s="138">
        <v>6.7515270000000002E-2</v>
      </c>
    </row>
    <row r="1232" spans="8:20">
      <c r="H1232" s="88">
        <v>0.99353880000000006</v>
      </c>
      <c r="I1232" s="77">
        <v>0.97864180000000001</v>
      </c>
      <c r="J1232" s="15">
        <v>65.968999999999994</v>
      </c>
      <c r="R1232" s="53">
        <v>477.36</v>
      </c>
      <c r="S1232" s="76">
        <v>3.4489880000000001E-3</v>
      </c>
      <c r="T1232" s="138">
        <v>6.7256263999999996E-2</v>
      </c>
    </row>
    <row r="1233" spans="8:20">
      <c r="H1233" s="88">
        <v>0.99352306000000001</v>
      </c>
      <c r="I1233" s="77">
        <v>0.97862090000000002</v>
      </c>
      <c r="J1233" s="15">
        <v>65.97</v>
      </c>
      <c r="R1233" s="53">
        <v>477.37</v>
      </c>
      <c r="S1233" s="76">
        <v>3.4349977999999998E-3</v>
      </c>
      <c r="T1233" s="138">
        <v>6.6997210000000001E-2</v>
      </c>
    </row>
    <row r="1234" spans="8:20">
      <c r="H1234" s="88">
        <v>0.99350727000000005</v>
      </c>
      <c r="I1234" s="77">
        <v>0.97859996999999999</v>
      </c>
      <c r="J1234" s="15">
        <v>65.971000000000004</v>
      </c>
      <c r="R1234" s="53">
        <v>477.38</v>
      </c>
      <c r="S1234" s="76">
        <v>3.4210107000000002E-3</v>
      </c>
      <c r="T1234" s="138">
        <v>6.6738114000000001E-2</v>
      </c>
    </row>
    <row r="1235" spans="8:20">
      <c r="H1235" s="88">
        <v>0.99349140000000002</v>
      </c>
      <c r="I1235" s="77">
        <v>0.97857903999999996</v>
      </c>
      <c r="J1235" s="15">
        <v>65.971999999999994</v>
      </c>
      <c r="R1235" s="53">
        <v>477.39</v>
      </c>
      <c r="S1235" s="76">
        <v>3.407027E-3</v>
      </c>
      <c r="T1235" s="138">
        <v>6.6478969999999998E-2</v>
      </c>
    </row>
    <row r="1236" spans="8:20">
      <c r="H1236" s="88">
        <v>0.99347556000000004</v>
      </c>
      <c r="I1236" s="77">
        <v>0.97855809999999999</v>
      </c>
      <c r="J1236" s="15">
        <v>65.972999999999999</v>
      </c>
      <c r="R1236" s="53">
        <v>477.4</v>
      </c>
      <c r="S1236" s="76">
        <v>3.3930468000000001E-3</v>
      </c>
      <c r="T1236" s="138">
        <v>6.6219769999999997E-2</v>
      </c>
    </row>
    <row r="1237" spans="8:20">
      <c r="H1237" s="88">
        <v>0.9934596</v>
      </c>
      <c r="I1237" s="77">
        <v>0.97853714000000003</v>
      </c>
      <c r="J1237" s="15">
        <v>65.974000000000004</v>
      </c>
      <c r="R1237" s="53">
        <v>477.41</v>
      </c>
      <c r="S1237" s="76">
        <v>3.3790697E-3</v>
      </c>
      <c r="T1237" s="138">
        <v>6.5960534000000001E-2</v>
      </c>
    </row>
    <row r="1238" spans="8:20">
      <c r="H1238" s="88">
        <v>0.99344359999999998</v>
      </c>
      <c r="I1238" s="77">
        <v>0.97851615999999997</v>
      </c>
      <c r="J1238" s="15">
        <v>65.974999999999994</v>
      </c>
      <c r="R1238" s="53">
        <v>477.42</v>
      </c>
      <c r="S1238" s="76">
        <v>3.3650962000000002E-3</v>
      </c>
      <c r="T1238" s="138">
        <v>6.5701246000000005E-2</v>
      </c>
    </row>
    <row r="1239" spans="8:20">
      <c r="H1239" s="88">
        <v>0.99342750000000002</v>
      </c>
      <c r="I1239" s="77">
        <v>0.97849520000000001</v>
      </c>
      <c r="J1239" s="15">
        <v>65.975999999999999</v>
      </c>
      <c r="R1239" s="53">
        <v>477.43</v>
      </c>
      <c r="S1239" s="76">
        <v>3.3511259999999998E-3</v>
      </c>
      <c r="T1239" s="138">
        <v>6.5441914000000004E-2</v>
      </c>
    </row>
    <row r="1240" spans="8:20">
      <c r="H1240" s="88">
        <v>0.99341140000000006</v>
      </c>
      <c r="I1240" s="77">
        <v>0.97847419999999996</v>
      </c>
      <c r="J1240" s="15">
        <v>65.977000000000004</v>
      </c>
      <c r="R1240" s="53">
        <v>477.44</v>
      </c>
      <c r="S1240" s="76">
        <v>3.3371592999999998E-3</v>
      </c>
      <c r="T1240" s="138">
        <v>6.5182539999999997E-2</v>
      </c>
    </row>
    <row r="1241" spans="8:20">
      <c r="H1241" s="88">
        <v>0.99339527000000005</v>
      </c>
      <c r="I1241" s="77">
        <v>0.97845316000000004</v>
      </c>
      <c r="J1241" s="15">
        <v>65.977999999999994</v>
      </c>
      <c r="R1241" s="53">
        <v>477.45</v>
      </c>
      <c r="S1241" s="76">
        <v>3.3231956999999999E-3</v>
      </c>
      <c r="T1241" s="138">
        <v>6.4923110000000006E-2</v>
      </c>
    </row>
    <row r="1242" spans="8:20">
      <c r="H1242" s="88">
        <v>0.99337900000000001</v>
      </c>
      <c r="I1242" s="77">
        <v>0.97843210000000003</v>
      </c>
      <c r="J1242" s="15">
        <v>65.978999999999999</v>
      </c>
      <c r="R1242" s="53">
        <v>477.46</v>
      </c>
      <c r="S1242" s="76">
        <v>3.3092357E-3</v>
      </c>
      <c r="T1242" s="138">
        <v>6.466363E-2</v>
      </c>
    </row>
    <row r="1243" spans="8:20">
      <c r="H1243" s="88">
        <v>0.99336270000000004</v>
      </c>
      <c r="I1243" s="77">
        <v>0.97841109999999998</v>
      </c>
      <c r="J1243" s="15">
        <v>65.98</v>
      </c>
      <c r="R1243" s="53">
        <v>477.47</v>
      </c>
      <c r="S1243" s="76">
        <v>3.2952788999999999E-3</v>
      </c>
      <c r="T1243" s="138">
        <v>6.4404114999999998E-2</v>
      </c>
    </row>
    <row r="1244" spans="8:20">
      <c r="H1244" s="88">
        <v>0.99334639999999996</v>
      </c>
      <c r="I1244" s="77">
        <v>0.97839003999999996</v>
      </c>
      <c r="J1244" s="15">
        <v>65.980999999999995</v>
      </c>
      <c r="R1244" s="53">
        <v>477.48</v>
      </c>
      <c r="S1244" s="76">
        <v>3.2813256000000001E-3</v>
      </c>
      <c r="T1244" s="138">
        <v>6.4144549999999995E-2</v>
      </c>
    </row>
    <row r="1245" spans="8:20">
      <c r="H1245" s="88">
        <v>0.99333000000000005</v>
      </c>
      <c r="I1245" s="77">
        <v>0.97836900000000004</v>
      </c>
      <c r="J1245" s="15">
        <v>65.981999999999999</v>
      </c>
      <c r="R1245" s="53">
        <v>477.49</v>
      </c>
      <c r="S1245" s="76">
        <v>3.2673755000000001E-3</v>
      </c>
      <c r="T1245" s="138">
        <v>6.3884940000000001E-2</v>
      </c>
    </row>
    <row r="1246" spans="8:20">
      <c r="H1246" s="88">
        <v>0.99331349999999996</v>
      </c>
      <c r="I1246" s="77">
        <v>0.97834790000000005</v>
      </c>
      <c r="J1246" s="15">
        <v>65.983000000000004</v>
      </c>
      <c r="R1246" s="53">
        <v>477.5</v>
      </c>
      <c r="S1246" s="76">
        <v>3.2534286999999999E-3</v>
      </c>
      <c r="T1246" s="138">
        <v>6.3625280000000006E-2</v>
      </c>
    </row>
    <row r="1247" spans="8:20">
      <c r="H1247" s="88">
        <v>0.99329699999999999</v>
      </c>
      <c r="I1247" s="77">
        <v>0.97832680000000005</v>
      </c>
      <c r="J1247" s="15">
        <v>65.983999999999995</v>
      </c>
      <c r="R1247" s="53">
        <v>477.51</v>
      </c>
      <c r="S1247" s="76">
        <v>3.2394854E-3</v>
      </c>
      <c r="T1247" s="138">
        <v>6.3365580000000005E-2</v>
      </c>
    </row>
    <row r="1248" spans="8:20">
      <c r="H1248" s="88">
        <v>0.99328039999999995</v>
      </c>
      <c r="I1248" s="77">
        <v>0.97830569999999994</v>
      </c>
      <c r="J1248" s="15">
        <v>65.984999999999999</v>
      </c>
      <c r="R1248" s="53">
        <v>477.52</v>
      </c>
      <c r="S1248" s="76">
        <v>3.2255453999999999E-3</v>
      </c>
      <c r="T1248" s="138">
        <v>6.3105820000000007E-2</v>
      </c>
    </row>
    <row r="1249" spans="8:20">
      <c r="H1249" s="88">
        <v>0.99326380000000003</v>
      </c>
      <c r="I1249" s="77">
        <v>0.97828459999999995</v>
      </c>
      <c r="J1249" s="15">
        <v>65.986000000000004</v>
      </c>
      <c r="R1249" s="53">
        <v>477.53</v>
      </c>
      <c r="S1249" s="76">
        <v>3.2116086000000001E-3</v>
      </c>
      <c r="T1249" s="138">
        <v>6.2846029999999997E-2</v>
      </c>
    </row>
    <row r="1250" spans="8:20">
      <c r="H1250" s="88">
        <v>0.99324703000000003</v>
      </c>
      <c r="I1250" s="77">
        <v>0.97826343999999998</v>
      </c>
      <c r="J1250" s="15">
        <v>65.986999999999995</v>
      </c>
      <c r="R1250" s="53">
        <v>477.54</v>
      </c>
      <c r="S1250" s="76">
        <v>3.1976753000000002E-3</v>
      </c>
      <c r="T1250" s="138">
        <v>6.2586180000000005E-2</v>
      </c>
    </row>
    <row r="1251" spans="8:20">
      <c r="H1251" s="88">
        <v>0.99323030000000001</v>
      </c>
      <c r="I1251" s="77">
        <v>0.97824230000000001</v>
      </c>
      <c r="J1251" s="15">
        <v>65.988</v>
      </c>
      <c r="R1251" s="53">
        <v>477.55</v>
      </c>
      <c r="S1251" s="76">
        <v>3.1837453000000001E-3</v>
      </c>
      <c r="T1251" s="138">
        <v>6.2326289999999999E-2</v>
      </c>
    </row>
    <row r="1252" spans="8:20">
      <c r="H1252" s="88">
        <v>0.99321349999999997</v>
      </c>
      <c r="I1252" s="77">
        <v>0.97822109999999995</v>
      </c>
      <c r="J1252" s="15">
        <v>65.989000000000004</v>
      </c>
      <c r="R1252" s="53">
        <v>477.56</v>
      </c>
      <c r="S1252" s="76">
        <v>3.1698187999999999E-3</v>
      </c>
      <c r="T1252" s="138">
        <v>6.2066353999999997E-2</v>
      </c>
    </row>
    <row r="1253" spans="8:20">
      <c r="H1253" s="88">
        <v>0.99319654999999996</v>
      </c>
      <c r="I1253" s="77">
        <v>0.97819995999999998</v>
      </c>
      <c r="J1253" s="15">
        <v>65.989999999999995</v>
      </c>
      <c r="R1253" s="53">
        <v>477.57</v>
      </c>
      <c r="S1253" s="76">
        <v>3.1558952999999998E-3</v>
      </c>
      <c r="T1253" s="138">
        <v>6.1806369999999999E-2</v>
      </c>
    </row>
    <row r="1254" spans="8:20">
      <c r="H1254" s="88">
        <v>0.99317960000000005</v>
      </c>
      <c r="I1254" s="77">
        <v>0.97817880000000001</v>
      </c>
      <c r="J1254" s="15">
        <v>65.991</v>
      </c>
      <c r="R1254" s="53">
        <v>477.58</v>
      </c>
      <c r="S1254" s="76">
        <v>3.1419753000000001E-3</v>
      </c>
      <c r="T1254" s="138">
        <v>6.1546337E-2</v>
      </c>
    </row>
    <row r="1255" spans="8:20">
      <c r="H1255" s="88">
        <v>0.99316263000000005</v>
      </c>
      <c r="I1255" s="77">
        <v>0.97815759999999996</v>
      </c>
      <c r="J1255" s="15">
        <v>65.992000000000004</v>
      </c>
      <c r="R1255" s="53">
        <v>477.59</v>
      </c>
      <c r="S1255" s="76">
        <v>3.1280587000000002E-3</v>
      </c>
      <c r="T1255" s="138">
        <v>6.1286260000000002E-2</v>
      </c>
    </row>
    <row r="1256" spans="8:20">
      <c r="H1256" s="88">
        <v>0.99314550000000001</v>
      </c>
      <c r="I1256" s="77">
        <v>0.97813636000000004</v>
      </c>
      <c r="J1256" s="15">
        <v>65.992999999999995</v>
      </c>
      <c r="R1256" s="53">
        <v>477.6</v>
      </c>
      <c r="S1256" s="76">
        <v>3.1141452000000001E-3</v>
      </c>
      <c r="T1256" s="138">
        <v>6.1026134000000003E-2</v>
      </c>
    </row>
    <row r="1257" spans="8:20">
      <c r="H1257" s="88">
        <v>0.99312840000000002</v>
      </c>
      <c r="I1257" s="77">
        <v>0.97811513999999999</v>
      </c>
      <c r="J1257" s="15">
        <v>65.994</v>
      </c>
      <c r="R1257" s="53">
        <v>477.61</v>
      </c>
      <c r="S1257" s="76">
        <v>3.1002351999999999E-3</v>
      </c>
      <c r="T1257" s="138">
        <v>6.0765962999999999E-2</v>
      </c>
    </row>
    <row r="1258" spans="8:20">
      <c r="H1258" s="88">
        <v>0.99311119999999997</v>
      </c>
      <c r="I1258" s="77">
        <v>0.97809385999999998</v>
      </c>
      <c r="J1258" s="15">
        <v>65.995000000000005</v>
      </c>
      <c r="R1258" s="53">
        <v>477.62</v>
      </c>
      <c r="S1258" s="76">
        <v>3.0863287E-3</v>
      </c>
      <c r="T1258" s="138">
        <v>6.0505747999999998E-2</v>
      </c>
    </row>
    <row r="1259" spans="8:20">
      <c r="H1259" s="88">
        <v>0.99309389999999997</v>
      </c>
      <c r="I1259" s="77">
        <v>0.97807259999999996</v>
      </c>
      <c r="J1259" s="15">
        <v>65.995999999999995</v>
      </c>
      <c r="R1259" s="53">
        <v>477.63</v>
      </c>
      <c r="S1259" s="76">
        <v>3.0724252999999998E-3</v>
      </c>
      <c r="T1259" s="138">
        <v>6.0245484000000002E-2</v>
      </c>
    </row>
    <row r="1260" spans="8:20">
      <c r="H1260" s="88">
        <v>0.99307656</v>
      </c>
      <c r="I1260" s="77">
        <v>0.97805129999999996</v>
      </c>
      <c r="J1260" s="15">
        <v>65.997</v>
      </c>
      <c r="R1260" s="53">
        <v>477.64</v>
      </c>
      <c r="S1260" s="76">
        <v>3.0585253E-3</v>
      </c>
      <c r="T1260" s="138">
        <v>5.9985172000000003E-2</v>
      </c>
    </row>
    <row r="1261" spans="8:20">
      <c r="H1261" s="88">
        <v>0.99305916000000005</v>
      </c>
      <c r="I1261" s="77">
        <v>0.97802999999999995</v>
      </c>
      <c r="J1261" s="15">
        <v>65.998000000000005</v>
      </c>
      <c r="R1261" s="53">
        <v>477.65</v>
      </c>
      <c r="S1261" s="76">
        <v>3.0446284999999999E-3</v>
      </c>
      <c r="T1261" s="138">
        <v>5.9724815000000001E-2</v>
      </c>
    </row>
    <row r="1262" spans="8:20">
      <c r="H1262" s="88">
        <v>0.99304170000000003</v>
      </c>
      <c r="I1262" s="77">
        <v>0.97800874999999998</v>
      </c>
      <c r="J1262" s="15">
        <v>65.998999999999995</v>
      </c>
      <c r="R1262" s="53">
        <v>477.66</v>
      </c>
      <c r="S1262" s="76">
        <v>3.0307350000000001E-3</v>
      </c>
      <c r="T1262" s="138">
        <v>5.9464414E-2</v>
      </c>
    </row>
    <row r="1263" spans="8:20">
      <c r="H1263" s="88">
        <v>0.99302420000000002</v>
      </c>
      <c r="I1263" s="77">
        <v>0.97798739999999995</v>
      </c>
      <c r="J1263" s="15">
        <v>66</v>
      </c>
      <c r="R1263" s="53">
        <v>477.67</v>
      </c>
      <c r="S1263" s="76">
        <v>3.0168449000000002E-3</v>
      </c>
      <c r="T1263" s="138">
        <v>5.9203963999999998E-2</v>
      </c>
    </row>
    <row r="1264" spans="8:20">
      <c r="H1264" s="88">
        <v>0.99300659999999996</v>
      </c>
      <c r="I1264" s="77">
        <v>0.97796607000000002</v>
      </c>
      <c r="J1264" s="15">
        <v>66.001000000000005</v>
      </c>
      <c r="R1264" s="53">
        <v>477.68</v>
      </c>
      <c r="S1264" s="76">
        <v>3.0029581000000001E-3</v>
      </c>
      <c r="T1264" s="138">
        <v>5.8943469999999998E-2</v>
      </c>
    </row>
    <row r="1265" spans="8:20">
      <c r="H1265" s="88">
        <v>0.99298894000000004</v>
      </c>
      <c r="I1265" s="77">
        <v>0.97794473000000004</v>
      </c>
      <c r="J1265" s="15">
        <v>66.001999999999995</v>
      </c>
      <c r="R1265" s="53">
        <v>477.69</v>
      </c>
      <c r="S1265" s="76">
        <v>2.9890746999999998E-3</v>
      </c>
      <c r="T1265" s="138">
        <v>5.8682926000000003E-2</v>
      </c>
    </row>
    <row r="1266" spans="8:20">
      <c r="H1266" s="88">
        <v>0.99297120000000005</v>
      </c>
      <c r="I1266" s="77">
        <v>0.97792332999999998</v>
      </c>
      <c r="J1266" s="15">
        <v>66.003</v>
      </c>
      <c r="R1266" s="53">
        <v>477.7</v>
      </c>
      <c r="S1266" s="76">
        <v>2.9751945000000002E-3</v>
      </c>
      <c r="T1266" s="138">
        <v>5.8422333999999999E-2</v>
      </c>
    </row>
    <row r="1267" spans="8:20">
      <c r="H1267" s="88">
        <v>0.99295339999999999</v>
      </c>
      <c r="I1267" s="77">
        <v>0.97790200000000005</v>
      </c>
      <c r="J1267" s="15">
        <v>66.004000000000005</v>
      </c>
      <c r="R1267" s="53">
        <v>477.71</v>
      </c>
      <c r="S1267" s="76">
        <v>2.9613174999999999E-3</v>
      </c>
      <c r="T1267" s="138">
        <v>5.8161699999999997E-2</v>
      </c>
    </row>
    <row r="1268" spans="8:20">
      <c r="H1268" s="88">
        <v>0.99293553999999995</v>
      </c>
      <c r="I1268" s="77">
        <v>0.97788059999999999</v>
      </c>
      <c r="J1268" s="15">
        <v>66.004999999999995</v>
      </c>
      <c r="R1268" s="53">
        <v>477.72</v>
      </c>
      <c r="S1268" s="76">
        <v>2.9474439E-3</v>
      </c>
      <c r="T1268" s="138">
        <v>5.7901016999999999E-2</v>
      </c>
    </row>
    <row r="1269" spans="8:20">
      <c r="H1269" s="88">
        <v>0.99291759999999996</v>
      </c>
      <c r="I1269" s="77">
        <v>0.97785920000000004</v>
      </c>
      <c r="J1269" s="15">
        <v>66.006</v>
      </c>
      <c r="R1269" s="53">
        <v>477.73</v>
      </c>
      <c r="S1269" s="76">
        <v>2.9335736999999999E-3</v>
      </c>
      <c r="T1269" s="138">
        <v>5.7640287999999998E-2</v>
      </c>
    </row>
    <row r="1270" spans="8:20">
      <c r="H1270" s="88">
        <v>0.99289959999999999</v>
      </c>
      <c r="I1270" s="77">
        <v>0.97783774000000001</v>
      </c>
      <c r="J1270" s="15">
        <v>66.007000000000005</v>
      </c>
      <c r="R1270" s="53">
        <v>477.74</v>
      </c>
      <c r="S1270" s="76">
        <v>2.9197067E-3</v>
      </c>
      <c r="T1270" s="138">
        <v>5.7379514E-2</v>
      </c>
    </row>
    <row r="1271" spans="8:20">
      <c r="H1271" s="88">
        <v>0.99288153999999995</v>
      </c>
      <c r="I1271" s="77">
        <v>0.97781629999999997</v>
      </c>
      <c r="J1271" s="15">
        <v>66.007999999999996</v>
      </c>
      <c r="R1271" s="53">
        <v>477.75</v>
      </c>
      <c r="S1271" s="76">
        <v>2.9058427999999999E-3</v>
      </c>
      <c r="T1271" s="138">
        <v>5.711869E-2</v>
      </c>
    </row>
    <row r="1272" spans="8:20">
      <c r="H1272" s="88">
        <v>0.99286339999999995</v>
      </c>
      <c r="I1272" s="77">
        <v>0.97779479999999996</v>
      </c>
      <c r="J1272" s="15">
        <v>66.009</v>
      </c>
      <c r="R1272" s="53">
        <v>477.76</v>
      </c>
      <c r="S1272" s="76">
        <v>2.8919824000000001E-3</v>
      </c>
      <c r="T1272" s="138">
        <v>5.6857820000000003E-2</v>
      </c>
    </row>
    <row r="1273" spans="8:20">
      <c r="H1273" s="88">
        <v>0.99284519999999998</v>
      </c>
      <c r="I1273" s="77">
        <v>0.97777336999999998</v>
      </c>
      <c r="J1273" s="15">
        <v>66.010000000000005</v>
      </c>
      <c r="R1273" s="53">
        <v>477.77</v>
      </c>
      <c r="S1273" s="76">
        <v>2.8781255000000002E-3</v>
      </c>
      <c r="T1273" s="138">
        <v>5.659691E-2</v>
      </c>
    </row>
    <row r="1274" spans="8:20">
      <c r="H1274" s="88">
        <v>0.99282689999999996</v>
      </c>
      <c r="I1274" s="77">
        <v>0.97775190000000001</v>
      </c>
      <c r="J1274" s="15">
        <v>66.010999999999996</v>
      </c>
      <c r="R1274" s="53">
        <v>477.78</v>
      </c>
      <c r="S1274" s="76">
        <v>2.8642716E-3</v>
      </c>
      <c r="T1274" s="138">
        <v>5.6335944999999998E-2</v>
      </c>
    </row>
    <row r="1275" spans="8:20">
      <c r="H1275" s="88">
        <v>0.99280849999999998</v>
      </c>
      <c r="I1275" s="77">
        <v>0.9777304</v>
      </c>
      <c r="J1275" s="15">
        <v>66.012</v>
      </c>
      <c r="R1275" s="53">
        <v>477.79</v>
      </c>
      <c r="S1275" s="76">
        <v>2.8504210000000001E-3</v>
      </c>
      <c r="T1275" s="138">
        <v>5.6074935999999999E-2</v>
      </c>
    </row>
    <row r="1276" spans="8:20">
      <c r="H1276" s="88">
        <v>0.99279010000000001</v>
      </c>
      <c r="I1276" s="77">
        <v>0.97770889999999999</v>
      </c>
      <c r="J1276" s="15">
        <v>66.013000000000005</v>
      </c>
      <c r="R1276" s="53">
        <v>477.8</v>
      </c>
      <c r="S1276" s="76">
        <v>2.8365739000000001E-3</v>
      </c>
      <c r="T1276" s="138">
        <v>5.5813882000000002E-2</v>
      </c>
    </row>
    <row r="1277" spans="8:20">
      <c r="H1277" s="88">
        <v>0.99277159999999998</v>
      </c>
      <c r="I1277" s="77">
        <v>0.97768736000000001</v>
      </c>
      <c r="J1277" s="15">
        <v>66.013999999999996</v>
      </c>
      <c r="R1277" s="53">
        <v>477.81</v>
      </c>
      <c r="S1277" s="76">
        <v>2.8227297999999998E-3</v>
      </c>
      <c r="T1277" s="138">
        <v>5.5552780000000003E-2</v>
      </c>
    </row>
    <row r="1278" spans="8:20">
      <c r="H1278" s="88">
        <v>0.992753</v>
      </c>
      <c r="I1278" s="77">
        <v>0.97766580000000003</v>
      </c>
      <c r="J1278" s="15">
        <v>66.015000000000001</v>
      </c>
      <c r="R1278" s="53">
        <v>477.82</v>
      </c>
      <c r="S1278" s="76">
        <v>2.8088891000000002E-3</v>
      </c>
      <c r="T1278" s="138">
        <v>5.5291633999999999E-2</v>
      </c>
    </row>
    <row r="1279" spans="8:20">
      <c r="H1279" s="88">
        <v>0.99273440000000002</v>
      </c>
      <c r="I1279" s="77">
        <v>0.97764419999999996</v>
      </c>
      <c r="J1279" s="15">
        <v>66.016000000000005</v>
      </c>
      <c r="R1279" s="53">
        <v>477.83</v>
      </c>
      <c r="S1279" s="76">
        <v>2.7950518000000001E-3</v>
      </c>
      <c r="T1279" s="138">
        <v>5.503044E-2</v>
      </c>
    </row>
    <row r="1280" spans="8:20">
      <c r="H1280" s="88">
        <v>0.99271566</v>
      </c>
      <c r="I1280" s="77">
        <v>0.97762260000000001</v>
      </c>
      <c r="J1280" s="15">
        <v>66.016999999999996</v>
      </c>
      <c r="R1280" s="53">
        <v>477.84</v>
      </c>
      <c r="S1280" s="76">
        <v>2.7812177000000001E-3</v>
      </c>
      <c r="T1280" s="138">
        <v>5.4769199999999997E-2</v>
      </c>
    </row>
    <row r="1281" spans="8:20">
      <c r="H1281" s="88">
        <v>0.99269689999999999</v>
      </c>
      <c r="I1281" s="77">
        <v>0.97760104999999997</v>
      </c>
      <c r="J1281" s="15">
        <v>66.018000000000001</v>
      </c>
      <c r="R1281" s="53">
        <v>477.85</v>
      </c>
      <c r="S1281" s="76">
        <v>2.7673868E-3</v>
      </c>
      <c r="T1281" s="138">
        <v>5.4507914999999997E-2</v>
      </c>
    </row>
    <row r="1282" spans="8:20">
      <c r="H1282" s="88">
        <v>0.99267804999999998</v>
      </c>
      <c r="I1282" s="77">
        <v>0.97757939999999999</v>
      </c>
      <c r="J1282" s="15">
        <v>66.019000000000005</v>
      </c>
      <c r="R1282" s="53">
        <v>477.86</v>
      </c>
      <c r="S1282" s="76">
        <v>2.7535593000000001E-3</v>
      </c>
      <c r="T1282" s="138">
        <v>5.4246580000000003E-2</v>
      </c>
    </row>
    <row r="1283" spans="8:20">
      <c r="H1283" s="88">
        <v>0.99265910000000002</v>
      </c>
      <c r="I1283" s="77">
        <v>0.97755780000000003</v>
      </c>
      <c r="J1283" s="15">
        <v>66.02</v>
      </c>
      <c r="R1283" s="53">
        <v>477.87</v>
      </c>
      <c r="S1283" s="76">
        <v>2.7397350000000001E-3</v>
      </c>
      <c r="T1283" s="138">
        <v>5.3985199999999997E-2</v>
      </c>
    </row>
    <row r="1284" spans="8:20">
      <c r="H1284" s="88">
        <v>0.99264010000000003</v>
      </c>
      <c r="I1284" s="77">
        <v>0.97753614</v>
      </c>
      <c r="J1284" s="15">
        <v>66.021000000000001</v>
      </c>
      <c r="R1284" s="53">
        <v>477.88</v>
      </c>
      <c r="S1284" s="76">
        <v>2.7259139999999999E-3</v>
      </c>
      <c r="T1284" s="138">
        <v>5.3723775000000001E-2</v>
      </c>
    </row>
    <row r="1285" spans="8:20">
      <c r="H1285" s="88">
        <v>0.99262094000000001</v>
      </c>
      <c r="I1285" s="77">
        <v>0.97751445000000003</v>
      </c>
      <c r="J1285" s="15">
        <v>66.022000000000006</v>
      </c>
      <c r="R1285" s="53">
        <v>477.89</v>
      </c>
      <c r="S1285" s="76">
        <v>2.7120960000000002E-3</v>
      </c>
      <c r="T1285" s="138">
        <v>5.3462299999999997E-2</v>
      </c>
    </row>
    <row r="1286" spans="8:20">
      <c r="H1286" s="88">
        <v>0.99260179999999998</v>
      </c>
      <c r="I1286" s="77">
        <v>0.97749280000000005</v>
      </c>
      <c r="J1286" s="15">
        <v>66.022999999999996</v>
      </c>
      <c r="R1286" s="53">
        <v>477.9</v>
      </c>
      <c r="S1286" s="76">
        <v>2.6982815E-3</v>
      </c>
      <c r="T1286" s="138">
        <v>5.3200780000000003E-2</v>
      </c>
    </row>
    <row r="1287" spans="8:20">
      <c r="H1287" s="88">
        <v>0.99258256</v>
      </c>
      <c r="I1287" s="77">
        <v>0.97747105000000001</v>
      </c>
      <c r="J1287" s="15">
        <v>66.024000000000001</v>
      </c>
      <c r="R1287" s="53">
        <v>477.91</v>
      </c>
      <c r="S1287" s="76">
        <v>2.6844703000000001E-3</v>
      </c>
      <c r="T1287" s="138">
        <v>5.2939213999999998E-2</v>
      </c>
    </row>
    <row r="1288" spans="8:20">
      <c r="H1288" s="88">
        <v>0.99256319999999998</v>
      </c>
      <c r="I1288" s="77">
        <v>0.97744936000000004</v>
      </c>
      <c r="J1288" s="15">
        <v>66.025000000000006</v>
      </c>
      <c r="R1288" s="53">
        <v>477.92</v>
      </c>
      <c r="S1288" s="76">
        <v>2.6706621999999999E-3</v>
      </c>
      <c r="T1288" s="138">
        <v>5.2677599999999998E-2</v>
      </c>
    </row>
    <row r="1289" spans="8:20">
      <c r="H1289" s="88">
        <v>0.99254379999999998</v>
      </c>
      <c r="I1289" s="77">
        <v>0.97742759999999995</v>
      </c>
      <c r="J1289" s="15">
        <v>66.025999999999996</v>
      </c>
      <c r="R1289" s="53">
        <v>477.93</v>
      </c>
      <c r="S1289" s="76">
        <v>2.6568575000000001E-3</v>
      </c>
      <c r="T1289" s="138">
        <v>5.2415944999999999E-2</v>
      </c>
    </row>
    <row r="1290" spans="8:20">
      <c r="H1290" s="88">
        <v>0.99252430000000003</v>
      </c>
      <c r="I1290" s="77">
        <v>0.97740590000000005</v>
      </c>
      <c r="J1290" s="15">
        <v>66.027000000000001</v>
      </c>
      <c r="R1290" s="53">
        <v>477.94</v>
      </c>
      <c r="S1290" s="76">
        <v>2.6430562E-3</v>
      </c>
      <c r="T1290" s="138">
        <v>5.2154239999999998E-2</v>
      </c>
    </row>
    <row r="1291" spans="8:20">
      <c r="H1291" s="88">
        <v>0.99250479999999996</v>
      </c>
      <c r="I1291" s="77">
        <v>0.97738409999999998</v>
      </c>
      <c r="J1291" s="15">
        <v>66.028000000000006</v>
      </c>
      <c r="R1291" s="53">
        <v>477.95</v>
      </c>
      <c r="S1291" s="76">
        <v>2.6292580000000002E-3</v>
      </c>
      <c r="T1291" s="138">
        <v>5.1892485000000002E-2</v>
      </c>
    </row>
    <row r="1292" spans="8:20">
      <c r="H1292" s="88">
        <v>0.99248510000000001</v>
      </c>
      <c r="I1292" s="77">
        <v>0.97736232999999995</v>
      </c>
      <c r="J1292" s="15">
        <v>66.028999999999996</v>
      </c>
      <c r="R1292" s="53">
        <v>477.96</v>
      </c>
      <c r="S1292" s="76">
        <v>2.6154630000000002E-3</v>
      </c>
      <c r="T1292" s="138">
        <v>5.163069E-2</v>
      </c>
    </row>
    <row r="1293" spans="8:20">
      <c r="H1293" s="88">
        <v>0.99246540000000005</v>
      </c>
      <c r="I1293" s="77">
        <v>0.97734049999999995</v>
      </c>
      <c r="J1293" s="15">
        <v>66.03</v>
      </c>
      <c r="R1293" s="53">
        <v>477.97</v>
      </c>
      <c r="S1293" s="76">
        <v>2.6016712999999999E-3</v>
      </c>
      <c r="T1293" s="138">
        <v>5.1368843999999997E-2</v>
      </c>
    </row>
    <row r="1294" spans="8:20">
      <c r="H1294" s="88">
        <v>0.99244560000000004</v>
      </c>
      <c r="I1294" s="77">
        <v>0.97731869999999998</v>
      </c>
      <c r="J1294" s="15">
        <v>66.031000000000006</v>
      </c>
      <c r="R1294" s="53">
        <v>477.98</v>
      </c>
      <c r="S1294" s="76">
        <v>2.5878828E-3</v>
      </c>
      <c r="T1294" s="138">
        <v>5.1106951999999997E-2</v>
      </c>
    </row>
    <row r="1295" spans="8:20">
      <c r="H1295" s="88">
        <v>0.99242569999999997</v>
      </c>
      <c r="I1295" s="77">
        <v>0.97729690000000002</v>
      </c>
      <c r="J1295" s="15">
        <v>66.031999999999996</v>
      </c>
      <c r="R1295" s="53">
        <v>477.99</v>
      </c>
      <c r="S1295" s="76">
        <v>2.5740975999999998E-3</v>
      </c>
      <c r="T1295" s="138">
        <v>5.0845016E-2</v>
      </c>
    </row>
    <row r="1296" spans="8:20">
      <c r="H1296" s="88">
        <v>0.99240569999999995</v>
      </c>
      <c r="I1296" s="77">
        <v>0.977275</v>
      </c>
      <c r="J1296" s="15">
        <v>66.033000000000001</v>
      </c>
      <c r="R1296" s="53">
        <v>478</v>
      </c>
      <c r="S1296" s="76">
        <v>2.5603156999999999E-3</v>
      </c>
      <c r="T1296" s="138">
        <v>5.0583030000000001E-2</v>
      </c>
    </row>
    <row r="1297" spans="8:20">
      <c r="H1297" s="88">
        <v>0.99238570000000004</v>
      </c>
      <c r="I1297" s="77">
        <v>0.97725313999999996</v>
      </c>
      <c r="J1297" s="15">
        <v>66.034000000000006</v>
      </c>
      <c r="R1297" s="53">
        <v>478.01</v>
      </c>
      <c r="S1297" s="76">
        <v>2.5465367000000001E-3</v>
      </c>
      <c r="T1297" s="138">
        <v>5.0320999999999998E-2</v>
      </c>
    </row>
    <row r="1298" spans="8:20">
      <c r="H1298" s="88">
        <v>0.99236553999999999</v>
      </c>
      <c r="I1298" s="77">
        <v>0.97723126000000005</v>
      </c>
      <c r="J1298" s="15">
        <v>66.034999999999997</v>
      </c>
      <c r="R1298" s="53">
        <v>478.02</v>
      </c>
      <c r="S1298" s="76">
        <v>2.5327612999999998E-3</v>
      </c>
      <c r="T1298" s="138">
        <v>5.0058923999999998E-2</v>
      </c>
    </row>
    <row r="1299" spans="8:20">
      <c r="H1299" s="88">
        <v>0.99234533000000003</v>
      </c>
      <c r="I1299" s="77">
        <v>0.97720929999999995</v>
      </c>
      <c r="J1299" s="15">
        <v>66.036000000000001</v>
      </c>
      <c r="R1299" s="53">
        <v>478.8</v>
      </c>
      <c r="S1299" s="76">
        <v>1.4680920000000001E-3</v>
      </c>
      <c r="T1299" s="138">
        <v>2.9473969999999999E-2</v>
      </c>
    </row>
    <row r="1300" spans="8:20">
      <c r="H1300" s="88">
        <v>0.99232500000000001</v>
      </c>
      <c r="I1300" s="77">
        <v>0.97718740000000004</v>
      </c>
      <c r="J1300" s="15">
        <v>66.037000000000006</v>
      </c>
      <c r="R1300" s="53">
        <v>479.1</v>
      </c>
      <c r="S1300" s="76">
        <v>1.0636515E-3</v>
      </c>
      <c r="T1300" s="138">
        <v>2.1481655999999998E-2</v>
      </c>
    </row>
    <row r="1301" spans="8:20">
      <c r="H1301" s="88">
        <v>0.99230459999999998</v>
      </c>
      <c r="I1301" s="77">
        <v>0.97716546000000004</v>
      </c>
      <c r="J1301" s="15">
        <v>66.037999999999997</v>
      </c>
      <c r="R1301" s="53">
        <v>479.2</v>
      </c>
      <c r="S1301" s="76">
        <v>9.2944613000000003E-4</v>
      </c>
      <c r="T1301" s="138">
        <v>1.8808310000000002E-2</v>
      </c>
    </row>
    <row r="1302" spans="8:20">
      <c r="H1302" s="88">
        <v>0.9922841</v>
      </c>
      <c r="I1302" s="77">
        <v>0.97714347000000001</v>
      </c>
      <c r="J1302" s="15">
        <v>66.039000000000001</v>
      </c>
      <c r="R1302" s="53">
        <v>479.3</v>
      </c>
      <c r="S1302" s="76">
        <v>7.9554173999999995E-4</v>
      </c>
      <c r="T1302" s="138">
        <v>1.6130348999999999E-2</v>
      </c>
    </row>
    <row r="1303" spans="8:20">
      <c r="H1303" s="88">
        <v>0.99226356000000004</v>
      </c>
      <c r="I1303" s="77">
        <v>0.97712153000000002</v>
      </c>
      <c r="J1303" s="15">
        <v>66.040000000000006</v>
      </c>
      <c r="R1303" s="53">
        <v>479.4</v>
      </c>
      <c r="S1303" s="76">
        <v>6.6193649999999997E-4</v>
      </c>
      <c r="T1303" s="138">
        <v>1.3447772E-2</v>
      </c>
    </row>
    <row r="1304" spans="8:20">
      <c r="H1304" s="88">
        <v>0.99224292999999997</v>
      </c>
      <c r="I1304" s="77">
        <v>0.97709953999999999</v>
      </c>
      <c r="J1304" s="15">
        <v>66.040999999999997</v>
      </c>
      <c r="R1304" s="53">
        <v>479.56299999999999</v>
      </c>
      <c r="S1304" s="76">
        <v>4.4479619999999997E-4</v>
      </c>
      <c r="T1304" s="138">
        <v>9.0652930000000003E-3</v>
      </c>
    </row>
    <row r="1305" spans="8:20">
      <c r="H1305" s="88">
        <v>0.99222220000000005</v>
      </c>
      <c r="I1305" s="77">
        <v>0.97707750000000004</v>
      </c>
      <c r="J1305" s="15">
        <v>66.042000000000002</v>
      </c>
      <c r="R1305" s="53">
        <v>479.73599999999999</v>
      </c>
      <c r="S1305" s="76">
        <v>2.1518962000000001E-4</v>
      </c>
      <c r="T1305" s="138">
        <v>4.4005633999999998E-3</v>
      </c>
    </row>
    <row r="1306" spans="8:20" ht="15" thickBot="1">
      <c r="H1306" s="88">
        <v>0.99220140000000001</v>
      </c>
      <c r="I1306" s="77">
        <v>0.97705542999999995</v>
      </c>
      <c r="J1306" s="15">
        <v>66.043000000000006</v>
      </c>
      <c r="R1306" s="57">
        <v>479.78699999999998</v>
      </c>
      <c r="S1306" s="137">
        <v>1.4766888E-4</v>
      </c>
      <c r="T1306" s="139">
        <v>3.0227840000000001E-3</v>
      </c>
    </row>
    <row r="1307" spans="8:20">
      <c r="H1307" s="88">
        <v>0.99218046999999998</v>
      </c>
      <c r="I1307" s="77">
        <v>0.97703340000000005</v>
      </c>
      <c r="J1307" s="15">
        <v>66.043999999999997</v>
      </c>
    </row>
    <row r="1308" spans="8:20">
      <c r="H1308" s="88">
        <v>0.99215940000000002</v>
      </c>
      <c r="I1308" s="77">
        <v>0.97701130000000003</v>
      </c>
      <c r="J1308" s="15">
        <v>66.045000000000002</v>
      </c>
    </row>
    <row r="1309" spans="8:20">
      <c r="H1309" s="88">
        <v>0.99213830000000003</v>
      </c>
      <c r="I1309" s="77">
        <v>0.9769892</v>
      </c>
      <c r="J1309" s="15">
        <v>66.046000000000006</v>
      </c>
    </row>
    <row r="1310" spans="8:20">
      <c r="H1310" s="88">
        <v>0.99211716999999999</v>
      </c>
      <c r="I1310" s="77">
        <v>0.97696709999999998</v>
      </c>
      <c r="J1310" s="15">
        <v>66.046999999999997</v>
      </c>
    </row>
    <row r="1311" spans="8:20">
      <c r="H1311" s="88">
        <v>0.99209590000000003</v>
      </c>
      <c r="I1311" s="77">
        <v>0.97694499999999995</v>
      </c>
      <c r="J1311" s="15">
        <v>66.048000000000002</v>
      </c>
    </row>
    <row r="1312" spans="8:20">
      <c r="H1312" s="88">
        <v>0.99207449999999997</v>
      </c>
      <c r="I1312" s="77">
        <v>0.97692279999999998</v>
      </c>
      <c r="J1312" s="15">
        <v>66.049000000000007</v>
      </c>
    </row>
    <row r="1313" spans="8:10">
      <c r="H1313" s="88">
        <v>0.99205303</v>
      </c>
      <c r="I1313" s="77">
        <v>0.97690063999999999</v>
      </c>
      <c r="J1313" s="15">
        <v>66.05</v>
      </c>
    </row>
    <row r="1314" spans="8:10">
      <c r="H1314" s="88">
        <v>0.99203145999999998</v>
      </c>
      <c r="I1314" s="77">
        <v>0.97687846</v>
      </c>
      <c r="J1314" s="15">
        <v>66.051000000000002</v>
      </c>
    </row>
    <row r="1315" spans="8:10">
      <c r="H1315" s="88">
        <v>0.99200980000000005</v>
      </c>
      <c r="I1315" s="77">
        <v>0.97685622999999999</v>
      </c>
      <c r="J1315" s="15">
        <v>66.052000000000007</v>
      </c>
    </row>
    <row r="1316" spans="8:10">
      <c r="H1316" s="88">
        <v>0.99198805999999995</v>
      </c>
      <c r="I1316" s="77">
        <v>0.97683399999999998</v>
      </c>
      <c r="J1316" s="15">
        <v>66.052999999999997</v>
      </c>
    </row>
    <row r="1317" spans="8:10">
      <c r="H1317" s="88">
        <v>0.99196620000000002</v>
      </c>
      <c r="I1317" s="77">
        <v>0.97681176999999997</v>
      </c>
      <c r="J1317" s="15">
        <v>66.054000000000002</v>
      </c>
    </row>
    <row r="1318" spans="8:10">
      <c r="H1318" s="88">
        <v>0.99194424999999997</v>
      </c>
      <c r="I1318" s="77">
        <v>0.97678949999999998</v>
      </c>
      <c r="J1318" s="15">
        <v>66.055000000000007</v>
      </c>
    </row>
    <row r="1319" spans="8:10">
      <c r="H1319" s="88">
        <v>0.99192219999999998</v>
      </c>
      <c r="I1319" s="77">
        <v>0.97676719999999995</v>
      </c>
      <c r="J1319" s="15">
        <v>66.055999999999997</v>
      </c>
    </row>
    <row r="1320" spans="8:10">
      <c r="H1320" s="88">
        <v>0.99190009999999995</v>
      </c>
      <c r="I1320" s="77">
        <v>0.97674483000000001</v>
      </c>
      <c r="J1320" s="15">
        <v>66.057000000000002</v>
      </c>
    </row>
    <row r="1321" spans="8:10">
      <c r="H1321" s="88">
        <v>0.99187780000000003</v>
      </c>
      <c r="I1321" s="77">
        <v>0.97672254000000003</v>
      </c>
      <c r="J1321" s="15">
        <v>66.058000000000007</v>
      </c>
    </row>
    <row r="1322" spans="8:10">
      <c r="H1322" s="88">
        <v>0.9918555</v>
      </c>
      <c r="I1322" s="77">
        <v>0.97670020000000002</v>
      </c>
      <c r="J1322" s="15">
        <v>66.058999999999997</v>
      </c>
    </row>
    <row r="1323" spans="8:10">
      <c r="H1323" s="88">
        <v>0.99183303</v>
      </c>
      <c r="I1323" s="77">
        <v>0.97667780000000004</v>
      </c>
      <c r="J1323" s="15">
        <v>66.06</v>
      </c>
    </row>
    <row r="1324" spans="8:10">
      <c r="H1324" s="88">
        <v>0.99181050000000004</v>
      </c>
      <c r="I1324" s="77">
        <v>0.97665535999999997</v>
      </c>
      <c r="J1324" s="15">
        <v>66.061000000000007</v>
      </c>
    </row>
    <row r="1325" spans="8:10">
      <c r="H1325" s="88">
        <v>0.99178785000000003</v>
      </c>
      <c r="I1325" s="77">
        <v>0.97663295000000006</v>
      </c>
      <c r="J1325" s="15">
        <v>66.061999999999998</v>
      </c>
    </row>
    <row r="1326" spans="8:10">
      <c r="H1326" s="88">
        <v>0.99176509999999996</v>
      </c>
      <c r="I1326" s="77">
        <v>0.97661054000000003</v>
      </c>
      <c r="J1326" s="15">
        <v>66.063000000000002</v>
      </c>
    </row>
    <row r="1327" spans="8:10">
      <c r="H1327" s="88">
        <v>0.99174225000000005</v>
      </c>
      <c r="I1327" s="77">
        <v>0.97658809999999996</v>
      </c>
      <c r="J1327" s="15">
        <v>66.063999999999993</v>
      </c>
    </row>
    <row r="1328" spans="8:10">
      <c r="H1328" s="88">
        <v>0.99171929999999997</v>
      </c>
      <c r="I1328" s="77">
        <v>0.97656553999999995</v>
      </c>
      <c r="J1328" s="15">
        <v>66.064999999999998</v>
      </c>
    </row>
    <row r="1329" spans="8:10">
      <c r="H1329" s="88">
        <v>0.99169624000000001</v>
      </c>
      <c r="I1329" s="77">
        <v>0.97654306999999996</v>
      </c>
      <c r="J1329" s="15">
        <v>66.066000000000003</v>
      </c>
    </row>
    <row r="1330" spans="8:10">
      <c r="H1330" s="88">
        <v>0.99167304999999994</v>
      </c>
      <c r="I1330" s="77">
        <v>0.97652053999999999</v>
      </c>
      <c r="J1330" s="15">
        <v>66.066999999999993</v>
      </c>
    </row>
    <row r="1331" spans="8:10">
      <c r="H1331" s="88">
        <v>0.99164975</v>
      </c>
      <c r="I1331" s="77">
        <v>0.97649799999999998</v>
      </c>
      <c r="J1331" s="15">
        <v>66.067999999999998</v>
      </c>
    </row>
    <row r="1332" spans="8:10">
      <c r="H1332" s="88">
        <v>0.99162640000000002</v>
      </c>
      <c r="I1332" s="77">
        <v>0.97647539999999999</v>
      </c>
      <c r="J1332" s="15">
        <v>66.069000000000003</v>
      </c>
    </row>
    <row r="1333" spans="8:10">
      <c r="H1333" s="88">
        <v>0.99160283999999999</v>
      </c>
      <c r="I1333" s="77">
        <v>0.97645280000000001</v>
      </c>
      <c r="J1333" s="15">
        <v>66.069999999999993</v>
      </c>
    </row>
    <row r="1334" spans="8:10">
      <c r="H1334" s="88">
        <v>0.99157923000000003</v>
      </c>
      <c r="I1334" s="77">
        <v>0.97643020000000003</v>
      </c>
      <c r="J1334" s="15">
        <v>66.070999999999998</v>
      </c>
    </row>
    <row r="1335" spans="8:10">
      <c r="H1335" s="88">
        <v>0.99155550000000003</v>
      </c>
      <c r="I1335" s="77">
        <v>0.97640749999999998</v>
      </c>
      <c r="J1335" s="15">
        <v>66.072000000000003</v>
      </c>
    </row>
    <row r="1336" spans="8:10">
      <c r="H1336" s="88">
        <v>0.99153170000000002</v>
      </c>
      <c r="I1336" s="77">
        <v>0.9763849</v>
      </c>
      <c r="J1336" s="15">
        <v>66.072999999999993</v>
      </c>
    </row>
    <row r="1337" spans="8:10">
      <c r="H1337" s="88">
        <v>0.99150777000000001</v>
      </c>
      <c r="I1337" s="77">
        <v>0.97636217000000003</v>
      </c>
      <c r="J1337" s="15">
        <v>66.073999999999998</v>
      </c>
    </row>
    <row r="1338" spans="8:10">
      <c r="H1338" s="88">
        <v>0.99148369999999997</v>
      </c>
      <c r="I1338" s="77">
        <v>0.97633946000000005</v>
      </c>
      <c r="J1338" s="15">
        <v>66.075000000000003</v>
      </c>
    </row>
    <row r="1339" spans="8:10">
      <c r="H1339" s="88">
        <v>0.99145954999999997</v>
      </c>
      <c r="I1339" s="77">
        <v>0.97631674999999996</v>
      </c>
      <c r="J1339" s="15">
        <v>66.075999999999993</v>
      </c>
    </row>
    <row r="1340" spans="8:10">
      <c r="H1340" s="88">
        <v>0.99143519999999996</v>
      </c>
      <c r="I1340" s="77">
        <v>0.976294</v>
      </c>
      <c r="J1340" s="15">
        <v>66.076999999999998</v>
      </c>
    </row>
    <row r="1341" spans="8:10">
      <c r="H1341" s="88">
        <v>0.99141080000000004</v>
      </c>
      <c r="I1341" s="77">
        <v>0.97627120000000001</v>
      </c>
      <c r="J1341" s="15">
        <v>66.078000000000003</v>
      </c>
    </row>
    <row r="1342" spans="8:10">
      <c r="H1342" s="88">
        <v>0.99138630000000005</v>
      </c>
      <c r="I1342" s="77">
        <v>0.97624840000000002</v>
      </c>
      <c r="J1342" s="15">
        <v>66.078999999999994</v>
      </c>
    </row>
    <row r="1343" spans="8:10">
      <c r="H1343" s="88">
        <v>0.99136170000000001</v>
      </c>
      <c r="I1343" s="77">
        <v>0.97622555</v>
      </c>
      <c r="J1343" s="15">
        <v>66.08</v>
      </c>
    </row>
    <row r="1344" spans="8:10">
      <c r="H1344" s="88">
        <v>0.99133689999999997</v>
      </c>
      <c r="I1344" s="77">
        <v>0.97620269999999998</v>
      </c>
      <c r="J1344" s="15">
        <v>66.081000000000003</v>
      </c>
    </row>
    <row r="1345" spans="8:10">
      <c r="H1345" s="88">
        <v>0.99131197000000004</v>
      </c>
      <c r="I1345" s="77">
        <v>0.97617984000000002</v>
      </c>
      <c r="J1345" s="15">
        <v>66.081999999999994</v>
      </c>
    </row>
    <row r="1346" spans="8:10">
      <c r="H1346" s="88">
        <v>0.99128700000000003</v>
      </c>
      <c r="I1346" s="77">
        <v>0.97615695000000002</v>
      </c>
      <c r="J1346" s="15">
        <v>66.082999999999998</v>
      </c>
    </row>
    <row r="1347" spans="8:10">
      <c r="H1347" s="88">
        <v>0.99126183999999995</v>
      </c>
      <c r="I1347" s="77">
        <v>0.97613399999999995</v>
      </c>
      <c r="J1347" s="15">
        <v>66.084000000000003</v>
      </c>
    </row>
    <row r="1348" spans="8:10">
      <c r="H1348" s="88">
        <v>0.99123660000000002</v>
      </c>
      <c r="I1348" s="77">
        <v>0.97611104999999998</v>
      </c>
      <c r="J1348" s="15">
        <v>66.084999999999994</v>
      </c>
    </row>
    <row r="1349" spans="8:10">
      <c r="H1349" s="88">
        <v>0.99121124000000005</v>
      </c>
      <c r="I1349" s="77">
        <v>0.97608810000000001</v>
      </c>
      <c r="J1349" s="15">
        <v>66.085999999999999</v>
      </c>
    </row>
    <row r="1350" spans="8:10">
      <c r="H1350" s="88">
        <v>0.99118569999999995</v>
      </c>
      <c r="I1350" s="77">
        <v>0.97606510000000002</v>
      </c>
      <c r="J1350" s="15">
        <v>66.087000000000003</v>
      </c>
    </row>
    <row r="1351" spans="8:10">
      <c r="H1351" s="88">
        <v>0.99116009999999999</v>
      </c>
      <c r="I1351" s="77">
        <v>0.97604203</v>
      </c>
      <c r="J1351" s="15">
        <v>66.087999999999994</v>
      </c>
    </row>
    <row r="1352" spans="8:10">
      <c r="H1352" s="88">
        <v>0.99113430000000002</v>
      </c>
      <c r="I1352" s="77">
        <v>0.97601899999999997</v>
      </c>
      <c r="J1352" s="15">
        <v>66.088999999999999</v>
      </c>
    </row>
    <row r="1353" spans="8:10">
      <c r="H1353" s="88">
        <v>0.9911084</v>
      </c>
      <c r="I1353" s="77">
        <v>0.97599590000000003</v>
      </c>
      <c r="J1353" s="15">
        <v>66.09</v>
      </c>
    </row>
    <row r="1354" spans="8:10">
      <c r="H1354" s="88">
        <v>0.99108240000000003</v>
      </c>
      <c r="I1354" s="77">
        <v>0.97597283000000001</v>
      </c>
      <c r="J1354" s="15">
        <v>66.090999999999994</v>
      </c>
    </row>
    <row r="1355" spans="8:10">
      <c r="H1355" s="88">
        <v>0.99105626000000002</v>
      </c>
      <c r="I1355" s="77">
        <v>0.97594970000000003</v>
      </c>
      <c r="J1355" s="15">
        <v>66.091999999999999</v>
      </c>
    </row>
    <row r="1356" spans="8:10">
      <c r="H1356" s="88">
        <v>0.99102990000000002</v>
      </c>
      <c r="I1356" s="77">
        <v>0.97592650000000003</v>
      </c>
      <c r="J1356" s="15">
        <v>66.093000000000004</v>
      </c>
    </row>
    <row r="1357" spans="8:10">
      <c r="H1357" s="88">
        <v>0.99100350000000004</v>
      </c>
      <c r="I1357" s="77">
        <v>0.97590332999999996</v>
      </c>
      <c r="J1357" s="15">
        <v>66.093999999999994</v>
      </c>
    </row>
    <row r="1358" spans="8:10">
      <c r="H1358" s="88">
        <v>0.990977</v>
      </c>
      <c r="I1358" s="77">
        <v>0.97588014999999995</v>
      </c>
      <c r="J1358" s="15">
        <v>66.094999999999999</v>
      </c>
    </row>
    <row r="1359" spans="8:10">
      <c r="H1359" s="88">
        <v>0.99095029999999995</v>
      </c>
      <c r="I1359" s="77">
        <v>0.97585690000000003</v>
      </c>
      <c r="J1359" s="15">
        <v>66.096000000000004</v>
      </c>
    </row>
    <row r="1360" spans="8:10">
      <c r="H1360" s="88">
        <v>0.99092340000000001</v>
      </c>
      <c r="I1360" s="77">
        <v>0.97583359999999997</v>
      </c>
      <c r="J1360" s="15">
        <v>66.096999999999994</v>
      </c>
    </row>
    <row r="1361" spans="8:10">
      <c r="H1361" s="88">
        <v>0.99089645999999998</v>
      </c>
      <c r="I1361" s="77">
        <v>0.97581035000000005</v>
      </c>
      <c r="J1361" s="15">
        <v>66.097999999999999</v>
      </c>
    </row>
    <row r="1362" spans="8:10">
      <c r="H1362" s="88">
        <v>0.99086934000000004</v>
      </c>
      <c r="I1362" s="77">
        <v>0.97578699999999996</v>
      </c>
      <c r="J1362" s="15">
        <v>66.099000000000004</v>
      </c>
    </row>
    <row r="1363" spans="8:10">
      <c r="H1363" s="88">
        <v>0.99084209999999995</v>
      </c>
      <c r="I1363" s="77">
        <v>0.97576370000000001</v>
      </c>
      <c r="J1363" s="15">
        <v>66.099999999999994</v>
      </c>
    </row>
    <row r="1364" spans="8:10">
      <c r="H1364" s="88">
        <v>0.99081470000000005</v>
      </c>
      <c r="I1364" s="77">
        <v>0.97574024999999998</v>
      </c>
      <c r="J1364" s="15">
        <v>66.100999999999999</v>
      </c>
    </row>
    <row r="1365" spans="8:10">
      <c r="H1365" s="88">
        <v>0.99078714999999995</v>
      </c>
      <c r="I1365" s="77">
        <v>0.9757169</v>
      </c>
      <c r="J1365" s="15">
        <v>66.102000000000004</v>
      </c>
    </row>
    <row r="1366" spans="8:10">
      <c r="H1366" s="88">
        <v>0.99075943</v>
      </c>
      <c r="I1366" s="77">
        <v>0.97569346000000001</v>
      </c>
      <c r="J1366" s="15">
        <v>66.102999999999994</v>
      </c>
    </row>
    <row r="1367" spans="8:10">
      <c r="H1367" s="88">
        <v>0.99073160000000005</v>
      </c>
      <c r="I1367" s="77">
        <v>0.97567000000000004</v>
      </c>
      <c r="J1367" s="15">
        <v>66.103999999999999</v>
      </c>
    </row>
    <row r="1368" spans="8:10">
      <c r="H1368" s="88">
        <v>0.99070360000000002</v>
      </c>
      <c r="I1368" s="77">
        <v>0.97564649999999997</v>
      </c>
      <c r="J1368" s="15">
        <v>66.105000000000004</v>
      </c>
    </row>
    <row r="1369" spans="8:10">
      <c r="H1369" s="88">
        <v>0.99067545000000001</v>
      </c>
      <c r="I1369" s="77">
        <v>0.97562294999999999</v>
      </c>
      <c r="J1369" s="15">
        <v>66.105999999999995</v>
      </c>
    </row>
    <row r="1370" spans="8:10">
      <c r="H1370" s="88">
        <v>0.99064719999999995</v>
      </c>
      <c r="I1370" s="77">
        <v>0.97559940000000001</v>
      </c>
      <c r="J1370" s="15">
        <v>66.106999999999999</v>
      </c>
    </row>
    <row r="1371" spans="8:10">
      <c r="H1371" s="88">
        <v>0.99061869999999996</v>
      </c>
      <c r="I1371" s="77">
        <v>0.97557579999999999</v>
      </c>
      <c r="J1371" s="15">
        <v>66.108000000000004</v>
      </c>
    </row>
    <row r="1372" spans="8:10">
      <c r="H1372" s="88">
        <v>0.99059016</v>
      </c>
      <c r="I1372" s="77">
        <v>0.97555219999999998</v>
      </c>
      <c r="J1372" s="15">
        <v>66.108999999999995</v>
      </c>
    </row>
    <row r="1373" spans="8:10">
      <c r="H1373" s="88">
        <v>0.99056137</v>
      </c>
      <c r="I1373" s="77">
        <v>0.97552859999999997</v>
      </c>
      <c r="J1373" s="15">
        <v>66.11</v>
      </c>
    </row>
    <row r="1374" spans="8:10">
      <c r="H1374" s="88">
        <v>0.99053245999999995</v>
      </c>
      <c r="I1374" s="77">
        <v>0.97550493000000005</v>
      </c>
      <c r="J1374" s="15">
        <v>66.111000000000004</v>
      </c>
    </row>
    <row r="1375" spans="8:10">
      <c r="H1375" s="88">
        <v>0.99050340000000003</v>
      </c>
      <c r="I1375" s="77">
        <v>0.97548120000000005</v>
      </c>
      <c r="J1375" s="15">
        <v>66.111999999999995</v>
      </c>
    </row>
    <row r="1376" spans="8:10">
      <c r="H1376" s="88">
        <v>0.99047415999999999</v>
      </c>
      <c r="I1376" s="77">
        <v>0.97545749999999998</v>
      </c>
      <c r="J1376" s="15">
        <v>66.113</v>
      </c>
    </row>
    <row r="1377" spans="8:10">
      <c r="H1377" s="88">
        <v>0.99044469999999996</v>
      </c>
      <c r="I1377" s="77">
        <v>0.97543369999999996</v>
      </c>
      <c r="J1377" s="15">
        <v>66.114000000000004</v>
      </c>
    </row>
    <row r="1378" spans="8:10">
      <c r="H1378" s="88">
        <v>0.99041520000000005</v>
      </c>
      <c r="I1378" s="77">
        <v>0.97540990000000005</v>
      </c>
      <c r="J1378" s="15">
        <v>66.114999999999995</v>
      </c>
    </row>
    <row r="1379" spans="8:10">
      <c r="H1379" s="88">
        <v>0.99038550000000003</v>
      </c>
      <c r="I1379" s="77">
        <v>0.97538610000000003</v>
      </c>
      <c r="J1379" s="15">
        <v>66.116</v>
      </c>
    </row>
    <row r="1380" spans="8:10">
      <c r="H1380" s="88">
        <v>0.99035554999999997</v>
      </c>
      <c r="I1380" s="77">
        <v>0.97536224000000005</v>
      </c>
      <c r="J1380" s="15">
        <v>66.117000000000004</v>
      </c>
    </row>
    <row r="1381" spans="8:10">
      <c r="H1381" s="88">
        <v>0.99032549999999997</v>
      </c>
      <c r="I1381" s="77">
        <v>0.97533833999999997</v>
      </c>
      <c r="J1381" s="15">
        <v>66.117999999999995</v>
      </c>
    </row>
    <row r="1382" spans="8:10">
      <c r="H1382" s="88">
        <v>0.99029529999999999</v>
      </c>
      <c r="I1382" s="77">
        <v>0.97531444</v>
      </c>
      <c r="J1382" s="15">
        <v>66.119</v>
      </c>
    </row>
    <row r="1383" spans="8:10">
      <c r="H1383" s="88">
        <v>0.99026482999999998</v>
      </c>
      <c r="I1383" s="77">
        <v>0.97529049999999995</v>
      </c>
      <c r="J1383" s="15">
        <v>66.12</v>
      </c>
    </row>
    <row r="1384" spans="8:10">
      <c r="H1384" s="88">
        <v>0.99023426000000003</v>
      </c>
      <c r="I1384" s="77">
        <v>0.97526645999999995</v>
      </c>
      <c r="J1384" s="15">
        <v>66.120999999999995</v>
      </c>
    </row>
    <row r="1385" spans="8:10">
      <c r="H1385" s="88">
        <v>0.99020350000000001</v>
      </c>
      <c r="I1385" s="77">
        <v>0.97524244000000004</v>
      </c>
      <c r="J1385" s="15">
        <v>66.122</v>
      </c>
    </row>
    <row r="1386" spans="8:10">
      <c r="H1386" s="88">
        <v>0.99017255999999998</v>
      </c>
      <c r="I1386" s="77">
        <v>0.97521835999999995</v>
      </c>
      <c r="J1386" s="15">
        <v>66.123000000000005</v>
      </c>
    </row>
    <row r="1387" spans="8:10">
      <c r="H1387" s="88">
        <v>0.99014144999999998</v>
      </c>
      <c r="I1387" s="77">
        <v>0.97519429999999996</v>
      </c>
      <c r="J1387" s="15">
        <v>66.123999999999995</v>
      </c>
    </row>
    <row r="1388" spans="8:10">
      <c r="H1388" s="88">
        <v>0.99011015999999996</v>
      </c>
      <c r="I1388" s="77">
        <v>0.97517019999999999</v>
      </c>
      <c r="J1388" s="15">
        <v>66.125</v>
      </c>
    </row>
    <row r="1389" spans="8:10">
      <c r="H1389" s="88">
        <v>0.99007869999999998</v>
      </c>
      <c r="I1389" s="77">
        <v>0.97514599999999996</v>
      </c>
      <c r="J1389" s="15">
        <v>66.126000000000005</v>
      </c>
    </row>
    <row r="1390" spans="8:10">
      <c r="H1390" s="88">
        <v>0.99004703999999999</v>
      </c>
      <c r="I1390" s="77">
        <v>0.97512180000000004</v>
      </c>
      <c r="J1390" s="15">
        <v>66.126999999999995</v>
      </c>
    </row>
    <row r="1391" spans="8:10">
      <c r="H1391" s="88">
        <v>0.99001514999999995</v>
      </c>
      <c r="I1391" s="77">
        <v>0.97509760000000001</v>
      </c>
      <c r="J1391" s="15">
        <v>66.128</v>
      </c>
    </row>
    <row r="1392" spans="8:10">
      <c r="H1392" s="88">
        <v>0.9899831</v>
      </c>
      <c r="I1392" s="77">
        <v>0.97507334000000001</v>
      </c>
      <c r="J1392" s="15">
        <v>66.129000000000005</v>
      </c>
    </row>
    <row r="1393" spans="8:10">
      <c r="H1393" s="88">
        <v>0.98995089999999997</v>
      </c>
      <c r="I1393" s="77">
        <v>0.97504900000000005</v>
      </c>
      <c r="J1393" s="15">
        <v>66.13</v>
      </c>
    </row>
    <row r="1394" spans="8:10">
      <c r="H1394" s="88">
        <v>0.98991839999999998</v>
      </c>
      <c r="I1394" s="77">
        <v>0.97502469999999997</v>
      </c>
      <c r="J1394" s="15">
        <v>66.131</v>
      </c>
    </row>
    <row r="1395" spans="8:10">
      <c r="H1395" s="88">
        <v>0.98988580000000004</v>
      </c>
      <c r="I1395" s="77">
        <v>0.97500030000000004</v>
      </c>
      <c r="J1395" s="15">
        <v>66.132000000000005</v>
      </c>
    </row>
    <row r="1396" spans="8:10">
      <c r="H1396" s="88">
        <v>0.98985296</v>
      </c>
      <c r="I1396" s="77">
        <v>0.97497590000000001</v>
      </c>
      <c r="J1396" s="15">
        <v>66.132999999999996</v>
      </c>
    </row>
    <row r="1397" spans="8:10">
      <c r="H1397" s="88">
        <v>0.98981993999999995</v>
      </c>
      <c r="I1397" s="77">
        <v>0.97495145000000005</v>
      </c>
      <c r="J1397" s="15">
        <v>66.134</v>
      </c>
    </row>
    <row r="1398" spans="8:10">
      <c r="H1398" s="88">
        <v>0.98978674</v>
      </c>
      <c r="I1398" s="77">
        <v>0.97492694999999996</v>
      </c>
      <c r="J1398" s="15">
        <v>66.135000000000005</v>
      </c>
    </row>
    <row r="1399" spans="8:10">
      <c r="H1399" s="88">
        <v>0.98975329999999995</v>
      </c>
      <c r="I1399" s="77">
        <v>0.97490244999999998</v>
      </c>
      <c r="J1399" s="15">
        <v>66.135999999999996</v>
      </c>
    </row>
    <row r="1400" spans="8:10">
      <c r="H1400" s="88">
        <v>0.98971960000000003</v>
      </c>
      <c r="I1400" s="77">
        <v>0.97487789999999996</v>
      </c>
      <c r="J1400" s="15">
        <v>66.137</v>
      </c>
    </row>
    <row r="1401" spans="8:10">
      <c r="H1401" s="88">
        <v>0.98968579999999995</v>
      </c>
      <c r="I1401" s="77">
        <v>0.97485330000000003</v>
      </c>
      <c r="J1401" s="15">
        <v>66.138000000000005</v>
      </c>
    </row>
    <row r="1402" spans="8:10">
      <c r="H1402" s="88">
        <v>0.98965174</v>
      </c>
      <c r="I1402" s="77">
        <v>0.97482860000000005</v>
      </c>
      <c r="J1402" s="15">
        <v>66.138999999999996</v>
      </c>
    </row>
    <row r="1403" spans="8:10">
      <c r="H1403" s="88">
        <v>0.98961747</v>
      </c>
      <c r="I1403" s="77">
        <v>0.97480389999999995</v>
      </c>
      <c r="J1403" s="15">
        <v>66.14</v>
      </c>
    </row>
    <row r="1404" spans="8:10">
      <c r="H1404" s="88">
        <v>0.98958296000000001</v>
      </c>
      <c r="I1404" s="77">
        <v>0.97477924999999999</v>
      </c>
      <c r="J1404" s="15">
        <v>66.141000000000005</v>
      </c>
    </row>
    <row r="1405" spans="8:10">
      <c r="H1405" s="88">
        <v>0.98954827000000001</v>
      </c>
      <c r="I1405" s="77">
        <v>0.97475445000000005</v>
      </c>
      <c r="J1405" s="15">
        <v>66.141999999999996</v>
      </c>
    </row>
    <row r="1406" spans="8:10">
      <c r="H1406" s="88">
        <v>0.98951334000000002</v>
      </c>
      <c r="I1406" s="77">
        <v>0.97472966000000005</v>
      </c>
      <c r="J1406" s="15">
        <v>66.143000000000001</v>
      </c>
    </row>
    <row r="1407" spans="8:10">
      <c r="H1407" s="88">
        <v>0.98947819999999997</v>
      </c>
      <c r="I1407" s="77">
        <v>0.97470480000000004</v>
      </c>
      <c r="J1407" s="15">
        <v>66.144000000000005</v>
      </c>
    </row>
    <row r="1408" spans="8:10">
      <c r="H1408" s="88">
        <v>0.98944277000000003</v>
      </c>
      <c r="I1408" s="77">
        <v>0.97467994999999996</v>
      </c>
      <c r="J1408" s="15">
        <v>66.144999999999996</v>
      </c>
    </row>
    <row r="1409" spans="8:10">
      <c r="H1409" s="88">
        <v>0.98940720000000004</v>
      </c>
      <c r="I1409" s="77">
        <v>0.97465502999999998</v>
      </c>
      <c r="J1409" s="15">
        <v>66.146000000000001</v>
      </c>
    </row>
    <row r="1410" spans="8:10">
      <c r="H1410" s="88">
        <v>0.98937129999999995</v>
      </c>
      <c r="I1410" s="77">
        <v>0.97463005999999996</v>
      </c>
      <c r="J1410" s="15">
        <v>66.147000000000006</v>
      </c>
    </row>
    <row r="1411" spans="8:10">
      <c r="H1411" s="88">
        <v>0.98933523999999995</v>
      </c>
      <c r="I1411" s="77">
        <v>0.97460500000000005</v>
      </c>
      <c r="J1411" s="15">
        <v>66.147999999999996</v>
      </c>
    </row>
    <row r="1412" spans="8:10">
      <c r="H1412" s="88">
        <v>0.98929893999999996</v>
      </c>
      <c r="I1412" s="77">
        <v>0.97458</v>
      </c>
      <c r="J1412" s="15">
        <v>66.149000000000001</v>
      </c>
    </row>
    <row r="1413" spans="8:10">
      <c r="H1413" s="88">
        <v>0.98926234000000002</v>
      </c>
      <c r="I1413" s="77">
        <v>0.9745549</v>
      </c>
      <c r="J1413" s="15">
        <v>66.150000000000006</v>
      </c>
    </row>
    <row r="1414" spans="8:10">
      <c r="H1414" s="88">
        <v>0.98922557</v>
      </c>
      <c r="I1414" s="77">
        <v>0.97452974000000003</v>
      </c>
      <c r="J1414" s="15">
        <v>66.150999999999996</v>
      </c>
    </row>
    <row r="1415" spans="8:10">
      <c r="H1415" s="88">
        <v>0.98918850000000003</v>
      </c>
      <c r="I1415" s="77">
        <v>0.97450460000000005</v>
      </c>
      <c r="J1415" s="15">
        <v>66.152000000000001</v>
      </c>
    </row>
    <row r="1416" spans="8:10">
      <c r="H1416" s="88">
        <v>0.98915120000000001</v>
      </c>
      <c r="I1416" s="77">
        <v>0.9744794</v>
      </c>
      <c r="J1416" s="15">
        <v>66.153000000000006</v>
      </c>
    </row>
    <row r="1417" spans="8:10">
      <c r="H1417" s="88">
        <v>0.98911360000000004</v>
      </c>
      <c r="I1417" s="77">
        <v>0.97445404999999996</v>
      </c>
      <c r="J1417" s="15">
        <v>66.153999999999996</v>
      </c>
    </row>
    <row r="1418" spans="8:10">
      <c r="H1418" s="88">
        <v>0.98907584000000004</v>
      </c>
      <c r="I1418" s="77">
        <v>0.97442879999999998</v>
      </c>
      <c r="J1418" s="15">
        <v>66.155000000000001</v>
      </c>
    </row>
    <row r="1419" spans="8:10">
      <c r="H1419" s="88">
        <v>0.98903775000000005</v>
      </c>
      <c r="I1419" s="77">
        <v>0.97440340000000003</v>
      </c>
      <c r="J1419" s="15">
        <v>66.156000000000006</v>
      </c>
    </row>
    <row r="1420" spans="8:10">
      <c r="H1420" s="88">
        <v>0.98899939999999997</v>
      </c>
      <c r="I1420" s="77">
        <v>0.97437799999999997</v>
      </c>
      <c r="J1420" s="15">
        <v>66.156999999999996</v>
      </c>
    </row>
    <row r="1421" spans="8:10">
      <c r="H1421" s="88">
        <v>0.98896086000000005</v>
      </c>
      <c r="I1421" s="77">
        <v>0.97435254000000004</v>
      </c>
      <c r="J1421" s="15">
        <v>66.158000000000001</v>
      </c>
    </row>
    <row r="1422" spans="8:10">
      <c r="H1422" s="88">
        <v>0.98892199999999997</v>
      </c>
      <c r="I1422" s="77">
        <v>0.97432700000000005</v>
      </c>
      <c r="J1422" s="15">
        <v>66.159000000000006</v>
      </c>
    </row>
    <row r="1423" spans="8:10">
      <c r="H1423" s="88">
        <v>0.98888284000000004</v>
      </c>
      <c r="I1423" s="77">
        <v>0.97430145999999995</v>
      </c>
      <c r="J1423" s="15">
        <v>66.16</v>
      </c>
    </row>
    <row r="1424" spans="8:10">
      <c r="H1424" s="88">
        <v>0.98884344000000002</v>
      </c>
      <c r="I1424" s="77">
        <v>0.97427580000000003</v>
      </c>
      <c r="J1424" s="15">
        <v>66.161000000000001</v>
      </c>
    </row>
    <row r="1425" spans="8:10">
      <c r="H1425" s="88">
        <v>0.98880374000000004</v>
      </c>
      <c r="I1425" s="77">
        <v>0.97425019999999996</v>
      </c>
      <c r="J1425" s="15">
        <v>66.162000000000006</v>
      </c>
    </row>
    <row r="1426" spans="8:10">
      <c r="H1426" s="88">
        <v>0.98876375000000005</v>
      </c>
      <c r="I1426" s="77">
        <v>0.97422450000000005</v>
      </c>
      <c r="J1426" s="15">
        <v>66.162999999999997</v>
      </c>
    </row>
    <row r="1427" spans="8:10">
      <c r="H1427" s="88">
        <v>0.98872346</v>
      </c>
      <c r="I1427" s="77">
        <v>0.97419876000000005</v>
      </c>
      <c r="J1427" s="15">
        <v>66.164000000000001</v>
      </c>
    </row>
    <row r="1428" spans="8:10">
      <c r="H1428" s="88">
        <v>0.98868290000000003</v>
      </c>
      <c r="I1428" s="77">
        <v>0.97417295000000004</v>
      </c>
      <c r="J1428" s="15">
        <v>66.165000000000006</v>
      </c>
    </row>
    <row r="1429" spans="8:10">
      <c r="H1429" s="88">
        <v>0.98864209999999997</v>
      </c>
      <c r="I1429" s="77">
        <v>0.97414710000000004</v>
      </c>
      <c r="J1429" s="15">
        <v>66.165999999999997</v>
      </c>
    </row>
    <row r="1430" spans="8:10">
      <c r="H1430" s="88">
        <v>0.9886009</v>
      </c>
      <c r="I1430" s="77">
        <v>0.97412114999999999</v>
      </c>
      <c r="J1430" s="15">
        <v>66.167000000000002</v>
      </c>
    </row>
    <row r="1431" spans="8:10">
      <c r="H1431" s="88">
        <v>0.98855950000000004</v>
      </c>
      <c r="I1431" s="77">
        <v>0.97409520000000005</v>
      </c>
      <c r="J1431" s="15">
        <v>66.168000000000006</v>
      </c>
    </row>
    <row r="1432" spans="8:10">
      <c r="H1432" s="88">
        <v>0.98851770000000005</v>
      </c>
      <c r="I1432" s="77">
        <v>0.97406919999999997</v>
      </c>
      <c r="J1432" s="15">
        <v>66.168999999999997</v>
      </c>
    </row>
    <row r="1433" spans="8:10">
      <c r="H1433" s="88">
        <v>0.98847560000000001</v>
      </c>
      <c r="I1433" s="77">
        <v>0.97404312999999998</v>
      </c>
      <c r="J1433" s="15">
        <v>66.17</v>
      </c>
    </row>
    <row r="1434" spans="8:10">
      <c r="H1434" s="88">
        <v>0.98843323999999999</v>
      </c>
      <c r="I1434" s="77">
        <v>0.97401696000000004</v>
      </c>
      <c r="J1434" s="15">
        <v>66.171000000000006</v>
      </c>
    </row>
    <row r="1435" spans="8:10">
      <c r="H1435" s="88">
        <v>0.98839056000000003</v>
      </c>
      <c r="I1435" s="77">
        <v>0.97399080000000005</v>
      </c>
      <c r="J1435" s="15">
        <v>66.171999999999997</v>
      </c>
    </row>
    <row r="1436" spans="8:10">
      <c r="H1436" s="88">
        <v>0.98834752999999997</v>
      </c>
      <c r="I1436" s="77">
        <v>0.97396459999999996</v>
      </c>
      <c r="J1436" s="15">
        <v>66.173000000000002</v>
      </c>
    </row>
    <row r="1437" spans="8:10">
      <c r="H1437" s="88">
        <v>0.98830414</v>
      </c>
      <c r="I1437" s="77">
        <v>0.97393830000000003</v>
      </c>
      <c r="J1437" s="15">
        <v>66.174000000000007</v>
      </c>
    </row>
    <row r="1438" spans="8:10">
      <c r="H1438" s="88">
        <v>0.98826044999999996</v>
      </c>
      <c r="I1438" s="77">
        <v>0.97391194000000003</v>
      </c>
      <c r="J1438" s="15">
        <v>66.174999999999997</v>
      </c>
    </row>
    <row r="1439" spans="8:10">
      <c r="H1439" s="88">
        <v>0.98821645999999996</v>
      </c>
      <c r="I1439" s="77">
        <v>0.97388554000000005</v>
      </c>
      <c r="J1439" s="15">
        <v>66.176000000000002</v>
      </c>
    </row>
    <row r="1440" spans="8:10">
      <c r="H1440" s="88">
        <v>0.98817204999999997</v>
      </c>
      <c r="I1440" s="77">
        <v>0.97385909999999998</v>
      </c>
      <c r="J1440" s="15">
        <v>66.177000000000007</v>
      </c>
    </row>
    <row r="1441" spans="8:10">
      <c r="H1441" s="88">
        <v>0.98812734999999996</v>
      </c>
      <c r="I1441" s="77">
        <v>0.97383255000000002</v>
      </c>
      <c r="J1441" s="15">
        <v>66.177999999999997</v>
      </c>
    </row>
    <row r="1442" spans="8:10">
      <c r="H1442" s="88">
        <v>0.98808229999999997</v>
      </c>
      <c r="I1442" s="77">
        <v>0.9738059</v>
      </c>
      <c r="J1442" s="15">
        <v>66.179000000000002</v>
      </c>
    </row>
    <row r="1443" spans="8:10">
      <c r="H1443" s="88">
        <v>0.98803680000000005</v>
      </c>
      <c r="I1443" s="77">
        <v>0.97377926000000004</v>
      </c>
      <c r="J1443" s="15">
        <v>66.180000000000007</v>
      </c>
    </row>
    <row r="1444" spans="8:10">
      <c r="H1444" s="88">
        <v>0.98799102999999999</v>
      </c>
      <c r="I1444" s="77">
        <v>0.97375255999999999</v>
      </c>
      <c r="J1444" s="15">
        <v>66.180999999999997</v>
      </c>
    </row>
    <row r="1445" spans="8:10">
      <c r="H1445" s="88">
        <v>0.98794490000000001</v>
      </c>
      <c r="I1445" s="77">
        <v>0.97372579999999997</v>
      </c>
      <c r="J1445" s="15">
        <v>66.182000000000002</v>
      </c>
    </row>
    <row r="1446" spans="8:10">
      <c r="H1446" s="88">
        <v>0.98789835000000004</v>
      </c>
      <c r="I1446" s="77">
        <v>0.97369899999999998</v>
      </c>
      <c r="J1446" s="15">
        <v>66.183000000000007</v>
      </c>
    </row>
    <row r="1447" spans="8:10">
      <c r="H1447" s="88">
        <v>0.98785140000000005</v>
      </c>
      <c r="I1447" s="77">
        <v>0.97367203000000002</v>
      </c>
      <c r="J1447" s="15">
        <v>66.183999999999997</v>
      </c>
    </row>
    <row r="1448" spans="8:10">
      <c r="H1448" s="88">
        <v>0.98780409999999996</v>
      </c>
      <c r="I1448" s="77">
        <v>0.97364510000000004</v>
      </c>
      <c r="J1448" s="15">
        <v>66.185000000000002</v>
      </c>
    </row>
    <row r="1449" spans="8:10">
      <c r="H1449" s="88">
        <v>0.98775639999999998</v>
      </c>
      <c r="I1449" s="77">
        <v>0.97361803000000002</v>
      </c>
      <c r="J1449" s="15">
        <v>66.186000000000007</v>
      </c>
    </row>
    <row r="1450" spans="8:10">
      <c r="H1450" s="88">
        <v>0.98770829999999998</v>
      </c>
      <c r="I1450" s="77">
        <v>0.97359097000000006</v>
      </c>
      <c r="J1450" s="15">
        <v>66.186999999999998</v>
      </c>
    </row>
    <row r="1451" spans="8:10">
      <c r="H1451" s="88">
        <v>0.98765979999999998</v>
      </c>
      <c r="I1451" s="77">
        <v>0.97356379999999998</v>
      </c>
      <c r="J1451" s="15">
        <v>66.188000000000002</v>
      </c>
    </row>
    <row r="1452" spans="8:10">
      <c r="H1452" s="88">
        <v>0.98761089999999996</v>
      </c>
      <c r="I1452" s="77">
        <v>0.97353654999999995</v>
      </c>
      <c r="J1452" s="15">
        <v>66.188999999999993</v>
      </c>
    </row>
    <row r="1453" spans="8:10">
      <c r="H1453" s="88">
        <v>0.98756149999999998</v>
      </c>
      <c r="I1453" s="77">
        <v>0.97350924999999999</v>
      </c>
      <c r="J1453" s="15">
        <v>66.19</v>
      </c>
    </row>
    <row r="1454" spans="8:10">
      <c r="H1454" s="88">
        <v>0.98751175000000002</v>
      </c>
      <c r="I1454" s="77">
        <v>0.97348190000000001</v>
      </c>
      <c r="J1454" s="15">
        <v>66.191000000000003</v>
      </c>
    </row>
    <row r="1455" spans="8:10">
      <c r="H1455" s="88">
        <v>0.98746157000000001</v>
      </c>
      <c r="I1455" s="77">
        <v>0.97345440000000005</v>
      </c>
      <c r="J1455" s="15">
        <v>66.191999999999993</v>
      </c>
    </row>
    <row r="1456" spans="8:10">
      <c r="H1456" s="88">
        <v>0.98741095999999995</v>
      </c>
      <c r="I1456" s="77">
        <v>0.97342689999999998</v>
      </c>
      <c r="J1456" s="15">
        <v>66.192999999999998</v>
      </c>
    </row>
    <row r="1457" spans="8:10">
      <c r="H1457" s="88">
        <v>0.98735989999999996</v>
      </c>
      <c r="I1457" s="77">
        <v>0.97339929999999997</v>
      </c>
      <c r="J1457" s="15">
        <v>66.194000000000003</v>
      </c>
    </row>
    <row r="1458" spans="8:10">
      <c r="H1458" s="88">
        <v>0.98730839999999997</v>
      </c>
      <c r="I1458" s="77">
        <v>0.9733716</v>
      </c>
      <c r="J1458" s="15">
        <v>66.194999999999993</v>
      </c>
    </row>
    <row r="1459" spans="8:10">
      <c r="H1459" s="88">
        <v>0.98725635</v>
      </c>
      <c r="I1459" s="77">
        <v>0.97334390000000004</v>
      </c>
      <c r="J1459" s="15">
        <v>66.195999999999998</v>
      </c>
    </row>
    <row r="1460" spans="8:10">
      <c r="H1460" s="88">
        <v>0.98720390000000002</v>
      </c>
      <c r="I1460" s="77">
        <v>0.97331610000000002</v>
      </c>
      <c r="J1460" s="15">
        <v>66.197000000000003</v>
      </c>
    </row>
    <row r="1461" spans="8:10">
      <c r="H1461" s="88">
        <v>0.98715096999999996</v>
      </c>
      <c r="I1461" s="77">
        <v>0.97328820000000005</v>
      </c>
      <c r="J1461" s="15">
        <v>66.197999999999993</v>
      </c>
    </row>
    <row r="1462" spans="8:10">
      <c r="H1462" s="88">
        <v>0.98709756000000004</v>
      </c>
      <c r="I1462" s="77">
        <v>0.97326016000000004</v>
      </c>
      <c r="J1462" s="15">
        <v>66.198999999999998</v>
      </c>
    </row>
    <row r="1463" spans="8:10">
      <c r="H1463" s="88">
        <v>0.98704360000000002</v>
      </c>
      <c r="I1463" s="77">
        <v>0.97323214999999996</v>
      </c>
      <c r="J1463" s="15">
        <v>66.2</v>
      </c>
    </row>
    <row r="1464" spans="8:10">
      <c r="H1464" s="88">
        <v>0.98698925999999998</v>
      </c>
      <c r="I1464" s="77">
        <v>0.97320395999999998</v>
      </c>
      <c r="J1464" s="15">
        <v>66.200999999999993</v>
      </c>
    </row>
    <row r="1465" spans="8:10">
      <c r="H1465" s="88">
        <v>0.98693430000000004</v>
      </c>
      <c r="I1465" s="77">
        <v>0.97317575999999995</v>
      </c>
      <c r="J1465" s="15">
        <v>66.201999999999998</v>
      </c>
    </row>
    <row r="1466" spans="8:10">
      <c r="H1466" s="88">
        <v>0.9868789</v>
      </c>
      <c r="I1466" s="77">
        <v>0.97314745000000002</v>
      </c>
      <c r="J1466" s="15">
        <v>66.203000000000003</v>
      </c>
    </row>
    <row r="1467" spans="8:10">
      <c r="H1467" s="88">
        <v>0.98682289999999995</v>
      </c>
      <c r="I1467" s="77">
        <v>0.97311899999999996</v>
      </c>
      <c r="J1467" s="15">
        <v>66.203999999999994</v>
      </c>
    </row>
    <row r="1468" spans="8:10">
      <c r="H1468" s="88">
        <v>0.98676640000000004</v>
      </c>
      <c r="I1468" s="77">
        <v>0.97309060000000003</v>
      </c>
      <c r="J1468" s="15">
        <v>66.204999999999998</v>
      </c>
    </row>
    <row r="1469" spans="8:10">
      <c r="H1469" s="88">
        <v>0.98670930000000001</v>
      </c>
      <c r="I1469" s="77">
        <v>0.97306199999999998</v>
      </c>
      <c r="J1469" s="15">
        <v>66.206000000000003</v>
      </c>
    </row>
    <row r="1470" spans="8:10">
      <c r="H1470" s="88">
        <v>0.98665166000000004</v>
      </c>
      <c r="I1470" s="77">
        <v>0.97303329999999999</v>
      </c>
      <c r="J1470" s="15">
        <v>66.206999999999994</v>
      </c>
    </row>
    <row r="1471" spans="8:10">
      <c r="H1471" s="88">
        <v>0.98659350000000001</v>
      </c>
      <c r="I1471" s="77">
        <v>0.9730046</v>
      </c>
      <c r="J1471" s="15">
        <v>66.207999999999998</v>
      </c>
    </row>
    <row r="1472" spans="8:10">
      <c r="H1472" s="88">
        <v>0.98653469999999999</v>
      </c>
      <c r="I1472" s="77">
        <v>0.97297573000000004</v>
      </c>
      <c r="J1472" s="15">
        <v>66.209000000000003</v>
      </c>
    </row>
    <row r="1473" spans="8:10">
      <c r="H1473" s="88">
        <v>0.98647534999999997</v>
      </c>
      <c r="I1473" s="77">
        <v>0.97294676000000002</v>
      </c>
      <c r="J1473" s="15">
        <v>66.209999999999994</v>
      </c>
    </row>
    <row r="1474" spans="8:10">
      <c r="H1474" s="88">
        <v>0.98641540000000005</v>
      </c>
      <c r="I1474" s="77">
        <v>0.97291773999999998</v>
      </c>
      <c r="J1474" s="15">
        <v>66.210999999999999</v>
      </c>
    </row>
    <row r="1475" spans="8:10">
      <c r="H1475" s="88">
        <v>0.98635479999999998</v>
      </c>
      <c r="I1475" s="77">
        <v>0.97288859999999999</v>
      </c>
      <c r="J1475" s="15">
        <v>66.212000000000003</v>
      </c>
    </row>
    <row r="1476" spans="8:10">
      <c r="H1476" s="88">
        <v>0.98629359999999999</v>
      </c>
      <c r="I1476" s="77">
        <v>0.97285940000000004</v>
      </c>
      <c r="J1476" s="15">
        <v>66.212999999999994</v>
      </c>
    </row>
    <row r="1477" spans="8:10">
      <c r="H1477" s="88">
        <v>0.98623174000000002</v>
      </c>
      <c r="I1477" s="77">
        <v>0.97283006000000005</v>
      </c>
      <c r="J1477" s="15">
        <v>66.213999999999999</v>
      </c>
    </row>
    <row r="1478" spans="8:10">
      <c r="H1478" s="88">
        <v>0.98616919999999997</v>
      </c>
      <c r="I1478" s="77">
        <v>0.97280060000000002</v>
      </c>
      <c r="J1478" s="15">
        <v>66.215000000000003</v>
      </c>
    </row>
    <row r="1479" spans="8:10">
      <c r="H1479" s="88">
        <v>0.98610609999999999</v>
      </c>
      <c r="I1479" s="77">
        <v>0.97277104999999997</v>
      </c>
      <c r="J1479" s="15">
        <v>66.215999999999994</v>
      </c>
    </row>
    <row r="1480" spans="8:10">
      <c r="H1480" s="88">
        <v>0.98604225999999995</v>
      </c>
      <c r="I1480" s="77">
        <v>0.97274139999999998</v>
      </c>
      <c r="J1480" s="15">
        <v>66.216999999999999</v>
      </c>
    </row>
    <row r="1481" spans="8:10">
      <c r="H1481" s="88">
        <v>0.98985296</v>
      </c>
      <c r="I1481" s="77">
        <v>0.97497590000000001</v>
      </c>
      <c r="J1481" s="15">
        <v>66.132999999999996</v>
      </c>
    </row>
    <row r="1482" spans="8:10">
      <c r="H1482" s="88">
        <v>0.98981993999999995</v>
      </c>
      <c r="I1482" s="77">
        <v>0.97495145000000005</v>
      </c>
      <c r="J1482" s="15">
        <v>66.134</v>
      </c>
    </row>
    <row r="1483" spans="8:10">
      <c r="H1483" s="88">
        <v>0.98978674</v>
      </c>
      <c r="I1483" s="77">
        <v>0.97492694999999996</v>
      </c>
      <c r="J1483" s="15">
        <v>66.135000000000005</v>
      </c>
    </row>
    <row r="1484" spans="8:10">
      <c r="H1484" s="88">
        <v>0.98975329999999995</v>
      </c>
      <c r="I1484" s="77">
        <v>0.97490244999999998</v>
      </c>
      <c r="J1484" s="15">
        <v>66.135999999999996</v>
      </c>
    </row>
    <row r="1485" spans="8:10">
      <c r="H1485" s="88">
        <v>0.98971960000000003</v>
      </c>
      <c r="I1485" s="77">
        <v>0.97487789999999996</v>
      </c>
      <c r="J1485" s="15">
        <v>66.137</v>
      </c>
    </row>
    <row r="1486" spans="8:10">
      <c r="H1486" s="88">
        <v>0.98968579999999995</v>
      </c>
      <c r="I1486" s="77">
        <v>0.97485330000000003</v>
      </c>
      <c r="J1486" s="15">
        <v>66.138000000000005</v>
      </c>
    </row>
    <row r="1487" spans="8:10">
      <c r="H1487" s="88">
        <v>0.98965174</v>
      </c>
      <c r="I1487" s="77">
        <v>0.97482860000000005</v>
      </c>
      <c r="J1487" s="15">
        <v>66.138999999999996</v>
      </c>
    </row>
    <row r="1488" spans="8:10">
      <c r="H1488" s="88">
        <v>0.98961747</v>
      </c>
      <c r="I1488" s="77">
        <v>0.97480389999999995</v>
      </c>
      <c r="J1488" s="15">
        <v>66.14</v>
      </c>
    </row>
    <row r="1489" spans="8:10">
      <c r="H1489" s="88">
        <v>0.98958296000000001</v>
      </c>
      <c r="I1489" s="77">
        <v>0.97477924999999999</v>
      </c>
      <c r="J1489" s="15">
        <v>66.141000000000005</v>
      </c>
    </row>
    <row r="1490" spans="8:10">
      <c r="H1490" s="88">
        <v>0.98954827000000001</v>
      </c>
      <c r="I1490" s="77">
        <v>0.97475445000000005</v>
      </c>
      <c r="J1490" s="15">
        <v>66.141999999999996</v>
      </c>
    </row>
    <row r="1491" spans="8:10">
      <c r="H1491" s="88">
        <v>0.98951334000000002</v>
      </c>
      <c r="I1491" s="77">
        <v>0.97472966000000005</v>
      </c>
      <c r="J1491" s="15">
        <v>66.143000000000001</v>
      </c>
    </row>
    <row r="1492" spans="8:10">
      <c r="H1492" s="88">
        <v>0.98947819999999997</v>
      </c>
      <c r="I1492" s="77">
        <v>0.97470480000000004</v>
      </c>
      <c r="J1492" s="15">
        <v>66.144000000000005</v>
      </c>
    </row>
    <row r="1493" spans="8:10">
      <c r="H1493" s="88">
        <v>0.98944277000000003</v>
      </c>
      <c r="I1493" s="77">
        <v>0.97467994999999996</v>
      </c>
      <c r="J1493" s="15">
        <v>66.144999999999996</v>
      </c>
    </row>
    <row r="1494" spans="8:10">
      <c r="H1494" s="88">
        <v>0.98940720000000004</v>
      </c>
      <c r="I1494" s="77">
        <v>0.97465502999999998</v>
      </c>
      <c r="J1494" s="15">
        <v>66.146000000000001</v>
      </c>
    </row>
    <row r="1495" spans="8:10">
      <c r="H1495" s="88">
        <v>0.98937129999999995</v>
      </c>
      <c r="I1495" s="77">
        <v>0.97463005999999996</v>
      </c>
      <c r="J1495" s="15">
        <v>66.147000000000006</v>
      </c>
    </row>
    <row r="1496" spans="8:10">
      <c r="H1496" s="88">
        <v>0.98933523999999995</v>
      </c>
      <c r="I1496" s="77">
        <v>0.97460500000000005</v>
      </c>
      <c r="J1496" s="15">
        <v>66.147999999999996</v>
      </c>
    </row>
    <row r="1497" spans="8:10">
      <c r="H1497" s="88">
        <v>0.98929893999999996</v>
      </c>
      <c r="I1497" s="77">
        <v>0.97458</v>
      </c>
      <c r="J1497" s="15">
        <v>66.149000000000001</v>
      </c>
    </row>
    <row r="1498" spans="8:10">
      <c r="H1498" s="88">
        <v>0.98926234000000002</v>
      </c>
      <c r="I1498" s="77">
        <v>0.9745549</v>
      </c>
      <c r="J1498" s="15">
        <v>66.150000000000006</v>
      </c>
    </row>
    <row r="1499" spans="8:10">
      <c r="H1499" s="88">
        <v>0.98922557</v>
      </c>
      <c r="I1499" s="77">
        <v>0.97452974000000003</v>
      </c>
      <c r="J1499" s="15">
        <v>66.150999999999996</v>
      </c>
    </row>
    <row r="1500" spans="8:10">
      <c r="H1500" s="88">
        <v>0.98918850000000003</v>
      </c>
      <c r="I1500" s="77">
        <v>0.97450460000000005</v>
      </c>
      <c r="J1500" s="15">
        <v>66.152000000000001</v>
      </c>
    </row>
    <row r="1501" spans="8:10">
      <c r="H1501" s="88">
        <v>0.98915120000000001</v>
      </c>
      <c r="I1501" s="77">
        <v>0.9744794</v>
      </c>
      <c r="J1501" s="15">
        <v>66.153000000000006</v>
      </c>
    </row>
    <row r="1502" spans="8:10">
      <c r="H1502" s="88">
        <v>0.98911360000000004</v>
      </c>
      <c r="I1502" s="77">
        <v>0.97445404999999996</v>
      </c>
      <c r="J1502" s="15">
        <v>66.153999999999996</v>
      </c>
    </row>
    <row r="1503" spans="8:10">
      <c r="H1503" s="88">
        <v>0.98907584000000004</v>
      </c>
      <c r="I1503" s="77">
        <v>0.97442879999999998</v>
      </c>
      <c r="J1503" s="15">
        <v>66.155000000000001</v>
      </c>
    </row>
    <row r="1504" spans="8:10">
      <c r="H1504" s="88">
        <v>0.98903775000000005</v>
      </c>
      <c r="I1504" s="77">
        <v>0.97440340000000003</v>
      </c>
      <c r="J1504" s="15">
        <v>66.156000000000006</v>
      </c>
    </row>
    <row r="1505" spans="8:10">
      <c r="H1505" s="88">
        <v>0.98899939999999997</v>
      </c>
      <c r="I1505" s="77">
        <v>0.97437799999999997</v>
      </c>
      <c r="J1505" s="15">
        <v>66.156999999999996</v>
      </c>
    </row>
    <row r="1506" spans="8:10">
      <c r="H1506" s="88">
        <v>0.98896086000000005</v>
      </c>
      <c r="I1506" s="77">
        <v>0.97435254000000004</v>
      </c>
      <c r="J1506" s="15">
        <v>66.158000000000001</v>
      </c>
    </row>
    <row r="1507" spans="8:10">
      <c r="H1507" s="88">
        <v>0.98892199999999997</v>
      </c>
      <c r="I1507" s="77">
        <v>0.97432700000000005</v>
      </c>
      <c r="J1507" s="15">
        <v>66.159000000000006</v>
      </c>
    </row>
    <row r="1508" spans="8:10">
      <c r="H1508" s="88">
        <v>0.98888284000000004</v>
      </c>
      <c r="I1508" s="77">
        <v>0.97430145999999995</v>
      </c>
      <c r="J1508" s="15">
        <v>66.16</v>
      </c>
    </row>
    <row r="1509" spans="8:10">
      <c r="H1509" s="88">
        <v>0.98884344000000002</v>
      </c>
      <c r="I1509" s="77">
        <v>0.97427580000000003</v>
      </c>
      <c r="J1509" s="15">
        <v>66.161000000000001</v>
      </c>
    </row>
    <row r="1510" spans="8:10">
      <c r="H1510" s="88">
        <v>0.98880374000000004</v>
      </c>
      <c r="I1510" s="77">
        <v>0.97425019999999996</v>
      </c>
      <c r="J1510" s="15">
        <v>66.162000000000006</v>
      </c>
    </row>
    <row r="1511" spans="8:10">
      <c r="H1511" s="88">
        <v>0.98876375000000005</v>
      </c>
      <c r="I1511" s="77">
        <v>0.97422450000000005</v>
      </c>
      <c r="J1511" s="15">
        <v>66.162999999999997</v>
      </c>
    </row>
    <row r="1512" spans="8:10">
      <c r="H1512" s="88">
        <v>0.98872346</v>
      </c>
      <c r="I1512" s="77">
        <v>0.97419876000000005</v>
      </c>
      <c r="J1512" s="15">
        <v>66.164000000000001</v>
      </c>
    </row>
    <row r="1513" spans="8:10">
      <c r="H1513" s="88">
        <v>0.98868290000000003</v>
      </c>
      <c r="I1513" s="77">
        <v>0.97417295000000004</v>
      </c>
      <c r="J1513" s="15">
        <v>66.165000000000006</v>
      </c>
    </row>
    <row r="1514" spans="8:10">
      <c r="H1514" s="88">
        <v>0.98864209999999997</v>
      </c>
      <c r="I1514" s="77">
        <v>0.97414710000000004</v>
      </c>
      <c r="J1514" s="15">
        <v>66.165999999999997</v>
      </c>
    </row>
    <row r="1515" spans="8:10">
      <c r="H1515" s="88">
        <v>0.9886009</v>
      </c>
      <c r="I1515" s="77">
        <v>0.97412114999999999</v>
      </c>
      <c r="J1515" s="15">
        <v>66.167000000000002</v>
      </c>
    </row>
    <row r="1516" spans="8:10">
      <c r="H1516" s="88">
        <v>0.98855950000000004</v>
      </c>
      <c r="I1516" s="77">
        <v>0.97409520000000005</v>
      </c>
      <c r="J1516" s="15">
        <v>66.168000000000006</v>
      </c>
    </row>
    <row r="1517" spans="8:10">
      <c r="H1517" s="88">
        <v>0.98851770000000005</v>
      </c>
      <c r="I1517" s="77">
        <v>0.97406919999999997</v>
      </c>
      <c r="J1517" s="15">
        <v>66.168999999999997</v>
      </c>
    </row>
    <row r="1518" spans="8:10">
      <c r="H1518" s="88">
        <v>0.98847560000000001</v>
      </c>
      <c r="I1518" s="77">
        <v>0.97404312999999998</v>
      </c>
      <c r="J1518" s="15">
        <v>66.17</v>
      </c>
    </row>
    <row r="1519" spans="8:10">
      <c r="H1519" s="88">
        <v>0.98843323999999999</v>
      </c>
      <c r="I1519" s="77">
        <v>0.97401696000000004</v>
      </c>
      <c r="J1519" s="15">
        <v>66.171000000000006</v>
      </c>
    </row>
    <row r="1520" spans="8:10">
      <c r="H1520" s="88">
        <v>0.98839056000000003</v>
      </c>
      <c r="I1520" s="77">
        <v>0.97399080000000005</v>
      </c>
      <c r="J1520" s="15">
        <v>66.171999999999997</v>
      </c>
    </row>
    <row r="1521" spans="8:10">
      <c r="H1521" s="88">
        <v>0.98834752999999997</v>
      </c>
      <c r="I1521" s="77">
        <v>0.97396459999999996</v>
      </c>
      <c r="J1521" s="15">
        <v>66.173000000000002</v>
      </c>
    </row>
    <row r="1522" spans="8:10">
      <c r="H1522" s="88">
        <v>0.98830414</v>
      </c>
      <c r="I1522" s="77">
        <v>0.97393830000000003</v>
      </c>
      <c r="J1522" s="15">
        <v>66.174000000000007</v>
      </c>
    </row>
    <row r="1523" spans="8:10">
      <c r="H1523" s="88">
        <v>0.98826044999999996</v>
      </c>
      <c r="I1523" s="77">
        <v>0.97391194000000003</v>
      </c>
      <c r="J1523" s="15">
        <v>66.174999999999997</v>
      </c>
    </row>
    <row r="1524" spans="8:10">
      <c r="H1524" s="88">
        <v>0.98821645999999996</v>
      </c>
      <c r="I1524" s="77">
        <v>0.97388554000000005</v>
      </c>
      <c r="J1524" s="15">
        <v>66.176000000000002</v>
      </c>
    </row>
    <row r="1525" spans="8:10">
      <c r="H1525" s="88">
        <v>0.98817204999999997</v>
      </c>
      <c r="I1525" s="77">
        <v>0.97385909999999998</v>
      </c>
      <c r="J1525" s="15">
        <v>66.177000000000007</v>
      </c>
    </row>
    <row r="1526" spans="8:10">
      <c r="H1526" s="88">
        <v>0.98812734999999996</v>
      </c>
      <c r="I1526" s="77">
        <v>0.97383255000000002</v>
      </c>
      <c r="J1526" s="15">
        <v>66.177999999999997</v>
      </c>
    </row>
    <row r="1527" spans="8:10">
      <c r="H1527" s="88">
        <v>0.98808229999999997</v>
      </c>
      <c r="I1527" s="77">
        <v>0.9738059</v>
      </c>
      <c r="J1527" s="15">
        <v>66.179000000000002</v>
      </c>
    </row>
    <row r="1528" spans="8:10">
      <c r="H1528" s="88">
        <v>0.98803680000000005</v>
      </c>
      <c r="I1528" s="77">
        <v>0.97377926000000004</v>
      </c>
      <c r="J1528" s="15">
        <v>66.180000000000007</v>
      </c>
    </row>
    <row r="1529" spans="8:10">
      <c r="H1529" s="88">
        <v>0.98799102999999999</v>
      </c>
      <c r="I1529" s="77">
        <v>0.97375255999999999</v>
      </c>
      <c r="J1529" s="15">
        <v>66.180999999999997</v>
      </c>
    </row>
    <row r="1530" spans="8:10">
      <c r="H1530" s="88">
        <v>0.98794490000000001</v>
      </c>
      <c r="I1530" s="77">
        <v>0.97372579999999997</v>
      </c>
      <c r="J1530" s="15">
        <v>66.182000000000002</v>
      </c>
    </row>
    <row r="1531" spans="8:10">
      <c r="H1531" s="88">
        <v>0.98789835000000004</v>
      </c>
      <c r="I1531" s="77">
        <v>0.97369899999999998</v>
      </c>
      <c r="J1531" s="15">
        <v>66.183000000000007</v>
      </c>
    </row>
    <row r="1532" spans="8:10">
      <c r="H1532" s="88">
        <v>0.98785140000000005</v>
      </c>
      <c r="I1532" s="77">
        <v>0.97367203000000002</v>
      </c>
      <c r="J1532" s="15">
        <v>66.183999999999997</v>
      </c>
    </row>
    <row r="1533" spans="8:10">
      <c r="H1533" s="88">
        <v>0.98780409999999996</v>
      </c>
      <c r="I1533" s="77">
        <v>0.97364510000000004</v>
      </c>
      <c r="J1533" s="15">
        <v>66.185000000000002</v>
      </c>
    </row>
    <row r="1534" spans="8:10">
      <c r="H1534" s="88">
        <v>0.98775639999999998</v>
      </c>
      <c r="I1534" s="77">
        <v>0.97361803000000002</v>
      </c>
      <c r="J1534" s="15">
        <v>66.186000000000007</v>
      </c>
    </row>
    <row r="1535" spans="8:10">
      <c r="H1535" s="88">
        <v>0.98770829999999998</v>
      </c>
      <c r="I1535" s="77">
        <v>0.97359097000000006</v>
      </c>
      <c r="J1535" s="15">
        <v>66.186999999999998</v>
      </c>
    </row>
    <row r="1536" spans="8:10">
      <c r="H1536" s="88">
        <v>0.98765979999999998</v>
      </c>
      <c r="I1536" s="77">
        <v>0.97356379999999998</v>
      </c>
      <c r="J1536" s="15">
        <v>66.188000000000002</v>
      </c>
    </row>
    <row r="1537" spans="8:10">
      <c r="H1537" s="88">
        <v>0.98761089999999996</v>
      </c>
      <c r="I1537" s="77">
        <v>0.97353654999999995</v>
      </c>
      <c r="J1537" s="15">
        <v>66.188999999999993</v>
      </c>
    </row>
    <row r="1538" spans="8:10">
      <c r="H1538" s="88">
        <v>0.98756149999999998</v>
      </c>
      <c r="I1538" s="77">
        <v>0.97350924999999999</v>
      </c>
      <c r="J1538" s="15">
        <v>66.19</v>
      </c>
    </row>
    <row r="1539" spans="8:10">
      <c r="H1539" s="88">
        <v>0.98751175000000002</v>
      </c>
      <c r="I1539" s="77">
        <v>0.97348190000000001</v>
      </c>
      <c r="J1539" s="15">
        <v>66.191000000000003</v>
      </c>
    </row>
    <row r="1540" spans="8:10">
      <c r="H1540" s="88">
        <v>0.98746157000000001</v>
      </c>
      <c r="I1540" s="77">
        <v>0.97345440000000005</v>
      </c>
      <c r="J1540" s="15">
        <v>66.191999999999993</v>
      </c>
    </row>
    <row r="1541" spans="8:10">
      <c r="H1541" s="88">
        <v>0.98741095999999995</v>
      </c>
      <c r="I1541" s="77">
        <v>0.97342689999999998</v>
      </c>
      <c r="J1541" s="15">
        <v>66.192999999999998</v>
      </c>
    </row>
    <row r="1542" spans="8:10">
      <c r="H1542" s="88">
        <v>0.98735989999999996</v>
      </c>
      <c r="I1542" s="77">
        <v>0.97339929999999997</v>
      </c>
      <c r="J1542" s="15">
        <v>66.194000000000003</v>
      </c>
    </row>
    <row r="1543" spans="8:10">
      <c r="H1543" s="88">
        <v>0.98730839999999997</v>
      </c>
      <c r="I1543" s="77">
        <v>0.9733716</v>
      </c>
      <c r="J1543" s="15">
        <v>66.194999999999993</v>
      </c>
    </row>
    <row r="1544" spans="8:10">
      <c r="H1544" s="88">
        <v>0.98725635</v>
      </c>
      <c r="I1544" s="77">
        <v>0.97334390000000004</v>
      </c>
      <c r="J1544" s="15">
        <v>66.195999999999998</v>
      </c>
    </row>
    <row r="1545" spans="8:10">
      <c r="H1545" s="88">
        <v>0.98720390000000002</v>
      </c>
      <c r="I1545" s="77">
        <v>0.97331610000000002</v>
      </c>
      <c r="J1545" s="15">
        <v>66.197000000000003</v>
      </c>
    </row>
    <row r="1546" spans="8:10">
      <c r="H1546" s="88">
        <v>0.98715096999999996</v>
      </c>
      <c r="I1546" s="77">
        <v>0.97328820000000005</v>
      </c>
      <c r="J1546" s="15">
        <v>66.197999999999993</v>
      </c>
    </row>
    <row r="1547" spans="8:10">
      <c r="H1547" s="88">
        <v>0.98709756000000004</v>
      </c>
      <c r="I1547" s="77">
        <v>0.97326016000000004</v>
      </c>
      <c r="J1547" s="15">
        <v>66.198999999999998</v>
      </c>
    </row>
    <row r="1548" spans="8:10">
      <c r="H1548" s="88">
        <v>0.98704360000000002</v>
      </c>
      <c r="I1548" s="77">
        <v>0.97323214999999996</v>
      </c>
      <c r="J1548" s="15">
        <v>66.2</v>
      </c>
    </row>
    <row r="1549" spans="8:10">
      <c r="H1549" s="88">
        <v>0.98698925999999998</v>
      </c>
      <c r="I1549" s="77">
        <v>0.97320395999999998</v>
      </c>
      <c r="J1549" s="15">
        <v>66.200999999999993</v>
      </c>
    </row>
    <row r="1550" spans="8:10">
      <c r="H1550" s="88">
        <v>0.98693430000000004</v>
      </c>
      <c r="I1550" s="77">
        <v>0.97317575999999995</v>
      </c>
      <c r="J1550" s="15">
        <v>66.201999999999998</v>
      </c>
    </row>
    <row r="1551" spans="8:10">
      <c r="H1551" s="88">
        <v>0.9868789</v>
      </c>
      <c r="I1551" s="77">
        <v>0.97314745000000002</v>
      </c>
      <c r="J1551" s="15">
        <v>66.203000000000003</v>
      </c>
    </row>
    <row r="1552" spans="8:10">
      <c r="H1552" s="88">
        <v>0.98682289999999995</v>
      </c>
      <c r="I1552" s="77">
        <v>0.97311899999999996</v>
      </c>
      <c r="J1552" s="15">
        <v>66.203999999999994</v>
      </c>
    </row>
    <row r="1553" spans="8:10">
      <c r="H1553" s="88">
        <v>0.98676640000000004</v>
      </c>
      <c r="I1553" s="77">
        <v>0.97309060000000003</v>
      </c>
      <c r="J1553" s="15">
        <v>66.204999999999998</v>
      </c>
    </row>
    <row r="1554" spans="8:10">
      <c r="H1554" s="88">
        <v>0.98670930000000001</v>
      </c>
      <c r="I1554" s="77">
        <v>0.97306199999999998</v>
      </c>
      <c r="J1554" s="15">
        <v>66.206000000000003</v>
      </c>
    </row>
    <row r="1555" spans="8:10">
      <c r="H1555" s="88">
        <v>0.98665166000000004</v>
      </c>
      <c r="I1555" s="77">
        <v>0.97303329999999999</v>
      </c>
      <c r="J1555" s="15">
        <v>66.206999999999994</v>
      </c>
    </row>
    <row r="1556" spans="8:10">
      <c r="H1556" s="88">
        <v>0.98659350000000001</v>
      </c>
      <c r="I1556" s="77">
        <v>0.9730046</v>
      </c>
      <c r="J1556" s="15">
        <v>66.207999999999998</v>
      </c>
    </row>
    <row r="1557" spans="8:10">
      <c r="H1557" s="88">
        <v>0.98653469999999999</v>
      </c>
      <c r="I1557" s="77">
        <v>0.97297573000000004</v>
      </c>
      <c r="J1557" s="15">
        <v>66.209000000000003</v>
      </c>
    </row>
    <row r="1558" spans="8:10">
      <c r="H1558" s="88">
        <v>0.98647534999999997</v>
      </c>
      <c r="I1558" s="77">
        <v>0.97294676000000002</v>
      </c>
      <c r="J1558" s="15">
        <v>66.209999999999994</v>
      </c>
    </row>
    <row r="1559" spans="8:10">
      <c r="H1559" s="88">
        <v>0.98641540000000005</v>
      </c>
      <c r="I1559" s="77">
        <v>0.97291773999999998</v>
      </c>
      <c r="J1559" s="15">
        <v>66.210999999999999</v>
      </c>
    </row>
    <row r="1560" spans="8:10">
      <c r="H1560" s="88">
        <v>0.98635479999999998</v>
      </c>
      <c r="I1560" s="77">
        <v>0.97288859999999999</v>
      </c>
      <c r="J1560" s="15">
        <v>66.212000000000003</v>
      </c>
    </row>
    <row r="1561" spans="8:10">
      <c r="H1561" s="88">
        <v>0.98629359999999999</v>
      </c>
      <c r="I1561" s="77">
        <v>0.97285940000000004</v>
      </c>
      <c r="J1561" s="15">
        <v>66.212999999999994</v>
      </c>
    </row>
    <row r="1562" spans="8:10">
      <c r="H1562" s="88">
        <v>0.98623174000000002</v>
      </c>
      <c r="I1562" s="77">
        <v>0.97283006000000005</v>
      </c>
      <c r="J1562" s="15">
        <v>66.213999999999999</v>
      </c>
    </row>
    <row r="1563" spans="8:10">
      <c r="H1563" s="88">
        <v>0.98616919999999997</v>
      </c>
      <c r="I1563" s="77">
        <v>0.97280060000000002</v>
      </c>
      <c r="J1563" s="15">
        <v>66.215000000000003</v>
      </c>
    </row>
    <row r="1564" spans="8:10">
      <c r="H1564" s="88">
        <v>0.98610609999999999</v>
      </c>
      <c r="I1564" s="77">
        <v>0.97277104999999997</v>
      </c>
      <c r="J1564" s="15">
        <v>66.215999999999994</v>
      </c>
    </row>
    <row r="1565" spans="8:10">
      <c r="H1565" s="88">
        <v>0.98604225999999995</v>
      </c>
      <c r="I1565" s="77">
        <v>0.97274139999999998</v>
      </c>
      <c r="J1565" s="15">
        <v>66.216999999999999</v>
      </c>
    </row>
    <row r="1566" spans="8:10">
      <c r="H1566" s="88">
        <v>0.98597769999999996</v>
      </c>
      <c r="I1566" s="77">
        <v>0.97271169999999996</v>
      </c>
      <c r="J1566" s="15">
        <v>66.218000000000004</v>
      </c>
    </row>
    <row r="1567" spans="8:10">
      <c r="H1567" s="88">
        <v>0.98591244</v>
      </c>
      <c r="I1567" s="77">
        <v>0.97268180000000004</v>
      </c>
      <c r="J1567" s="15">
        <v>66.218999999999994</v>
      </c>
    </row>
    <row r="1568" spans="8:10">
      <c r="H1568" s="88">
        <v>0.98584645999999998</v>
      </c>
      <c r="I1568" s="77">
        <v>0.97265184000000005</v>
      </c>
      <c r="J1568" s="15">
        <v>66.22</v>
      </c>
    </row>
    <row r="1569" spans="8:10">
      <c r="H1569" s="88">
        <v>0.98577976</v>
      </c>
      <c r="I1569" s="77">
        <v>0.97262174000000001</v>
      </c>
      <c r="J1569" s="15">
        <v>66.221000000000004</v>
      </c>
    </row>
    <row r="1570" spans="8:10">
      <c r="H1570" s="88">
        <v>0.98571229999999999</v>
      </c>
      <c r="I1570" s="77">
        <v>0.97259150000000005</v>
      </c>
      <c r="J1570" s="15">
        <v>66.221999999999994</v>
      </c>
    </row>
    <row r="1571" spans="8:10">
      <c r="H1571" s="88">
        <v>0.98564404000000005</v>
      </c>
      <c r="I1571" s="77">
        <v>0.97256120000000001</v>
      </c>
      <c r="J1571" s="15">
        <v>66.222999999999999</v>
      </c>
    </row>
    <row r="1572" spans="8:10">
      <c r="H1572" s="88">
        <v>0.98557499999999998</v>
      </c>
      <c r="I1572" s="77">
        <v>0.97253069999999997</v>
      </c>
      <c r="J1572" s="15">
        <v>66.224000000000004</v>
      </c>
    </row>
    <row r="1573" spans="8:10">
      <c r="H1573" s="88">
        <v>0.98550515999999999</v>
      </c>
      <c r="I1573" s="77">
        <v>0.97250015000000001</v>
      </c>
      <c r="J1573" s="15">
        <v>66.224999999999994</v>
      </c>
    </row>
    <row r="1574" spans="8:10">
      <c r="H1574" s="88">
        <v>0.98543453000000003</v>
      </c>
      <c r="I1574" s="77">
        <v>0.97246944999999996</v>
      </c>
      <c r="J1574" s="15">
        <v>66.225999999999999</v>
      </c>
    </row>
    <row r="1575" spans="8:10">
      <c r="H1575" s="88">
        <v>0.98536299999999999</v>
      </c>
      <c r="I1575" s="77">
        <v>0.97243860000000004</v>
      </c>
      <c r="J1575" s="15">
        <v>66.227000000000004</v>
      </c>
    </row>
    <row r="1576" spans="8:10">
      <c r="H1576" s="88">
        <v>0.98529065000000005</v>
      </c>
      <c r="I1576" s="77">
        <v>0.97240764000000002</v>
      </c>
      <c r="J1576" s="15">
        <v>66.227999999999994</v>
      </c>
    </row>
    <row r="1577" spans="8:10">
      <c r="H1577" s="88">
        <v>0.98521740000000002</v>
      </c>
      <c r="I1577" s="77">
        <v>0.97237649999999998</v>
      </c>
      <c r="J1577" s="15">
        <v>66.228999999999999</v>
      </c>
    </row>
    <row r="1578" spans="8:10">
      <c r="H1578" s="88">
        <v>0.98514323999999998</v>
      </c>
      <c r="I1578" s="77">
        <v>0.97234529999999997</v>
      </c>
      <c r="J1578" s="15">
        <v>66.23</v>
      </c>
    </row>
    <row r="1579" spans="8:10">
      <c r="H1579" s="88">
        <v>0.98506813999999998</v>
      </c>
      <c r="I1579" s="77">
        <v>0.97231394000000004</v>
      </c>
      <c r="J1579" s="15">
        <v>66.230999999999995</v>
      </c>
    </row>
    <row r="1580" spans="8:10">
      <c r="H1580" s="88">
        <v>0.98499210000000004</v>
      </c>
      <c r="I1580" s="77">
        <v>0.97228239999999999</v>
      </c>
      <c r="J1580" s="15">
        <v>66.231999999999999</v>
      </c>
    </row>
    <row r="1581" spans="8:10">
      <c r="H1581" s="88">
        <v>0.98491510000000004</v>
      </c>
      <c r="I1581" s="77">
        <v>0.97225070000000002</v>
      </c>
      <c r="J1581" s="15">
        <v>66.233000000000004</v>
      </c>
    </row>
    <row r="1582" spans="8:10">
      <c r="H1582" s="88">
        <v>0.98483706000000004</v>
      </c>
      <c r="I1582" s="77">
        <v>0.97221893000000004</v>
      </c>
      <c r="J1582" s="15">
        <v>66.233999999999995</v>
      </c>
    </row>
    <row r="1583" spans="8:10">
      <c r="H1583" s="88">
        <v>0.98475800000000002</v>
      </c>
      <c r="I1583" s="77">
        <v>0.97218689999999996</v>
      </c>
      <c r="J1583" s="15">
        <v>66.234999999999999</v>
      </c>
    </row>
    <row r="1584" spans="8:10">
      <c r="H1584" s="88">
        <v>0.98467789999999999</v>
      </c>
      <c r="I1584" s="77">
        <v>0.97215479999999999</v>
      </c>
      <c r="J1584" s="15">
        <v>66.236000000000004</v>
      </c>
    </row>
    <row r="1585" spans="8:10">
      <c r="H1585" s="88">
        <v>0.98459680000000005</v>
      </c>
      <c r="I1585" s="77">
        <v>0.9721225</v>
      </c>
      <c r="J1585" s="15">
        <v>66.236999999999995</v>
      </c>
    </row>
    <row r="1586" spans="8:10">
      <c r="H1586" s="88">
        <v>0.98451449999999996</v>
      </c>
      <c r="I1586" s="77">
        <v>0.97209007000000003</v>
      </c>
      <c r="J1586" s="15">
        <v>66.238</v>
      </c>
    </row>
    <row r="1587" spans="8:10">
      <c r="H1587" s="88">
        <v>0.98443099999999994</v>
      </c>
      <c r="I1587" s="77">
        <v>0.97205739999999996</v>
      </c>
      <c r="J1587" s="15">
        <v>66.239000000000004</v>
      </c>
    </row>
    <row r="1588" spans="8:10">
      <c r="H1588" s="88">
        <v>0.98434644999999998</v>
      </c>
      <c r="I1588" s="77">
        <v>0.97202460000000002</v>
      </c>
      <c r="J1588" s="15">
        <v>66.239999999999995</v>
      </c>
    </row>
    <row r="1589" spans="8:10">
      <c r="H1589" s="88">
        <v>0.98426069999999999</v>
      </c>
      <c r="I1589" s="77">
        <v>0.97199166000000004</v>
      </c>
      <c r="J1589" s="15">
        <v>66.241</v>
      </c>
    </row>
    <row r="1590" spans="8:10">
      <c r="H1590" s="88">
        <v>0.98417359999999998</v>
      </c>
      <c r="I1590" s="77">
        <v>0.97195849999999995</v>
      </c>
      <c r="J1590" s="15">
        <v>66.242000000000004</v>
      </c>
    </row>
    <row r="1591" spans="8:10">
      <c r="H1591" s="88">
        <v>0.98408530000000005</v>
      </c>
      <c r="I1591" s="77">
        <v>0.97192513999999997</v>
      </c>
      <c r="J1591" s="15">
        <v>66.242999999999995</v>
      </c>
    </row>
    <row r="1592" spans="8:10">
      <c r="H1592" s="88">
        <v>0.98399570000000003</v>
      </c>
      <c r="I1592" s="77">
        <v>0.97189163999999995</v>
      </c>
      <c r="J1592" s="15">
        <v>66.244</v>
      </c>
    </row>
    <row r="1593" spans="8:10">
      <c r="H1593" s="88">
        <v>0.98390469999999997</v>
      </c>
      <c r="I1593" s="77">
        <v>0.97185790000000005</v>
      </c>
      <c r="J1593" s="15">
        <v>66.245000000000005</v>
      </c>
    </row>
    <row r="1594" spans="8:10">
      <c r="H1594" s="88">
        <v>0.98381233000000001</v>
      </c>
      <c r="I1594" s="77">
        <v>0.97182393</v>
      </c>
      <c r="J1594" s="15">
        <v>66.245999999999995</v>
      </c>
    </row>
    <row r="1595" spans="8:10">
      <c r="H1595" s="88">
        <v>0.98371850000000005</v>
      </c>
      <c r="I1595" s="77">
        <v>0.97178980000000004</v>
      </c>
      <c r="J1595" s="15">
        <v>66.247</v>
      </c>
    </row>
    <row r="1596" spans="8:10">
      <c r="H1596" s="88">
        <v>0.98362320000000003</v>
      </c>
      <c r="I1596" s="77">
        <v>0.97175544999999997</v>
      </c>
      <c r="J1596" s="15">
        <v>66.248000000000005</v>
      </c>
    </row>
    <row r="1597" spans="8:10">
      <c r="H1597" s="88">
        <v>0.98352640000000002</v>
      </c>
      <c r="I1597" s="77">
        <v>0.9717209</v>
      </c>
      <c r="J1597" s="15">
        <v>66.248999999999995</v>
      </c>
    </row>
    <row r="1598" spans="8:10">
      <c r="H1598" s="88">
        <v>0.98342799999999997</v>
      </c>
      <c r="I1598" s="77">
        <v>0.97168606999999996</v>
      </c>
      <c r="J1598" s="15">
        <v>66.25</v>
      </c>
    </row>
    <row r="1599" spans="8:10">
      <c r="H1599" s="88">
        <v>0.98332799999999998</v>
      </c>
      <c r="I1599" s="77">
        <v>0.97165100000000004</v>
      </c>
      <c r="J1599" s="15">
        <v>66.251000000000005</v>
      </c>
    </row>
    <row r="1600" spans="8:10">
      <c r="H1600" s="88">
        <v>0.98322624000000003</v>
      </c>
      <c r="I1600" s="77">
        <v>0.97161573000000001</v>
      </c>
      <c r="J1600" s="15">
        <v>66.251999999999995</v>
      </c>
    </row>
    <row r="1601" spans="8:10">
      <c r="H1601" s="88">
        <v>0.98312277000000003</v>
      </c>
      <c r="I1601" s="77">
        <v>0.9715802</v>
      </c>
      <c r="J1601" s="15">
        <v>66.253</v>
      </c>
    </row>
    <row r="1602" spans="8:10">
      <c r="H1602" s="88">
        <v>0.98301749999999999</v>
      </c>
      <c r="I1602" s="77">
        <v>0.97154443999999995</v>
      </c>
      <c r="J1602" s="15">
        <v>66.254000000000005</v>
      </c>
    </row>
    <row r="1603" spans="8:10">
      <c r="H1603" s="88">
        <v>0.98291039999999996</v>
      </c>
      <c r="I1603" s="77">
        <v>0.97150840000000005</v>
      </c>
      <c r="J1603" s="15">
        <v>66.254999999999995</v>
      </c>
    </row>
    <row r="1604" spans="8:10">
      <c r="H1604" s="88">
        <v>0.98280129999999999</v>
      </c>
      <c r="I1604" s="77">
        <v>0.97147209999999995</v>
      </c>
      <c r="J1604" s="15">
        <v>66.256</v>
      </c>
    </row>
    <row r="1605" spans="8:10">
      <c r="H1605" s="88">
        <v>0.98269019999999996</v>
      </c>
      <c r="I1605" s="77">
        <v>0.97143550000000001</v>
      </c>
      <c r="J1605" s="15">
        <v>66.257000000000005</v>
      </c>
    </row>
    <row r="1606" spans="8:10">
      <c r="H1606" s="88">
        <v>0.98257700000000003</v>
      </c>
      <c r="I1606" s="77">
        <v>0.9713986</v>
      </c>
      <c r="J1606" s="15">
        <v>66.257999999999996</v>
      </c>
    </row>
    <row r="1607" spans="8:10">
      <c r="H1607" s="88">
        <v>0.98246162999999997</v>
      </c>
      <c r="I1607" s="77">
        <v>0.97136140000000004</v>
      </c>
      <c r="J1607" s="15">
        <v>66.259</v>
      </c>
    </row>
    <row r="1608" spans="8:10">
      <c r="H1608" s="88">
        <v>0.98234403000000003</v>
      </c>
      <c r="I1608" s="77">
        <v>0.97132390000000002</v>
      </c>
      <c r="J1608" s="15">
        <v>66.260000000000005</v>
      </c>
    </row>
    <row r="1609" spans="8:10">
      <c r="H1609" s="88">
        <v>0.98222405000000002</v>
      </c>
      <c r="I1609" s="77">
        <v>0.97128605999999995</v>
      </c>
      <c r="J1609" s="15">
        <v>66.260999999999996</v>
      </c>
    </row>
    <row r="1610" spans="8:10">
      <c r="H1610" s="88">
        <v>0.98210160000000002</v>
      </c>
      <c r="I1610" s="77">
        <v>0.97124790000000005</v>
      </c>
      <c r="J1610" s="15">
        <v>66.262</v>
      </c>
    </row>
    <row r="1611" spans="8:10">
      <c r="H1611" s="88">
        <v>0.98197659999999998</v>
      </c>
      <c r="I1611" s="77">
        <v>0.97120934999999997</v>
      </c>
      <c r="J1611" s="15">
        <v>66.263000000000005</v>
      </c>
    </row>
    <row r="1612" spans="8:10">
      <c r="H1612" s="88">
        <v>0.98184895999999999</v>
      </c>
      <c r="I1612" s="77">
        <v>0.97117050000000005</v>
      </c>
      <c r="J1612" s="15">
        <v>66.263999999999996</v>
      </c>
    </row>
    <row r="1613" spans="8:10">
      <c r="H1613" s="88">
        <v>0.98171854000000003</v>
      </c>
      <c r="I1613" s="77">
        <v>0.97113119999999997</v>
      </c>
      <c r="J1613" s="15">
        <v>66.265000000000001</v>
      </c>
    </row>
    <row r="1614" spans="8:10">
      <c r="H1614" s="88">
        <v>0.98158513999999997</v>
      </c>
      <c r="I1614" s="77">
        <v>0.9710915</v>
      </c>
      <c r="J1614" s="15">
        <v>66.266000000000005</v>
      </c>
    </row>
    <row r="1615" spans="8:10">
      <c r="H1615" s="88">
        <v>0.98144869999999995</v>
      </c>
      <c r="I1615" s="77">
        <v>0.97105145000000004</v>
      </c>
      <c r="J1615" s="15">
        <v>66.266999999999996</v>
      </c>
    </row>
    <row r="1616" spans="8:10">
      <c r="H1616" s="88">
        <v>0.98130905999999996</v>
      </c>
      <c r="I1616" s="77">
        <v>0.97101090000000001</v>
      </c>
      <c r="J1616" s="15">
        <v>66.268000000000001</v>
      </c>
    </row>
    <row r="1617" spans="8:10">
      <c r="H1617" s="88">
        <v>0.98116605999999995</v>
      </c>
      <c r="I1617" s="77">
        <v>0.97097</v>
      </c>
      <c r="J1617" s="15">
        <v>66.269000000000005</v>
      </c>
    </row>
    <row r="1618" spans="8:10">
      <c r="H1618" s="88">
        <v>0.98101950000000004</v>
      </c>
      <c r="I1618" s="77">
        <v>0.97092849999999997</v>
      </c>
      <c r="J1618" s="15">
        <v>66.27</v>
      </c>
    </row>
    <row r="1619" spans="8:10">
      <c r="H1619" s="88">
        <v>0.9808692</v>
      </c>
      <c r="I1619" s="77">
        <v>0.97088649999999999</v>
      </c>
      <c r="J1619" s="15">
        <v>66.271000000000001</v>
      </c>
    </row>
    <row r="1620" spans="8:10">
      <c r="H1620" s="88">
        <v>0.98071489999999995</v>
      </c>
      <c r="I1620" s="77">
        <v>0.97084409999999999</v>
      </c>
      <c r="J1620" s="15">
        <v>66.272000000000006</v>
      </c>
    </row>
    <row r="1621" spans="8:10">
      <c r="H1621" s="88">
        <v>0.98055650000000005</v>
      </c>
      <c r="I1621" s="77">
        <v>0.97080105999999999</v>
      </c>
      <c r="J1621" s="15">
        <v>66.272999999999996</v>
      </c>
    </row>
    <row r="1622" spans="8:10">
      <c r="H1622" s="88">
        <v>0.98039365000000001</v>
      </c>
      <c r="I1622" s="77">
        <v>0.97075739999999999</v>
      </c>
      <c r="J1622" s="15">
        <v>66.274000000000001</v>
      </c>
    </row>
    <row r="1623" spans="8:10">
      <c r="H1623" s="88">
        <v>0.98022609999999999</v>
      </c>
      <c r="I1623" s="77">
        <v>0.97071320000000005</v>
      </c>
      <c r="J1623" s="15">
        <v>66.275000000000006</v>
      </c>
    </row>
    <row r="1624" spans="8:10">
      <c r="H1624" s="88">
        <v>0.98005354</v>
      </c>
      <c r="I1624" s="77">
        <v>0.97066830000000004</v>
      </c>
      <c r="J1624" s="15">
        <v>66.275999999999996</v>
      </c>
    </row>
    <row r="1625" spans="8:10">
      <c r="H1625" s="88">
        <v>0.97987574</v>
      </c>
      <c r="I1625" s="77">
        <v>0.97062280000000001</v>
      </c>
      <c r="J1625" s="15">
        <v>66.277000000000001</v>
      </c>
    </row>
    <row r="1626" spans="8:10">
      <c r="H1626" s="88">
        <v>0.97969216000000003</v>
      </c>
      <c r="I1626" s="77">
        <v>0.97057647000000002</v>
      </c>
      <c r="J1626" s="15">
        <v>66.278000000000006</v>
      </c>
    </row>
    <row r="1627" spans="8:10">
      <c r="H1627" s="88">
        <v>0.97950250000000005</v>
      </c>
      <c r="I1627" s="77">
        <v>0.97052930000000004</v>
      </c>
      <c r="J1627" s="15">
        <v>66.278999999999996</v>
      </c>
    </row>
    <row r="1628" spans="8:10">
      <c r="H1628" s="88">
        <v>0.97930634000000005</v>
      </c>
      <c r="I1628" s="77">
        <v>0.97048140000000005</v>
      </c>
      <c r="J1628" s="15">
        <v>66.28</v>
      </c>
    </row>
    <row r="1629" spans="8:10">
      <c r="H1629" s="88">
        <v>0.97910299999999995</v>
      </c>
      <c r="I1629" s="77">
        <v>0.97043250000000003</v>
      </c>
      <c r="J1629" s="15">
        <v>66.281000000000006</v>
      </c>
    </row>
    <row r="1630" spans="8:10">
      <c r="H1630" s="88">
        <v>0.97889214999999996</v>
      </c>
      <c r="I1630" s="77">
        <v>0.97038270000000004</v>
      </c>
      <c r="J1630" s="15">
        <v>66.281999999999996</v>
      </c>
    </row>
    <row r="1631" spans="8:10">
      <c r="H1631" s="88">
        <v>0.97867285999999998</v>
      </c>
      <c r="I1631" s="77">
        <v>0.97033179999999997</v>
      </c>
      <c r="J1631" s="15">
        <v>66.283000000000001</v>
      </c>
    </row>
    <row r="1632" spans="8:10">
      <c r="H1632" s="88">
        <v>0.97844450000000005</v>
      </c>
      <c r="I1632" s="77">
        <v>0.97027975</v>
      </c>
      <c r="J1632" s="15">
        <v>66.284000000000006</v>
      </c>
    </row>
    <row r="1633" spans="8:10">
      <c r="H1633" s="88">
        <v>0.97820620000000003</v>
      </c>
      <c r="I1633" s="77">
        <v>0.97022646999999995</v>
      </c>
      <c r="J1633" s="15">
        <v>66.284999999999997</v>
      </c>
    </row>
    <row r="1634" spans="8:10">
      <c r="H1634" s="88">
        <v>0.97795695000000005</v>
      </c>
      <c r="I1634" s="77">
        <v>0.97017175</v>
      </c>
      <c r="J1634" s="15">
        <v>66.286000000000001</v>
      </c>
    </row>
    <row r="1635" spans="8:10">
      <c r="H1635" s="88">
        <v>0.97769547000000001</v>
      </c>
      <c r="I1635" s="77">
        <v>0.97011554</v>
      </c>
      <c r="J1635" s="15">
        <v>66.287000000000006</v>
      </c>
    </row>
    <row r="1636" spans="8:10">
      <c r="H1636" s="88">
        <v>0.97742030000000002</v>
      </c>
      <c r="I1636" s="77">
        <v>0.97005766999999998</v>
      </c>
      <c r="J1636" s="15">
        <v>66.287999999999997</v>
      </c>
    </row>
    <row r="1637" spans="8:10">
      <c r="H1637" s="88">
        <v>0.97712975999999996</v>
      </c>
      <c r="I1637" s="77">
        <v>0.96999780000000002</v>
      </c>
      <c r="J1637" s="15">
        <v>66.289000000000001</v>
      </c>
    </row>
    <row r="1638" spans="8:10">
      <c r="H1638" s="88">
        <v>0.97682170000000001</v>
      </c>
      <c r="I1638" s="77">
        <v>0.96993589999999996</v>
      </c>
      <c r="J1638" s="15">
        <v>66.290000000000006</v>
      </c>
    </row>
    <row r="1639" spans="8:10">
      <c r="H1639" s="88">
        <v>0.97649350000000001</v>
      </c>
      <c r="I1639" s="77">
        <v>0.96987140000000005</v>
      </c>
      <c r="J1639" s="15">
        <v>66.290999999999997</v>
      </c>
    </row>
    <row r="1640" spans="8:10">
      <c r="H1640" s="88">
        <v>0.97614175000000003</v>
      </c>
      <c r="I1640" s="77">
        <v>0.96980409999999995</v>
      </c>
      <c r="J1640" s="15">
        <v>66.292000000000002</v>
      </c>
    </row>
    <row r="1641" spans="8:10">
      <c r="H1641" s="88">
        <v>0.97576207000000004</v>
      </c>
      <c r="I1641" s="77">
        <v>0.96973339999999997</v>
      </c>
      <c r="J1641" s="15">
        <v>66.293000000000006</v>
      </c>
    </row>
    <row r="1642" spans="8:10">
      <c r="H1642" s="88">
        <v>0.97534860000000001</v>
      </c>
      <c r="I1642" s="77">
        <v>0.96965869999999998</v>
      </c>
      <c r="J1642" s="15">
        <v>66.293999999999997</v>
      </c>
    </row>
    <row r="1643" spans="8:10">
      <c r="H1643" s="88">
        <v>2.3688238E-2</v>
      </c>
      <c r="I1643" s="77">
        <v>0.80104830000000005</v>
      </c>
      <c r="J1643" s="15">
        <v>14.4</v>
      </c>
    </row>
    <row r="1644" spans="8:10">
      <c r="H1644" s="88">
        <v>2.3917676999999998E-2</v>
      </c>
      <c r="I1644" s="77">
        <v>0.80245537</v>
      </c>
      <c r="J1644" s="15">
        <v>14.5</v>
      </c>
    </row>
    <row r="1645" spans="8:10">
      <c r="H1645" s="88">
        <v>2.4147583E-2</v>
      </c>
      <c r="I1645" s="77">
        <v>0.80384325999999995</v>
      </c>
      <c r="J1645" s="15">
        <v>14.6</v>
      </c>
    </row>
    <row r="1646" spans="8:10">
      <c r="H1646" s="88">
        <v>2.4377960000000001E-2</v>
      </c>
      <c r="I1646" s="77">
        <v>0.80521240000000005</v>
      </c>
      <c r="J1646" s="15">
        <v>14.7</v>
      </c>
    </row>
    <row r="1647" spans="8:10">
      <c r="H1647" s="88">
        <v>2.4608809999999998E-2</v>
      </c>
      <c r="I1647" s="77">
        <v>0.80656309999999998</v>
      </c>
      <c r="J1647" s="15">
        <v>14.8</v>
      </c>
    </row>
    <row r="1648" spans="8:10">
      <c r="H1648" s="88">
        <v>2.4840133E-2</v>
      </c>
      <c r="I1648" s="77">
        <v>0.80789569999999999</v>
      </c>
      <c r="J1648" s="15">
        <v>14.9</v>
      </c>
    </row>
    <row r="1649" spans="8:10">
      <c r="H1649" s="88">
        <v>2.5071934000000001E-2</v>
      </c>
      <c r="I1649" s="77">
        <v>0.80921069999999995</v>
      </c>
      <c r="J1649" s="15">
        <v>15</v>
      </c>
    </row>
    <row r="1650" spans="8:10">
      <c r="H1650" s="88">
        <v>2.5304211E-2</v>
      </c>
      <c r="I1650" s="77">
        <v>0.81050840000000002</v>
      </c>
      <c r="J1650" s="15">
        <v>15.1</v>
      </c>
    </row>
    <row r="1651" spans="8:10">
      <c r="H1651" s="88">
        <v>2.5536969999999999E-2</v>
      </c>
      <c r="I1651" s="77">
        <v>0.81178910000000004</v>
      </c>
      <c r="J1651" s="15">
        <v>15.2</v>
      </c>
    </row>
    <row r="1652" spans="8:10">
      <c r="H1652" s="88">
        <v>2.5770207999999999E-2</v>
      </c>
      <c r="I1652" s="77">
        <v>0.81305313000000001</v>
      </c>
      <c r="J1652" s="15">
        <v>15.3</v>
      </c>
    </row>
    <row r="1653" spans="8:10">
      <c r="H1653" s="88">
        <v>2.6003933E-2</v>
      </c>
      <c r="I1653" s="77">
        <v>0.81430084000000003</v>
      </c>
      <c r="J1653" s="15">
        <v>15.4</v>
      </c>
    </row>
    <row r="1654" spans="8:10">
      <c r="H1654" s="88">
        <v>2.6238141999999999E-2</v>
      </c>
      <c r="I1654" s="77">
        <v>0.81553249999999999</v>
      </c>
      <c r="J1654" s="15">
        <v>15.5</v>
      </c>
    </row>
    <row r="1655" spans="8:10">
      <c r="H1655" s="88">
        <v>2.6472839000000001E-2</v>
      </c>
      <c r="I1655" s="77">
        <v>0.81674849999999999</v>
      </c>
      <c r="J1655" s="15">
        <v>15.6</v>
      </c>
    </row>
    <row r="1656" spans="8:10">
      <c r="H1656" s="88">
        <v>2.6708025E-2</v>
      </c>
      <c r="I1656" s="77">
        <v>0.81794906000000001</v>
      </c>
      <c r="J1656" s="15">
        <v>15.7</v>
      </c>
    </row>
    <row r="1657" spans="8:10">
      <c r="H1657" s="88">
        <v>2.6943703999999999E-2</v>
      </c>
      <c r="I1657" s="77">
        <v>0.81913453000000003</v>
      </c>
      <c r="J1657" s="15">
        <v>15.8</v>
      </c>
    </row>
    <row r="1658" spans="8:10">
      <c r="H1658" s="88">
        <v>2.7179875999999999E-2</v>
      </c>
      <c r="I1658" s="77">
        <v>0.82030517000000003</v>
      </c>
      <c r="J1658" s="15">
        <v>15.9</v>
      </c>
    </row>
    <row r="1659" spans="8:10">
      <c r="H1659" s="88">
        <v>2.7416544000000001E-2</v>
      </c>
      <c r="I1659" s="77">
        <v>0.82146125999999997</v>
      </c>
      <c r="J1659" s="15">
        <v>16</v>
      </c>
    </row>
    <row r="1660" spans="8:10">
      <c r="H1660" s="88">
        <v>2.7653708999999999E-2</v>
      </c>
      <c r="I1660" s="77">
        <v>0.82260305</v>
      </c>
      <c r="J1660" s="15">
        <v>16.100000000000001</v>
      </c>
    </row>
    <row r="1661" spans="8:10">
      <c r="H1661" s="88">
        <v>2.7891375E-2</v>
      </c>
      <c r="I1661" s="77">
        <v>0.82373079999999999</v>
      </c>
      <c r="J1661" s="15">
        <v>16.2</v>
      </c>
    </row>
    <row r="1662" spans="8:10">
      <c r="H1662" s="88">
        <v>2.8129542E-2</v>
      </c>
      <c r="I1662" s="77">
        <v>0.82484484000000002</v>
      </c>
      <c r="J1662" s="15">
        <v>16.3</v>
      </c>
    </row>
    <row r="1663" spans="8:10">
      <c r="H1663" s="88">
        <v>2.8368212E-2</v>
      </c>
      <c r="I1663" s="77">
        <v>0.82594540000000005</v>
      </c>
      <c r="J1663" s="15">
        <v>16.399999999999999</v>
      </c>
    </row>
    <row r="1664" spans="8:10">
      <c r="H1664" s="88">
        <v>2.8607389E-2</v>
      </c>
      <c r="I1664" s="77">
        <v>0.82703260000000001</v>
      </c>
      <c r="J1664" s="15">
        <v>16.5</v>
      </c>
    </row>
    <row r="1665" spans="8:10">
      <c r="H1665" s="88">
        <v>2.8847074E-2</v>
      </c>
      <c r="I1665" s="77">
        <v>0.82810680000000003</v>
      </c>
      <c r="J1665" s="15">
        <v>16.600000000000001</v>
      </c>
    </row>
    <row r="1666" spans="8:10">
      <c r="H1666" s="88">
        <v>2.9087269999999998E-2</v>
      </c>
      <c r="I1666" s="77">
        <v>0.82916825999999999</v>
      </c>
      <c r="J1666" s="15">
        <v>16.7</v>
      </c>
    </row>
    <row r="1667" spans="8:10">
      <c r="H1667" s="88">
        <v>2.9327975999999999E-2</v>
      </c>
      <c r="I1667" s="77">
        <v>0.83021710000000004</v>
      </c>
      <c r="J1667" s="15">
        <v>16.8</v>
      </c>
    </row>
    <row r="1668" spans="8:10">
      <c r="H1668" s="88">
        <v>2.9569196999999998E-2</v>
      </c>
      <c r="I1668" s="77">
        <v>0.83125364999999996</v>
      </c>
      <c r="J1668" s="15">
        <v>16.899999999999999</v>
      </c>
    </row>
    <row r="1669" spans="8:10">
      <c r="H1669" s="88">
        <v>2.9810935E-2</v>
      </c>
      <c r="I1669" s="77">
        <v>0.83227810000000002</v>
      </c>
      <c r="J1669" s="15">
        <v>17</v>
      </c>
    </row>
    <row r="1670" spans="8:10">
      <c r="H1670" s="88">
        <v>3.0053192999999999E-2</v>
      </c>
      <c r="I1670" s="77">
        <v>0.83329059999999999</v>
      </c>
      <c r="J1670" s="15">
        <v>17.100000000000001</v>
      </c>
    </row>
    <row r="1671" spans="8:10">
      <c r="H1671" s="88">
        <v>3.0295969999999998E-2</v>
      </c>
      <c r="I1671" s="77">
        <v>0.83429134000000005</v>
      </c>
      <c r="J1671" s="15">
        <v>17.2</v>
      </c>
    </row>
    <row r="1672" spans="8:10">
      <c r="H1672" s="88">
        <v>3.053927E-2</v>
      </c>
      <c r="I1672" s="77">
        <v>0.83528066000000001</v>
      </c>
      <c r="J1672" s="15">
        <v>17.3</v>
      </c>
    </row>
    <row r="1673" spans="8:10">
      <c r="H1673" s="88">
        <v>3.0783094E-2</v>
      </c>
      <c r="I1673" s="77">
        <v>0.83625864999999999</v>
      </c>
      <c r="J1673" s="15">
        <v>17.399999999999999</v>
      </c>
    </row>
    <row r="1674" spans="8:10">
      <c r="H1674" s="88">
        <v>3.1027447E-2</v>
      </c>
      <c r="I1674" s="77">
        <v>0.83722549999999996</v>
      </c>
      <c r="J1674" s="15">
        <v>17.5</v>
      </c>
    </row>
    <row r="1675" spans="8:10">
      <c r="H1675" s="88">
        <v>3.1272330000000001E-2</v>
      </c>
      <c r="I1675" s="77">
        <v>0.83818144000000006</v>
      </c>
      <c r="J1675" s="15">
        <v>17.600000000000001</v>
      </c>
    </row>
    <row r="1676" spans="8:10">
      <c r="H1676" s="88">
        <v>3.1517744E-2</v>
      </c>
      <c r="I1676" s="77">
        <v>0.83912664999999997</v>
      </c>
      <c r="J1676" s="15">
        <v>17.7</v>
      </c>
    </row>
    <row r="1677" spans="8:10">
      <c r="H1677" s="88">
        <v>3.1763689999999997E-2</v>
      </c>
      <c r="I1677" s="77">
        <v>0.84006130000000001</v>
      </c>
      <c r="J1677" s="15">
        <v>17.8</v>
      </c>
    </row>
    <row r="1678" spans="8:10">
      <c r="H1678" s="88">
        <v>3.2010175000000002E-2</v>
      </c>
      <c r="I1678" s="77">
        <v>0.8409856</v>
      </c>
      <c r="J1678" s="15">
        <v>17.899999999999999</v>
      </c>
    </row>
    <row r="1679" spans="8:10">
      <c r="H1679" s="88">
        <v>3.22572E-2</v>
      </c>
      <c r="I1679" s="77">
        <v>0.84189970000000003</v>
      </c>
      <c r="J1679" s="15">
        <v>18</v>
      </c>
    </row>
    <row r="1680" spans="8:10">
      <c r="H1680" s="88">
        <v>3.2504762999999999E-2</v>
      </c>
      <c r="I1680" s="77">
        <v>0.84280370000000004</v>
      </c>
      <c r="J1680" s="15">
        <v>18.100000000000001</v>
      </c>
    </row>
    <row r="1681" spans="8:10">
      <c r="H1681" s="88">
        <v>3.2752870000000003E-2</v>
      </c>
      <c r="I1681" s="77">
        <v>0.84369784999999997</v>
      </c>
      <c r="J1681" s="15">
        <v>18.2</v>
      </c>
    </row>
    <row r="1682" spans="8:10">
      <c r="H1682" s="88">
        <v>3.3001522999999998E-2</v>
      </c>
      <c r="I1682" s="77">
        <v>0.84458230000000001</v>
      </c>
      <c r="J1682" s="15">
        <v>18.3</v>
      </c>
    </row>
    <row r="1683" spans="8:10">
      <c r="H1683" s="88">
        <v>3.3250723000000003E-2</v>
      </c>
      <c r="I1683" s="77">
        <v>0.84545720000000002</v>
      </c>
      <c r="J1683" s="15">
        <v>18.399999999999999</v>
      </c>
    </row>
    <row r="1684" spans="8:10">
      <c r="H1684" s="88">
        <v>3.3500474000000002E-2</v>
      </c>
      <c r="I1684" s="77">
        <v>0.84632269999999998</v>
      </c>
      <c r="J1684" s="15">
        <v>18.5</v>
      </c>
    </row>
    <row r="1685" spans="8:10">
      <c r="H1685" s="88">
        <v>3.3750776000000003E-2</v>
      </c>
      <c r="I1685" s="77">
        <v>0.84717894000000005</v>
      </c>
      <c r="J1685" s="15">
        <v>18.600000000000001</v>
      </c>
    </row>
    <row r="1686" spans="8:10">
      <c r="H1686" s="88">
        <v>3.4001634000000003E-2</v>
      </c>
      <c r="I1686" s="77">
        <v>0.8480261</v>
      </c>
      <c r="J1686" s="15">
        <v>18.7</v>
      </c>
    </row>
    <row r="1687" spans="8:10">
      <c r="H1687" s="88">
        <v>3.425305E-2</v>
      </c>
      <c r="I1687" s="77">
        <v>0.84886430000000002</v>
      </c>
      <c r="J1687" s="15">
        <v>18.8</v>
      </c>
    </row>
    <row r="1688" spans="8:10">
      <c r="H1688" s="88">
        <v>3.4505025000000002E-2</v>
      </c>
      <c r="I1688" s="77">
        <v>0.8496937</v>
      </c>
      <c r="J1688" s="15">
        <v>18.899999999999999</v>
      </c>
    </row>
    <row r="1689" spans="8:10">
      <c r="H1689" s="88">
        <v>3.4757561999999999E-2</v>
      </c>
      <c r="I1689" s="77">
        <v>0.8505144</v>
      </c>
      <c r="J1689" s="15">
        <v>19</v>
      </c>
    </row>
    <row r="1690" spans="8:10">
      <c r="H1690" s="88">
        <v>3.5010661999999998E-2</v>
      </c>
      <c r="I1690" s="77">
        <v>0.85132660000000004</v>
      </c>
      <c r="J1690" s="15">
        <v>19.100000000000001</v>
      </c>
    </row>
    <row r="1691" spans="8:10">
      <c r="H1691" s="88">
        <v>3.5264330000000003E-2</v>
      </c>
      <c r="I1691" s="77">
        <v>0.85213035000000004</v>
      </c>
      <c r="J1691" s="15">
        <v>19.2</v>
      </c>
    </row>
    <row r="1692" spans="8:10">
      <c r="H1692" s="88">
        <v>3.5518568E-2</v>
      </c>
      <c r="I1692" s="77">
        <v>0.85292584000000005</v>
      </c>
      <c r="J1692" s="15">
        <v>19.3</v>
      </c>
    </row>
    <row r="1693" spans="8:10">
      <c r="H1693" s="88">
        <v>3.5773378000000002E-2</v>
      </c>
      <c r="I1693" s="77">
        <v>0.85371319999999995</v>
      </c>
      <c r="J1693" s="15">
        <v>19.399999999999999</v>
      </c>
    </row>
    <row r="1694" spans="8:10">
      <c r="H1694" s="88">
        <v>3.602876E-2</v>
      </c>
      <c r="I1694" s="77">
        <v>0.85449255000000002</v>
      </c>
      <c r="J1694" s="15">
        <v>19.5</v>
      </c>
    </row>
    <row r="1695" spans="8:10">
      <c r="H1695" s="88">
        <v>3.6284721999999998E-2</v>
      </c>
      <c r="I1695" s="77">
        <v>0.85526400000000002</v>
      </c>
      <c r="J1695" s="15">
        <v>19.600000000000001</v>
      </c>
    </row>
    <row r="1696" spans="8:10">
      <c r="H1696" s="88">
        <v>3.6541265000000003E-2</v>
      </c>
      <c r="I1696" s="77">
        <v>0.85602765999999997</v>
      </c>
      <c r="J1696" s="15">
        <v>19.7</v>
      </c>
    </row>
    <row r="1697" spans="8:10">
      <c r="H1697" s="88">
        <v>3.6798384000000003E-2</v>
      </c>
      <c r="I1697" s="77">
        <v>0.85678359999999998</v>
      </c>
      <c r="J1697" s="15">
        <v>19.8</v>
      </c>
    </row>
    <row r="1698" spans="8:10">
      <c r="H1698" s="88">
        <v>3.7056091999999999E-2</v>
      </c>
      <c r="I1698" s="77">
        <v>0.85753210000000002</v>
      </c>
      <c r="J1698" s="15">
        <v>19.899999999999999</v>
      </c>
    </row>
    <row r="1699" spans="8:10">
      <c r="H1699" s="88">
        <v>3.7314390000000003E-2</v>
      </c>
      <c r="I1699" s="77">
        <v>0.85827310000000001</v>
      </c>
      <c r="J1699" s="15">
        <v>20</v>
      </c>
    </row>
    <row r="1700" spans="8:10">
      <c r="H1700" s="88">
        <v>3.7573269999999999E-2</v>
      </c>
      <c r="I1700" s="77">
        <v>0.85900679999999996</v>
      </c>
      <c r="J1700" s="15">
        <v>20.100000000000001</v>
      </c>
    </row>
    <row r="1701" spans="8:10">
      <c r="H1701" s="88">
        <v>3.7832749999999998E-2</v>
      </c>
      <c r="I1701" s="77">
        <v>0.85973330000000003</v>
      </c>
      <c r="J1701" s="15">
        <v>20.2</v>
      </c>
    </row>
    <row r="1702" spans="8:10">
      <c r="H1702" s="88">
        <v>3.8092818000000001E-2</v>
      </c>
      <c r="I1702" s="77">
        <v>0.86045269999999996</v>
      </c>
      <c r="J1702" s="15">
        <v>20.3</v>
      </c>
    </row>
    <row r="1703" spans="8:10">
      <c r="H1703" s="88">
        <v>3.8353487999999998E-2</v>
      </c>
      <c r="I1703" s="77">
        <v>0.86116504999999999</v>
      </c>
      <c r="J1703" s="15">
        <v>20.399999999999999</v>
      </c>
    </row>
    <row r="1704" spans="8:10">
      <c r="H1704" s="88">
        <v>3.8614757E-2</v>
      </c>
      <c r="I1704" s="77">
        <v>0.86187049999999998</v>
      </c>
      <c r="J1704" s="15">
        <v>20.5</v>
      </c>
    </row>
    <row r="1705" spans="8:10">
      <c r="H1705" s="88">
        <v>3.8876630000000002E-2</v>
      </c>
      <c r="I1705" s="77">
        <v>0.86256920000000004</v>
      </c>
      <c r="J1705" s="15">
        <v>20.6</v>
      </c>
    </row>
    <row r="1706" spans="8:10">
      <c r="H1706" s="88">
        <v>3.9139106999999999E-2</v>
      </c>
      <c r="I1706" s="77">
        <v>0.86326119999999995</v>
      </c>
      <c r="J1706" s="15">
        <v>20.7</v>
      </c>
    </row>
    <row r="1707" spans="8:10">
      <c r="H1707" s="88">
        <v>3.9402194000000001E-2</v>
      </c>
      <c r="I1707" s="77">
        <v>0.86394660000000001</v>
      </c>
      <c r="J1707" s="15">
        <v>20.8</v>
      </c>
    </row>
    <row r="1708" spans="8:10">
      <c r="H1708" s="88">
        <v>3.9665893000000001E-2</v>
      </c>
      <c r="I1708" s="77">
        <v>0.86462545000000002</v>
      </c>
      <c r="J1708" s="15">
        <v>20.9</v>
      </c>
    </row>
    <row r="1709" spans="8:10">
      <c r="H1709" s="88">
        <v>3.9930206000000003E-2</v>
      </c>
      <c r="I1709" s="77">
        <v>0.86529789999999995</v>
      </c>
      <c r="J1709" s="15">
        <v>21</v>
      </c>
    </row>
    <row r="1710" spans="8:10">
      <c r="H1710" s="88">
        <v>4.0195134E-2</v>
      </c>
      <c r="I1710" s="77">
        <v>0.86596406000000004</v>
      </c>
      <c r="J1710" s="15">
        <v>21.1</v>
      </c>
    </row>
    <row r="1711" spans="8:10">
      <c r="H1711" s="88">
        <v>4.0460682999999997E-2</v>
      </c>
      <c r="I1711" s="77">
        <v>0.86662393999999998</v>
      </c>
      <c r="J1711" s="15">
        <v>21.2</v>
      </c>
    </row>
    <row r="1712" spans="8:10">
      <c r="H1712" s="88">
        <v>4.0726850000000002E-2</v>
      </c>
      <c r="I1712" s="77">
        <v>0.86727770000000004</v>
      </c>
      <c r="J1712" s="15">
        <v>21.3</v>
      </c>
    </row>
    <row r="1713" spans="8:10">
      <c r="H1713" s="88">
        <v>4.099365E-2</v>
      </c>
      <c r="I1713" s="77">
        <v>0.86792539999999996</v>
      </c>
      <c r="J1713" s="15">
        <v>21.4</v>
      </c>
    </row>
    <row r="1714" spans="8:10">
      <c r="H1714" s="88">
        <v>4.1261073000000002E-2</v>
      </c>
      <c r="I1714" s="77">
        <v>0.86856710000000004</v>
      </c>
      <c r="J1714" s="15">
        <v>21.5</v>
      </c>
    </row>
    <row r="1715" spans="8:10">
      <c r="H1715" s="88">
        <v>4.1529126E-2</v>
      </c>
      <c r="I1715" s="77">
        <v>0.8692029</v>
      </c>
      <c r="J1715" s="15">
        <v>21.6</v>
      </c>
    </row>
    <row r="1716" spans="8:10">
      <c r="H1716" s="88">
        <v>4.1797813000000003E-2</v>
      </c>
      <c r="I1716" s="77">
        <v>0.86983290000000002</v>
      </c>
      <c r="J1716" s="15">
        <v>21.7</v>
      </c>
    </row>
    <row r="1717" spans="8:10">
      <c r="H1717" s="88">
        <v>4.2067140000000003E-2</v>
      </c>
      <c r="I1717" s="77">
        <v>0.87045720000000004</v>
      </c>
      <c r="J1717" s="15">
        <v>21.8</v>
      </c>
    </row>
    <row r="1718" spans="8:10">
      <c r="H1718" s="88">
        <v>4.2337105E-2</v>
      </c>
      <c r="I1718" s="77">
        <v>0.87107579999999996</v>
      </c>
      <c r="J1718" s="15">
        <v>21.9</v>
      </c>
    </row>
    <row r="1719" spans="8:10">
      <c r="H1719" s="88">
        <v>4.2607712999999998E-2</v>
      </c>
      <c r="I1719" s="77">
        <v>0.87168884000000002</v>
      </c>
      <c r="J1719" s="15">
        <v>22</v>
      </c>
    </row>
    <row r="1720" spans="8:10">
      <c r="H1720" s="88">
        <v>4.2878962999999999E-2</v>
      </c>
      <c r="I1720" s="77">
        <v>0.87229632999999995</v>
      </c>
      <c r="J1720" s="15">
        <v>22.1</v>
      </c>
    </row>
    <row r="1721" spans="8:10">
      <c r="H1721" s="88">
        <v>4.3150864999999997E-2</v>
      </c>
      <c r="I1721" s="77">
        <v>0.87289846000000004</v>
      </c>
      <c r="J1721" s="15">
        <v>22.2</v>
      </c>
    </row>
    <row r="1722" spans="8:10">
      <c r="H1722" s="88">
        <v>4.3423417999999998E-2</v>
      </c>
      <c r="I1722" s="77">
        <v>0.87349520000000003</v>
      </c>
      <c r="J1722" s="15">
        <v>22.3</v>
      </c>
    </row>
    <row r="1723" spans="8:10">
      <c r="H1723" s="88">
        <v>4.3696627000000002E-2</v>
      </c>
      <c r="I1723" s="77">
        <v>0.87408669999999999</v>
      </c>
      <c r="J1723" s="15">
        <v>22.4</v>
      </c>
    </row>
    <row r="1724" spans="8:10">
      <c r="H1724" s="88">
        <v>4.3970490000000001E-2</v>
      </c>
      <c r="I1724" s="77">
        <v>0.87467295</v>
      </c>
      <c r="J1724" s="15">
        <v>22.5</v>
      </c>
    </row>
    <row r="1725" spans="8:10">
      <c r="H1725" s="88">
        <v>4.4245020000000003E-2</v>
      </c>
      <c r="I1725" s="77">
        <v>0.87525410000000003</v>
      </c>
      <c r="J1725" s="15">
        <v>22.6</v>
      </c>
    </row>
    <row r="1726" spans="8:10">
      <c r="H1726" s="88">
        <v>4.4520206999999999E-2</v>
      </c>
      <c r="I1726" s="77">
        <v>0.87583009999999994</v>
      </c>
      <c r="J1726" s="15">
        <v>22.7</v>
      </c>
    </row>
    <row r="1727" spans="8:10">
      <c r="H1727" s="88">
        <v>4.4796063999999997E-2</v>
      </c>
      <c r="I1727" s="77">
        <v>0.87640110000000004</v>
      </c>
      <c r="J1727" s="15">
        <v>22.8</v>
      </c>
    </row>
    <row r="1728" spans="8:10">
      <c r="H1728" s="88">
        <v>4.5072593000000001E-2</v>
      </c>
      <c r="I1728" s="77">
        <v>0.87696724999999998</v>
      </c>
      <c r="J1728" s="15">
        <v>22.9</v>
      </c>
    </row>
    <row r="1729" spans="8:10">
      <c r="H1729" s="88">
        <v>4.5349790000000001E-2</v>
      </c>
      <c r="I1729" s="77">
        <v>0.87752839999999999</v>
      </c>
      <c r="J1729" s="15">
        <v>23</v>
      </c>
    </row>
    <row r="1730" spans="8:10">
      <c r="H1730" s="88">
        <v>4.5627670000000002E-2</v>
      </c>
      <c r="I1730" s="77">
        <v>0.87808483999999998</v>
      </c>
      <c r="J1730" s="15">
        <v>23.1</v>
      </c>
    </row>
    <row r="1731" spans="8:10">
      <c r="H1731" s="88">
        <v>4.5906227000000001E-2</v>
      </c>
      <c r="I1731" s="77">
        <v>0.87863650000000004</v>
      </c>
      <c r="J1731" s="15">
        <v>23.2</v>
      </c>
    </row>
    <row r="1732" spans="8:10">
      <c r="H1732" s="88">
        <v>4.6185464000000002E-2</v>
      </c>
      <c r="I1732" s="77">
        <v>0.87918339999999995</v>
      </c>
      <c r="J1732" s="15">
        <v>23.3</v>
      </c>
    </row>
    <row r="1733" spans="8:10">
      <c r="H1733" s="88">
        <v>4.6465390000000002E-2</v>
      </c>
      <c r="I1733" s="77">
        <v>0.87972574999999997</v>
      </c>
      <c r="J1733" s="15">
        <v>23.4</v>
      </c>
    </row>
    <row r="1734" spans="8:10">
      <c r="H1734" s="88">
        <v>4.6746004000000001E-2</v>
      </c>
      <c r="I1734" s="77">
        <v>0.88026349999999998</v>
      </c>
      <c r="J1734" s="15">
        <v>23.5</v>
      </c>
    </row>
    <row r="1735" spans="8:10">
      <c r="H1735" s="88">
        <v>4.7027312000000002E-2</v>
      </c>
      <c r="I1735" s="77">
        <v>0.88079673000000003</v>
      </c>
      <c r="J1735" s="15">
        <v>23.6</v>
      </c>
    </row>
    <row r="1736" spans="8:10">
      <c r="H1736" s="88">
        <v>4.7309316999999997E-2</v>
      </c>
      <c r="I1736" s="77">
        <v>0.88132553999999996</v>
      </c>
      <c r="J1736" s="15">
        <v>23.7</v>
      </c>
    </row>
    <row r="1737" spans="8:10">
      <c r="H1737" s="88">
        <v>4.7592018E-2</v>
      </c>
      <c r="I1737" s="77">
        <v>0.88184989999999996</v>
      </c>
      <c r="J1737" s="15">
        <v>23.8</v>
      </c>
    </row>
    <row r="1738" spans="8:10">
      <c r="H1738" s="88">
        <v>4.7875426999999998E-2</v>
      </c>
      <c r="I1738" s="77">
        <v>0.88236994000000002</v>
      </c>
      <c r="J1738" s="15">
        <v>23.9</v>
      </c>
    </row>
    <row r="1739" spans="8:10">
      <c r="H1739" s="88">
        <v>4.8159536000000003E-2</v>
      </c>
      <c r="I1739" s="77">
        <v>0.8828857</v>
      </c>
      <c r="J1739" s="15">
        <v>24</v>
      </c>
    </row>
    <row r="1740" spans="8:10">
      <c r="H1740" s="88">
        <v>4.8444359999999999E-2</v>
      </c>
      <c r="I1740" s="77">
        <v>0.88339716000000001</v>
      </c>
      <c r="J1740" s="15">
        <v>24.1</v>
      </c>
    </row>
    <row r="1741" spans="8:10">
      <c r="H1741" s="88">
        <v>4.8729893000000003E-2</v>
      </c>
      <c r="I1741" s="77">
        <v>0.88390449999999998</v>
      </c>
      <c r="J1741" s="15">
        <v>24.2</v>
      </c>
    </row>
    <row r="1742" spans="8:10">
      <c r="H1742" s="88">
        <v>4.9016143999999998E-2</v>
      </c>
      <c r="I1742" s="77">
        <v>0.88440770000000002</v>
      </c>
      <c r="J1742" s="15">
        <v>24.3</v>
      </c>
    </row>
    <row r="1743" spans="8:10">
      <c r="H1743" s="88">
        <v>4.9303114000000002E-2</v>
      </c>
      <c r="I1743" s="77">
        <v>0.88490676999999995</v>
      </c>
      <c r="J1743" s="15">
        <v>24.4</v>
      </c>
    </row>
    <row r="1744" spans="8:10">
      <c r="H1744" s="88">
        <v>4.9590809999999999E-2</v>
      </c>
      <c r="I1744" s="77">
        <v>0.88540184</v>
      </c>
      <c r="J1744" s="15">
        <v>24.5</v>
      </c>
    </row>
    <row r="1745" spans="8:10">
      <c r="H1745" s="88">
        <v>4.9879229999999997E-2</v>
      </c>
      <c r="I1745" s="77">
        <v>0.88589289999999998</v>
      </c>
      <c r="J1745" s="15">
        <v>24.6</v>
      </c>
    </row>
    <row r="1746" spans="8:10">
      <c r="H1746" s="88">
        <v>5.0168384000000003E-2</v>
      </c>
      <c r="I1746" s="77">
        <v>0.88638013999999998</v>
      </c>
      <c r="J1746" s="15">
        <v>24.7</v>
      </c>
    </row>
    <row r="1747" spans="8:10">
      <c r="H1747" s="88">
        <v>5.045827E-2</v>
      </c>
      <c r="I1747" s="77">
        <v>0.88686335000000005</v>
      </c>
      <c r="J1747" s="15">
        <v>24.8</v>
      </c>
    </row>
    <row r="1748" spans="8:10">
      <c r="H1748" s="88">
        <v>5.0748896000000002E-2</v>
      </c>
      <c r="I1748" s="77">
        <v>0.88734279999999999</v>
      </c>
      <c r="J1748" s="15">
        <v>24.9</v>
      </c>
    </row>
    <row r="1749" spans="8:10">
      <c r="H1749" s="88">
        <v>5.1040262000000003E-2</v>
      </c>
      <c r="I1749" s="77">
        <v>0.88781845999999998</v>
      </c>
      <c r="J1749" s="15">
        <v>25</v>
      </c>
    </row>
    <row r="1750" spans="8:10">
      <c r="H1750" s="88">
        <v>5.1332373000000001E-2</v>
      </c>
      <c r="I1750" s="77">
        <v>0.88829035000000001</v>
      </c>
      <c r="J1750" s="15">
        <v>25.1</v>
      </c>
    </row>
    <row r="1751" spans="8:10">
      <c r="H1751" s="88">
        <v>5.1625233E-2</v>
      </c>
      <c r="I1751" s="77">
        <v>0.88875850000000001</v>
      </c>
      <c r="J1751" s="15">
        <v>25.2</v>
      </c>
    </row>
    <row r="1752" spans="8:10">
      <c r="H1752" s="88">
        <v>5.1918845999999998E-2</v>
      </c>
      <c r="I1752" s="77">
        <v>0.88922303999999996</v>
      </c>
      <c r="J1752" s="15">
        <v>25.3</v>
      </c>
    </row>
    <row r="1753" spans="8:10">
      <c r="H1753" s="88">
        <v>5.2213214000000001E-2</v>
      </c>
      <c r="I1753" s="77">
        <v>0.88968389999999997</v>
      </c>
      <c r="J1753" s="15">
        <v>25.4</v>
      </c>
    </row>
    <row r="1754" spans="8:10">
      <c r="H1754" s="88">
        <v>5.2508342999999999E-2</v>
      </c>
      <c r="I1754" s="77">
        <v>0.89014124999999999</v>
      </c>
      <c r="J1754" s="15">
        <v>25.5</v>
      </c>
    </row>
    <row r="1755" spans="8:10">
      <c r="H1755" s="88">
        <v>5.2804234999999998E-2</v>
      </c>
      <c r="I1755" s="77">
        <v>0.89059500000000003</v>
      </c>
      <c r="J1755" s="15">
        <v>25.6</v>
      </c>
    </row>
    <row r="1756" spans="8:10">
      <c r="H1756" s="88">
        <v>5.3100899999999999E-2</v>
      </c>
      <c r="I1756" s="77">
        <v>0.89104532999999997</v>
      </c>
      <c r="J1756" s="15">
        <v>25.7</v>
      </c>
    </row>
    <row r="1757" spans="8:10">
      <c r="H1757" s="88">
        <v>5.3398330000000001E-2</v>
      </c>
      <c r="I1757" s="77">
        <v>0.89149219999999996</v>
      </c>
      <c r="J1757" s="15">
        <v>25.8</v>
      </c>
    </row>
    <row r="1758" spans="8:10">
      <c r="H1758" s="88">
        <v>5.3696540000000001E-2</v>
      </c>
      <c r="I1758" s="77">
        <v>0.89193564999999997</v>
      </c>
      <c r="J1758" s="15">
        <v>25.9</v>
      </c>
    </row>
    <row r="1759" spans="8:10">
      <c r="H1759" s="88">
        <v>5.3995527000000001E-2</v>
      </c>
      <c r="I1759" s="77">
        <v>0.89237569999999999</v>
      </c>
      <c r="J1759" s="15">
        <v>26</v>
      </c>
    </row>
    <row r="1760" spans="8:10">
      <c r="H1760" s="88">
        <v>5.4295297999999999E-2</v>
      </c>
      <c r="I1760" s="77">
        <v>0.89281242999999999</v>
      </c>
      <c r="J1760" s="15">
        <v>26.1</v>
      </c>
    </row>
    <row r="1761" spans="8:10">
      <c r="H1761" s="88">
        <v>5.4595857999999997E-2</v>
      </c>
      <c r="I1761" s="77">
        <v>0.89324590000000004</v>
      </c>
      <c r="J1761" s="15">
        <v>26.2</v>
      </c>
    </row>
    <row r="1762" spans="8:10">
      <c r="H1762" s="88">
        <v>5.4897208000000003E-2</v>
      </c>
      <c r="I1762" s="77">
        <v>0.89367609999999997</v>
      </c>
      <c r="J1762" s="15">
        <v>26.3</v>
      </c>
    </row>
    <row r="1763" spans="8:10">
      <c r="H1763" s="88">
        <v>5.5199354999999999E-2</v>
      </c>
      <c r="I1763" s="77">
        <v>0.89410305000000001</v>
      </c>
      <c r="J1763" s="15">
        <v>26.4</v>
      </c>
    </row>
    <row r="1764" spans="8:10">
      <c r="H1764" s="88">
        <v>5.5502299999999997E-2</v>
      </c>
      <c r="I1764" s="77">
        <v>0.89452684000000005</v>
      </c>
      <c r="J1764" s="15">
        <v>26.5</v>
      </c>
    </row>
    <row r="1765" spans="8:10">
      <c r="H1765" s="88">
        <v>5.5806050000000003E-2</v>
      </c>
      <c r="I1765" s="77">
        <v>0.89494746999999997</v>
      </c>
      <c r="J1765" s="15">
        <v>26.6</v>
      </c>
    </row>
    <row r="1766" spans="8:10">
      <c r="H1766" s="88">
        <v>5.6110606E-2</v>
      </c>
      <c r="I1766" s="77">
        <v>0.89536499999999997</v>
      </c>
      <c r="J1766" s="15">
        <v>26.7</v>
      </c>
    </row>
    <row r="1767" spans="8:10">
      <c r="H1767" s="88">
        <v>5.6415975E-2</v>
      </c>
      <c r="I1767" s="77">
        <v>0.89577949999999995</v>
      </c>
      <c r="J1767" s="15">
        <v>26.8</v>
      </c>
    </row>
    <row r="1768" spans="8:10">
      <c r="H1768" s="88">
        <v>5.6722160000000001E-2</v>
      </c>
      <c r="I1768" s="77">
        <v>0.89619090000000001</v>
      </c>
      <c r="J1768" s="15">
        <v>26.9</v>
      </c>
    </row>
    <row r="1769" spans="8:10">
      <c r="H1769" s="88">
        <v>5.7029169999999997E-2</v>
      </c>
      <c r="I1769" s="77">
        <v>0.89659929999999999</v>
      </c>
      <c r="J1769" s="15">
        <v>27</v>
      </c>
    </row>
    <row r="1770" spans="8:10">
      <c r="H1770" s="88">
        <v>5.7336997000000001E-2</v>
      </c>
      <c r="I1770" s="77">
        <v>0.89700469999999999</v>
      </c>
      <c r="J1770" s="15">
        <v>27.1</v>
      </c>
    </row>
    <row r="1771" spans="8:10">
      <c r="H1771" s="88">
        <v>5.7645660000000001E-2</v>
      </c>
      <c r="I1771" s="77">
        <v>0.89740719999999996</v>
      </c>
      <c r="J1771" s="15">
        <v>27.2</v>
      </c>
    </row>
    <row r="1772" spans="8:10">
      <c r="H1772" s="88">
        <v>5.7955153000000002E-2</v>
      </c>
      <c r="I1772" s="77">
        <v>0.89780676000000004</v>
      </c>
      <c r="J1772" s="15">
        <v>27.3</v>
      </c>
    </row>
    <row r="1773" spans="8:10">
      <c r="H1773" s="88">
        <v>5.8265484999999999E-2</v>
      </c>
      <c r="I1773" s="77">
        <v>0.89820350000000004</v>
      </c>
      <c r="J1773" s="15">
        <v>27.4</v>
      </c>
    </row>
    <row r="1774" spans="8:10">
      <c r="H1774" s="88">
        <v>5.8576660000000003E-2</v>
      </c>
      <c r="I1774" s="77">
        <v>0.89859736000000001</v>
      </c>
      <c r="J1774" s="15">
        <v>27.5</v>
      </c>
    </row>
    <row r="1775" spans="8:10">
      <c r="H1775" s="88">
        <v>5.8888678E-2</v>
      </c>
      <c r="I1775" s="77">
        <v>0.89898836999999998</v>
      </c>
      <c r="J1775" s="15">
        <v>27.6</v>
      </c>
    </row>
    <row r="1776" spans="8:10">
      <c r="H1776" s="88">
        <v>5.9201549999999999E-2</v>
      </c>
      <c r="I1776" s="77">
        <v>0.89937663000000001</v>
      </c>
      <c r="J1776" s="15">
        <v>27.7</v>
      </c>
    </row>
    <row r="1777" spans="8:10">
      <c r="H1777" s="88">
        <v>5.9515279999999997E-2</v>
      </c>
      <c r="I1777" s="77">
        <v>0.89976210000000001</v>
      </c>
      <c r="J1777" s="15">
        <v>27.8</v>
      </c>
    </row>
    <row r="1778" spans="8:10">
      <c r="H1778" s="88">
        <v>5.9829865000000003E-2</v>
      </c>
      <c r="I1778" s="77">
        <v>0.90014490000000003</v>
      </c>
      <c r="J1778" s="15">
        <v>27.9</v>
      </c>
    </row>
    <row r="1779" spans="8:10">
      <c r="H1779" s="88">
        <v>6.0145320000000002E-2</v>
      </c>
      <c r="I1779" s="77">
        <v>0.90052500000000002</v>
      </c>
      <c r="J1779" s="15">
        <v>28</v>
      </c>
    </row>
    <row r="1780" spans="8:10">
      <c r="H1780" s="88">
        <v>6.0461639999999997E-2</v>
      </c>
      <c r="I1780" s="77">
        <v>0.90090239999999999</v>
      </c>
      <c r="J1780" s="15">
        <v>28.1</v>
      </c>
    </row>
    <row r="1781" spans="8:10">
      <c r="H1781" s="88">
        <v>6.0778838000000002E-2</v>
      </c>
      <c r="I1781" s="77">
        <v>0.9012772</v>
      </c>
      <c r="J1781" s="15">
        <v>28.2</v>
      </c>
    </row>
    <row r="1782" spans="8:10">
      <c r="H1782" s="88">
        <v>6.1096909999999997E-2</v>
      </c>
      <c r="I1782" s="77">
        <v>0.90164935999999996</v>
      </c>
      <c r="J1782" s="15">
        <v>28.3</v>
      </c>
    </row>
    <row r="1783" spans="8:10">
      <c r="H1783" s="88">
        <v>6.1415869999999997E-2</v>
      </c>
      <c r="I1783" s="77">
        <v>0.90201889999999996</v>
      </c>
      <c r="J1783" s="15">
        <v>28.4</v>
      </c>
    </row>
    <row r="1784" spans="8:10">
      <c r="H1784" s="88">
        <v>6.1735720000000001E-2</v>
      </c>
      <c r="I1784" s="77">
        <v>0.90238594999999999</v>
      </c>
      <c r="J1784" s="15">
        <v>28.5</v>
      </c>
    </row>
    <row r="1785" spans="8:10">
      <c r="H1785" s="88">
        <v>6.2056460000000001E-2</v>
      </c>
      <c r="I1785" s="77">
        <v>0.90275042999999999</v>
      </c>
      <c r="J1785" s="15">
        <v>28.6</v>
      </c>
    </row>
    <row r="1786" spans="8:10">
      <c r="H1786" s="88">
        <v>6.2378097E-2</v>
      </c>
      <c r="I1786" s="77">
        <v>0.90311240000000004</v>
      </c>
      <c r="J1786" s="15">
        <v>28.7</v>
      </c>
    </row>
    <row r="1787" spans="8:10">
      <c r="H1787" s="88">
        <v>6.2700640000000002E-2</v>
      </c>
      <c r="I1787" s="77">
        <v>0.90347195000000002</v>
      </c>
      <c r="J1787" s="15">
        <v>28.8</v>
      </c>
    </row>
    <row r="1788" spans="8:10">
      <c r="H1788" s="88">
        <v>6.3024090000000005E-2</v>
      </c>
      <c r="I1788" s="77">
        <v>0.90382903999999997</v>
      </c>
      <c r="J1788" s="15">
        <v>28.9</v>
      </c>
    </row>
    <row r="1789" spans="8:10">
      <c r="H1789" s="88">
        <v>6.3348450000000001E-2</v>
      </c>
      <c r="I1789" s="77">
        <v>0.90418370000000003</v>
      </c>
      <c r="J1789" s="15">
        <v>29</v>
      </c>
    </row>
    <row r="1790" spans="8:10">
      <c r="H1790" s="88">
        <v>6.3673729999999998E-2</v>
      </c>
      <c r="I1790" s="77">
        <v>0.90453589999999995</v>
      </c>
      <c r="J1790" s="15">
        <v>29.1</v>
      </c>
    </row>
    <row r="1791" spans="8:10">
      <c r="H1791" s="88">
        <v>6.3999929999999997E-2</v>
      </c>
      <c r="I1791" s="77">
        <v>0.90488577000000003</v>
      </c>
      <c r="J1791" s="15">
        <v>29.2</v>
      </c>
    </row>
    <row r="1792" spans="8:10">
      <c r="H1792" s="88">
        <v>6.4327060000000005E-2</v>
      </c>
      <c r="I1792" s="77">
        <v>0.90523330000000002</v>
      </c>
      <c r="J1792" s="15">
        <v>29.3</v>
      </c>
    </row>
    <row r="1793" spans="8:10">
      <c r="H1793" s="88">
        <v>6.4655124999999994E-2</v>
      </c>
      <c r="I1793" s="77">
        <v>0.90557849999999995</v>
      </c>
      <c r="J1793" s="15">
        <v>29.4</v>
      </c>
    </row>
    <row r="1794" spans="8:10">
      <c r="H1794" s="88">
        <v>6.4984130000000001E-2</v>
      </c>
      <c r="I1794" s="77">
        <v>0.90592139999999999</v>
      </c>
      <c r="J1794" s="15">
        <v>29.5</v>
      </c>
    </row>
    <row r="1795" spans="8:10">
      <c r="H1795" s="88">
        <v>6.5314070000000002E-2</v>
      </c>
      <c r="I1795" s="77">
        <v>0.90626203999999999</v>
      </c>
      <c r="J1795" s="15">
        <v>29.6</v>
      </c>
    </row>
    <row r="1796" spans="8:10">
      <c r="H1796" s="88">
        <v>6.5644965E-2</v>
      </c>
      <c r="I1796" s="77">
        <v>0.90660035999999999</v>
      </c>
      <c r="J1796" s="15">
        <v>29.7</v>
      </c>
    </row>
    <row r="1797" spans="8:10">
      <c r="H1797" s="88">
        <v>6.5976809999999997E-2</v>
      </c>
      <c r="I1797" s="77">
        <v>0.90693650000000003</v>
      </c>
      <c r="J1797" s="15">
        <v>29.8</v>
      </c>
    </row>
    <row r="1798" spans="8:10">
      <c r="H1798" s="88">
        <v>6.630962E-2</v>
      </c>
      <c r="I1798" s="77">
        <v>0.90727042999999996</v>
      </c>
      <c r="J1798" s="15">
        <v>29.9</v>
      </c>
    </row>
    <row r="1799" spans="8:10">
      <c r="H1799" s="88">
        <v>6.6643394999999994E-2</v>
      </c>
      <c r="I1799" s="77">
        <v>0.90760213000000001</v>
      </c>
      <c r="J1799" s="15">
        <v>30</v>
      </c>
    </row>
    <row r="1800" spans="8:10">
      <c r="H1800" s="88">
        <v>6.6978133999999995E-2</v>
      </c>
      <c r="I1800" s="77">
        <v>0.90793175000000004</v>
      </c>
      <c r="J1800" s="15">
        <v>30.1</v>
      </c>
    </row>
    <row r="1801" spans="8:10">
      <c r="H1801" s="88">
        <v>6.7313860000000003E-2</v>
      </c>
      <c r="I1801" s="77">
        <v>0.90825915000000002</v>
      </c>
      <c r="J1801" s="15">
        <v>30.2</v>
      </c>
    </row>
    <row r="1802" spans="8:10">
      <c r="H1802" s="88">
        <v>6.7650559999999998E-2</v>
      </c>
      <c r="I1802" s="77">
        <v>0.90858439999999996</v>
      </c>
      <c r="J1802" s="15">
        <v>30.3</v>
      </c>
    </row>
    <row r="1803" spans="8:10">
      <c r="H1803" s="88">
        <v>6.7988240000000005E-2</v>
      </c>
      <c r="I1803" s="77">
        <v>0.90890764999999996</v>
      </c>
      <c r="J1803" s="15">
        <v>30.4</v>
      </c>
    </row>
    <row r="1804" spans="8:10">
      <c r="H1804" s="88">
        <v>6.8326919999999999E-2</v>
      </c>
      <c r="I1804" s="77">
        <v>0.90922873999999998</v>
      </c>
      <c r="J1804" s="15">
        <v>30.5</v>
      </c>
    </row>
    <row r="1805" spans="8:10">
      <c r="H1805" s="88">
        <v>6.8666599999999994E-2</v>
      </c>
      <c r="I1805" s="77">
        <v>0.90954780000000002</v>
      </c>
      <c r="J1805" s="15">
        <v>30.6</v>
      </c>
    </row>
    <row r="1806" spans="8:10">
      <c r="H1806" s="88">
        <v>6.9007280000000004E-2</v>
      </c>
      <c r="I1806" s="77">
        <v>0.90986480000000003</v>
      </c>
      <c r="J1806" s="15">
        <v>30.7</v>
      </c>
    </row>
    <row r="1807" spans="8:10">
      <c r="H1807" s="88">
        <v>6.9348969999999996E-2</v>
      </c>
      <c r="I1807" s="77">
        <v>0.91017979999999998</v>
      </c>
      <c r="J1807" s="15">
        <v>30.8</v>
      </c>
    </row>
    <row r="1808" spans="8:10">
      <c r="H1808" s="88">
        <v>6.9691669999999997E-2</v>
      </c>
      <c r="I1808" s="77">
        <v>0.91049279999999999</v>
      </c>
      <c r="J1808" s="15">
        <v>30.9</v>
      </c>
    </row>
    <row r="1809" spans="8:10">
      <c r="H1809" s="88">
        <v>7.0035404999999995E-2</v>
      </c>
      <c r="I1809" s="77">
        <v>0.91080380000000005</v>
      </c>
      <c r="J1809" s="15">
        <v>31</v>
      </c>
    </row>
    <row r="1810" spans="8:10">
      <c r="H1810" s="88">
        <v>7.0380159999999997E-2</v>
      </c>
      <c r="I1810" s="77">
        <v>0.91111284000000003</v>
      </c>
      <c r="J1810" s="15">
        <v>31.1</v>
      </c>
    </row>
    <row r="1811" spans="8:10">
      <c r="H1811" s="88">
        <v>7.0725949999999996E-2</v>
      </c>
      <c r="I1811" s="77">
        <v>0.91141989999999995</v>
      </c>
      <c r="J1811" s="15">
        <v>31.2</v>
      </c>
    </row>
    <row r="1812" spans="8:10">
      <c r="H1812" s="88">
        <v>7.1072769999999993E-2</v>
      </c>
      <c r="I1812" s="77">
        <v>0.91172509999999996</v>
      </c>
      <c r="J1812" s="15">
        <v>31.3</v>
      </c>
    </row>
    <row r="1813" spans="8:10">
      <c r="H1813" s="88">
        <v>7.1420650000000002E-2</v>
      </c>
      <c r="I1813" s="77">
        <v>0.91202839999999996</v>
      </c>
      <c r="J1813" s="15">
        <v>31.4</v>
      </c>
    </row>
    <row r="1814" spans="8:10">
      <c r="H1814" s="88">
        <v>7.1769570000000005E-2</v>
      </c>
      <c r="I1814" s="77">
        <v>0.91232979999999997</v>
      </c>
      <c r="J1814" s="15">
        <v>31.5</v>
      </c>
    </row>
    <row r="1815" spans="8:10">
      <c r="H1815" s="88">
        <v>7.2119550000000004E-2</v>
      </c>
      <c r="I1815" s="77">
        <v>0.91262929999999998</v>
      </c>
      <c r="J1815" s="15">
        <v>31.6</v>
      </c>
    </row>
    <row r="1816" spans="8:10">
      <c r="H1816" s="88">
        <v>7.2470599999999996E-2</v>
      </c>
      <c r="I1816" s="77">
        <v>0.91292700000000004</v>
      </c>
      <c r="J1816" s="15">
        <v>31.7</v>
      </c>
    </row>
    <row r="1817" spans="8:10">
      <c r="H1817" s="88">
        <v>7.2822709999999999E-2</v>
      </c>
      <c r="I1817" s="77">
        <v>0.9132228</v>
      </c>
      <c r="J1817" s="15">
        <v>31.8</v>
      </c>
    </row>
    <row r="1818" spans="8:10">
      <c r="H1818" s="88">
        <v>7.3175909999999997E-2</v>
      </c>
      <c r="I1818" s="77">
        <v>0.91351676000000004</v>
      </c>
      <c r="J1818" s="15">
        <v>31.9</v>
      </c>
    </row>
    <row r="1819" spans="8:10">
      <c r="H1819" s="88">
        <v>7.3530180000000001E-2</v>
      </c>
      <c r="I1819" s="77">
        <v>0.91380899999999998</v>
      </c>
      <c r="J1819" s="15">
        <v>32</v>
      </c>
    </row>
    <row r="1820" spans="8:10">
      <c r="H1820" s="88">
        <v>7.3885544999999997E-2</v>
      </c>
      <c r="I1820" s="77">
        <v>0.91409945000000004</v>
      </c>
      <c r="J1820" s="15">
        <v>32.1</v>
      </c>
    </row>
    <row r="1821" spans="8:10">
      <c r="H1821" s="88">
        <v>7.4242009999999997E-2</v>
      </c>
      <c r="I1821" s="77">
        <v>0.91438805999999995</v>
      </c>
      <c r="J1821" s="15">
        <v>32.200000000000003</v>
      </c>
    </row>
    <row r="1822" spans="8:10">
      <c r="H1822" s="88">
        <v>7.4599570000000004E-2</v>
      </c>
      <c r="I1822" s="77">
        <v>0.91467500000000002</v>
      </c>
      <c r="J1822" s="15">
        <v>32.299999999999997</v>
      </c>
    </row>
    <row r="1823" spans="8:10">
      <c r="H1823" s="88">
        <v>7.4958239999999995E-2</v>
      </c>
      <c r="I1823" s="77">
        <v>0.9149602</v>
      </c>
      <c r="J1823" s="15">
        <v>32.4</v>
      </c>
    </row>
    <row r="1824" spans="8:10">
      <c r="H1824" s="88">
        <v>7.5318029999999994E-2</v>
      </c>
      <c r="I1824" s="77">
        <v>0.91524360000000005</v>
      </c>
      <c r="J1824" s="15">
        <v>32.5</v>
      </c>
    </row>
    <row r="1825" spans="8:10">
      <c r="H1825" s="88">
        <v>7.5678944999999997E-2</v>
      </c>
      <c r="I1825" s="77">
        <v>0.91552544000000002</v>
      </c>
      <c r="J1825" s="15">
        <v>32.6</v>
      </c>
    </row>
    <row r="1826" spans="8:10">
      <c r="H1826" s="88">
        <v>7.6040979999999994E-2</v>
      </c>
      <c r="I1826" s="77">
        <v>0.91580545999999996</v>
      </c>
      <c r="J1826" s="15">
        <v>32.700000000000003</v>
      </c>
    </row>
    <row r="1827" spans="8:10">
      <c r="H1827" s="88">
        <v>7.6404159999999999E-2</v>
      </c>
      <c r="I1827" s="77">
        <v>0.91608389999999995</v>
      </c>
      <c r="J1827" s="15">
        <v>32.799999999999997</v>
      </c>
    </row>
    <row r="1828" spans="8:10">
      <c r="H1828" s="88">
        <v>7.676848E-2</v>
      </c>
      <c r="I1828" s="77">
        <v>0.91636059999999997</v>
      </c>
      <c r="J1828" s="15">
        <v>32.9</v>
      </c>
    </row>
    <row r="1829" spans="8:10">
      <c r="H1829" s="88">
        <v>7.7133950000000007E-2</v>
      </c>
      <c r="I1829" s="77">
        <v>0.91663574999999997</v>
      </c>
      <c r="J1829" s="15">
        <v>33</v>
      </c>
    </row>
    <row r="1830" spans="8:10">
      <c r="H1830" s="88">
        <v>7.7500579999999999E-2</v>
      </c>
      <c r="I1830" s="77">
        <v>0.91690919999999998</v>
      </c>
      <c r="J1830" s="15">
        <v>33.1</v>
      </c>
    </row>
    <row r="1831" spans="8:10">
      <c r="H1831" s="88">
        <v>7.7868370000000006E-2</v>
      </c>
      <c r="I1831" s="77">
        <v>0.91718113000000001</v>
      </c>
      <c r="J1831" s="15">
        <v>33.200000000000003</v>
      </c>
    </row>
    <row r="1832" spans="8:10">
      <c r="H1832" s="88">
        <v>7.8237340000000002E-2</v>
      </c>
      <c r="I1832" s="77">
        <v>0.91745144000000001</v>
      </c>
      <c r="J1832" s="15">
        <v>33.299999999999997</v>
      </c>
    </row>
    <row r="1833" spans="8:10">
      <c r="H1833" s="88">
        <v>7.8607479999999993E-2</v>
      </c>
      <c r="I1833" s="77">
        <v>0.91772014000000002</v>
      </c>
      <c r="J1833" s="15">
        <v>33.4</v>
      </c>
    </row>
    <row r="1834" spans="8:10">
      <c r="H1834" s="88">
        <v>7.8978809999999997E-2</v>
      </c>
      <c r="I1834" s="77">
        <v>0.9179872</v>
      </c>
      <c r="J1834" s="15">
        <v>33.5</v>
      </c>
    </row>
    <row r="1835" spans="8:10">
      <c r="H1835" s="88">
        <v>7.9351335999999995E-2</v>
      </c>
      <c r="I1835" s="77">
        <v>0.91825279999999998</v>
      </c>
      <c r="J1835" s="15">
        <v>33.6</v>
      </c>
    </row>
    <row r="1836" spans="8:10">
      <c r="H1836" s="88">
        <v>7.972506E-2</v>
      </c>
      <c r="I1836" s="77">
        <v>0.91851689999999997</v>
      </c>
      <c r="J1836" s="15">
        <v>33.700000000000003</v>
      </c>
    </row>
    <row r="1837" spans="8:10">
      <c r="H1837" s="88">
        <v>8.0099989999999996E-2</v>
      </c>
      <c r="I1837" s="77">
        <v>0.91877942999999995</v>
      </c>
      <c r="J1837" s="15">
        <v>33.799999999999997</v>
      </c>
    </row>
    <row r="1838" spans="8:10">
      <c r="H1838" s="88">
        <v>8.0476140000000002E-2</v>
      </c>
      <c r="I1838" s="77">
        <v>0.91904043999999996</v>
      </c>
      <c r="J1838" s="15">
        <v>33.9</v>
      </c>
    </row>
    <row r="1839" spans="8:10">
      <c r="H1839" s="88">
        <v>8.0853514000000001E-2</v>
      </c>
      <c r="I1839" s="77">
        <v>0.91929996000000003</v>
      </c>
      <c r="J1839" s="15">
        <v>34</v>
      </c>
    </row>
    <row r="1840" spans="8:10">
      <c r="H1840" s="88">
        <v>8.1232115999999993E-2</v>
      </c>
      <c r="I1840" s="77">
        <v>0.91955799999999999</v>
      </c>
      <c r="J1840" s="15">
        <v>34.1</v>
      </c>
    </row>
    <row r="1841" spans="8:10">
      <c r="H1841" s="88">
        <v>8.1611959999999997E-2</v>
      </c>
      <c r="I1841" s="77">
        <v>0.91981449999999998</v>
      </c>
      <c r="J1841" s="15">
        <v>34.200000000000003</v>
      </c>
    </row>
    <row r="1842" spans="8:10">
      <c r="H1842" s="88">
        <v>8.1993060000000006E-2</v>
      </c>
      <c r="I1842" s="77">
        <v>0.92006962999999997</v>
      </c>
      <c r="J1842" s="15">
        <v>34.299999999999997</v>
      </c>
    </row>
    <row r="1843" spans="8:10">
      <c r="H1843" s="88">
        <v>8.2375409999999996E-2</v>
      </c>
      <c r="I1843" s="77">
        <v>0.92032329999999996</v>
      </c>
      <c r="J1843" s="15">
        <v>34.4</v>
      </c>
    </row>
    <row r="1844" spans="8:10">
      <c r="H1844" s="88">
        <v>8.2759015000000005E-2</v>
      </c>
      <c r="I1844" s="77">
        <v>0.92057555999999996</v>
      </c>
      <c r="J1844" s="15">
        <v>34.5</v>
      </c>
    </row>
    <row r="1845" spans="8:10">
      <c r="H1845" s="88">
        <v>8.3143900000000007E-2</v>
      </c>
      <c r="I1845" s="77">
        <v>0.92082640000000004</v>
      </c>
      <c r="J1845" s="15">
        <v>34.6</v>
      </c>
    </row>
    <row r="1846" spans="8:10">
      <c r="H1846" s="88">
        <v>8.3530060000000003E-2</v>
      </c>
      <c r="I1846" s="77">
        <v>0.92107576000000002</v>
      </c>
      <c r="J1846" s="15">
        <v>34.700000000000003</v>
      </c>
    </row>
    <row r="1847" spans="8:10">
      <c r="H1847" s="88">
        <v>8.3917510000000001E-2</v>
      </c>
      <c r="I1847" s="77">
        <v>0.92132380000000003</v>
      </c>
      <c r="J1847" s="15">
        <v>34.799999999999997</v>
      </c>
    </row>
    <row r="1848" spans="8:10">
      <c r="H1848" s="88">
        <v>8.4306259999999994E-2</v>
      </c>
      <c r="I1848" s="77">
        <v>0.92157036000000003</v>
      </c>
      <c r="J1848" s="15">
        <v>34.9</v>
      </c>
    </row>
    <row r="1849" spans="8:10">
      <c r="H1849" s="88">
        <v>8.4696314999999994E-2</v>
      </c>
      <c r="I1849" s="77">
        <v>0.92181563</v>
      </c>
      <c r="J1849" s="15">
        <v>35</v>
      </c>
    </row>
    <row r="1850" spans="8:10">
      <c r="H1850" s="88">
        <v>8.5087679999999999E-2</v>
      </c>
      <c r="I1850" s="77">
        <v>0.92205954000000001</v>
      </c>
      <c r="J1850" s="15">
        <v>35.1</v>
      </c>
    </row>
    <row r="1851" spans="8:10">
      <c r="H1851" s="88">
        <v>8.548037E-2</v>
      </c>
      <c r="I1851" s="77">
        <v>0.92230206999999997</v>
      </c>
      <c r="J1851" s="15">
        <v>35.200000000000003</v>
      </c>
    </row>
    <row r="1852" spans="8:10">
      <c r="H1852" s="88">
        <v>8.5874385999999997E-2</v>
      </c>
      <c r="I1852" s="77">
        <v>0.92254329999999996</v>
      </c>
      <c r="J1852" s="15">
        <v>35.299999999999997</v>
      </c>
    </row>
    <row r="1853" spans="8:10">
      <c r="H1853" s="88">
        <v>8.6269743999999995E-2</v>
      </c>
      <c r="I1853" s="77">
        <v>0.92278320000000003</v>
      </c>
      <c r="J1853" s="15">
        <v>35.4</v>
      </c>
    </row>
    <row r="1854" spans="8:10">
      <c r="H1854" s="88">
        <v>8.6666450000000006E-2</v>
      </c>
      <c r="I1854" s="77">
        <v>0.92302172999999998</v>
      </c>
      <c r="J1854" s="15">
        <v>35.5</v>
      </c>
    </row>
    <row r="1855" spans="8:10">
      <c r="H1855" s="88">
        <v>8.7064520000000006E-2</v>
      </c>
      <c r="I1855" s="77">
        <v>0.92325900000000005</v>
      </c>
      <c r="J1855" s="15">
        <v>35.6</v>
      </c>
    </row>
    <row r="1856" spans="8:10">
      <c r="H1856" s="88">
        <v>8.7463945000000001E-2</v>
      </c>
      <c r="I1856" s="77">
        <v>0.92349499999999995</v>
      </c>
      <c r="J1856" s="15">
        <v>35.700000000000003</v>
      </c>
    </row>
    <row r="1857" spans="8:10">
      <c r="H1857" s="88">
        <v>8.786476E-2</v>
      </c>
      <c r="I1857" s="77">
        <v>0.92372969999999999</v>
      </c>
      <c r="J1857" s="15">
        <v>35.799999999999997</v>
      </c>
    </row>
    <row r="1858" spans="8:10">
      <c r="H1858" s="88">
        <v>8.8266949999999997E-2</v>
      </c>
      <c r="I1858" s="77">
        <v>0.92396319999999998</v>
      </c>
      <c r="J1858" s="15">
        <v>35.9</v>
      </c>
    </row>
    <row r="1859" spans="8:10">
      <c r="H1859" s="88">
        <v>8.8670540000000006E-2</v>
      </c>
      <c r="I1859" s="77">
        <v>0.92419534999999997</v>
      </c>
      <c r="J1859" s="15">
        <v>36</v>
      </c>
    </row>
    <row r="1860" spans="8:10">
      <c r="H1860" s="88">
        <v>8.9075520000000005E-2</v>
      </c>
      <c r="I1860" s="77">
        <v>0.92442626000000006</v>
      </c>
      <c r="J1860" s="15">
        <v>36.1</v>
      </c>
    </row>
    <row r="1861" spans="8:10">
      <c r="H1861" s="88">
        <v>8.9481930000000001E-2</v>
      </c>
      <c r="I1861" s="77">
        <v>0.92465600000000003</v>
      </c>
      <c r="J1861" s="15">
        <v>36.200000000000003</v>
      </c>
    </row>
    <row r="1862" spans="8:10">
      <c r="H1862" s="88">
        <v>8.9889750000000004E-2</v>
      </c>
      <c r="I1862" s="77">
        <v>0.92488444000000003</v>
      </c>
      <c r="J1862" s="15">
        <v>36.299999999999997</v>
      </c>
    </row>
    <row r="1863" spans="8:10">
      <c r="H1863" s="88">
        <v>9.0299009999999999E-2</v>
      </c>
      <c r="I1863" s="77">
        <v>0.92511169999999998</v>
      </c>
      <c r="J1863" s="15">
        <v>36.4</v>
      </c>
    </row>
    <row r="1864" spans="8:10">
      <c r="H1864" s="88">
        <v>9.0709709999999999E-2</v>
      </c>
      <c r="I1864" s="77">
        <v>0.92533772999999997</v>
      </c>
      <c r="J1864" s="15">
        <v>36.5</v>
      </c>
    </row>
    <row r="1865" spans="8:10">
      <c r="H1865" s="88">
        <v>9.1121869999999994E-2</v>
      </c>
      <c r="I1865" s="77">
        <v>0.92556260000000001</v>
      </c>
      <c r="J1865" s="15">
        <v>36.6</v>
      </c>
    </row>
    <row r="1866" spans="8:10">
      <c r="H1866" s="88">
        <v>9.1535480000000002E-2</v>
      </c>
      <c r="I1866" s="77">
        <v>0.92578625999999997</v>
      </c>
      <c r="J1866" s="15">
        <v>36.700000000000003</v>
      </c>
    </row>
    <row r="1867" spans="8:10">
      <c r="H1867" s="88">
        <v>9.1950565999999997E-2</v>
      </c>
      <c r="I1867" s="77">
        <v>0.92600875999999999</v>
      </c>
      <c r="J1867" s="15">
        <v>36.799999999999997</v>
      </c>
    </row>
    <row r="1868" spans="8:10">
      <c r="H1868" s="88">
        <v>9.2367135000000003E-2</v>
      </c>
      <c r="I1868" s="77">
        <v>0.92623009999999995</v>
      </c>
      <c r="J1868" s="15">
        <v>36.9</v>
      </c>
    </row>
    <row r="1869" spans="8:10">
      <c r="H1869" s="88">
        <v>9.2785199999999998E-2</v>
      </c>
      <c r="I1869" s="77">
        <v>0.92645025000000003</v>
      </c>
      <c r="J1869" s="15">
        <v>37</v>
      </c>
    </row>
    <row r="1870" spans="8:10">
      <c r="H1870" s="88">
        <v>9.3204770000000006E-2</v>
      </c>
      <c r="I1870" s="77">
        <v>0.92666930000000003</v>
      </c>
      <c r="J1870" s="15">
        <v>37.1</v>
      </c>
    </row>
    <row r="1871" spans="8:10">
      <c r="H1871" s="88">
        <v>9.3625840000000002E-2</v>
      </c>
      <c r="I1871" s="77">
        <v>0.92688714999999999</v>
      </c>
      <c r="J1871" s="15">
        <v>37.200000000000003</v>
      </c>
    </row>
    <row r="1872" spans="8:10">
      <c r="H1872" s="88">
        <v>9.4048450000000006E-2</v>
      </c>
      <c r="I1872" s="77">
        <v>0.92710393999999996</v>
      </c>
      <c r="J1872" s="15">
        <v>37.299999999999997</v>
      </c>
    </row>
    <row r="1873" spans="8:10">
      <c r="H1873" s="88">
        <v>9.4472589999999995E-2</v>
      </c>
      <c r="I1873" s="77">
        <v>0.92731960000000002</v>
      </c>
      <c r="J1873" s="15">
        <v>37.4</v>
      </c>
    </row>
    <row r="1874" spans="8:10">
      <c r="H1874" s="88">
        <v>9.4898276000000004E-2</v>
      </c>
      <c r="I1874" s="77">
        <v>0.92753410000000003</v>
      </c>
      <c r="J1874" s="15">
        <v>37.5</v>
      </c>
    </row>
    <row r="1875" spans="8:10">
      <c r="H1875" s="88">
        <v>9.5325515E-2</v>
      </c>
      <c r="I1875" s="77">
        <v>0.92774754999999998</v>
      </c>
      <c r="J1875" s="15">
        <v>37.6</v>
      </c>
    </row>
    <row r="1876" spans="8:10">
      <c r="H1876" s="88">
        <v>9.5754325000000001E-2</v>
      </c>
      <c r="I1876" s="77">
        <v>0.92795985999999997</v>
      </c>
      <c r="J1876" s="15">
        <v>37.700000000000003</v>
      </c>
    </row>
    <row r="1877" spans="8:10">
      <c r="H1877" s="88">
        <v>9.6184716000000003E-2</v>
      </c>
      <c r="I1877" s="77">
        <v>0.92817110000000003</v>
      </c>
      <c r="J1877" s="15">
        <v>37.799999999999997</v>
      </c>
    </row>
    <row r="1878" spans="8:10">
      <c r="H1878" s="88">
        <v>9.66167E-2</v>
      </c>
      <c r="I1878" s="77">
        <v>0.92838129999999996</v>
      </c>
      <c r="J1878" s="15">
        <v>37.9</v>
      </c>
    </row>
    <row r="1879" spans="8:10">
      <c r="H1879" s="88">
        <v>9.7050280000000003E-2</v>
      </c>
      <c r="I1879" s="77">
        <v>0.92859040000000004</v>
      </c>
      <c r="J1879" s="15">
        <v>38</v>
      </c>
    </row>
    <row r="1880" spans="8:10">
      <c r="H1880" s="88">
        <v>9.7485479999999999E-2</v>
      </c>
      <c r="I1880" s="77">
        <v>0.92879849999999997</v>
      </c>
      <c r="J1880" s="15">
        <v>38.1</v>
      </c>
    </row>
    <row r="1881" spans="8:10">
      <c r="H1881" s="88">
        <v>9.7922300000000004E-2</v>
      </c>
      <c r="I1881" s="77">
        <v>0.92900550000000004</v>
      </c>
      <c r="J1881" s="15">
        <v>38.200000000000003</v>
      </c>
    </row>
    <row r="1882" spans="8:10">
      <c r="H1882" s="88">
        <v>9.8360760000000005E-2</v>
      </c>
      <c r="I1882" s="77">
        <v>0.92921144</v>
      </c>
      <c r="J1882" s="15">
        <v>38.299999999999997</v>
      </c>
    </row>
    <row r="1883" spans="8:10">
      <c r="H1883" s="88">
        <v>9.8800869999999999E-2</v>
      </c>
      <c r="I1883" s="77">
        <v>0.92941640000000003</v>
      </c>
      <c r="J1883" s="15">
        <v>38.4</v>
      </c>
    </row>
    <row r="1884" spans="8:10">
      <c r="H1884" s="88">
        <v>9.9242639999999993E-2</v>
      </c>
      <c r="I1884" s="77">
        <v>0.92962029999999995</v>
      </c>
      <c r="J1884" s="15">
        <v>38.5</v>
      </c>
    </row>
    <row r="1885" spans="8:10">
      <c r="H1885" s="88">
        <v>9.9686085999999993E-2</v>
      </c>
      <c r="I1885" s="77">
        <v>0.92982319999999996</v>
      </c>
      <c r="J1885" s="15">
        <v>38.6</v>
      </c>
    </row>
    <row r="1886" spans="8:10">
      <c r="H1886" s="88">
        <v>0.10013121</v>
      </c>
      <c r="I1886" s="77">
        <v>0.93002510000000005</v>
      </c>
      <c r="J1886" s="15">
        <v>38.700000000000003</v>
      </c>
    </row>
    <row r="1887" spans="8:10">
      <c r="H1887" s="88">
        <v>0.10057805</v>
      </c>
      <c r="I1887" s="77">
        <v>0.93022596999999996</v>
      </c>
      <c r="J1887" s="15">
        <v>38.799999999999997</v>
      </c>
    </row>
    <row r="1888" spans="8:10">
      <c r="H1888" s="88">
        <v>0.10102659</v>
      </c>
      <c r="I1888" s="77">
        <v>0.93042590000000003</v>
      </c>
      <c r="J1888" s="15">
        <v>38.9</v>
      </c>
    </row>
    <row r="1889" spans="8:10">
      <c r="H1889" s="88">
        <v>0.10147684999999999</v>
      </c>
      <c r="I1889" s="77">
        <v>0.93062480000000003</v>
      </c>
      <c r="J1889" s="15">
        <v>39</v>
      </c>
    </row>
    <row r="1890" spans="8:10">
      <c r="H1890" s="88">
        <v>0.10192885</v>
      </c>
      <c r="I1890" s="77">
        <v>0.93082273000000004</v>
      </c>
      <c r="J1890" s="15">
        <v>39.1</v>
      </c>
    </row>
    <row r="1891" spans="8:10">
      <c r="H1891" s="88">
        <v>0.1023826</v>
      </c>
      <c r="I1891" s="77">
        <v>0.93101970000000001</v>
      </c>
      <c r="J1891" s="15">
        <v>39.200000000000003</v>
      </c>
    </row>
    <row r="1892" spans="8:10">
      <c r="H1892" s="88">
        <v>0.10283811399999999</v>
      </c>
      <c r="I1892" s="77">
        <v>0.93121575999999995</v>
      </c>
      <c r="J1892" s="15">
        <v>39.299999999999997</v>
      </c>
    </row>
    <row r="1893" spans="8:10">
      <c r="H1893" s="88">
        <v>0.10329541</v>
      </c>
      <c r="I1893" s="77">
        <v>0.93141079999999998</v>
      </c>
      <c r="J1893" s="15">
        <v>39.4</v>
      </c>
    </row>
    <row r="1894" spans="8:10">
      <c r="H1894" s="88">
        <v>0.10375449</v>
      </c>
      <c r="I1894" s="77">
        <v>0.93160489999999996</v>
      </c>
      <c r="J1894" s="15">
        <v>39.5</v>
      </c>
    </row>
    <row r="1895" spans="8:10">
      <c r="H1895" s="88">
        <v>0.104215376</v>
      </c>
      <c r="I1895" s="77">
        <v>0.93179809999999996</v>
      </c>
      <c r="J1895" s="15">
        <v>39.6</v>
      </c>
    </row>
    <row r="1896" spans="8:10">
      <c r="H1896" s="88">
        <v>0.10467807</v>
      </c>
      <c r="I1896" s="77">
        <v>0.93199030000000005</v>
      </c>
      <c r="J1896" s="15">
        <v>39.700000000000003</v>
      </c>
    </row>
    <row r="1897" spans="8:10">
      <c r="H1897" s="88">
        <v>0.10514261</v>
      </c>
      <c r="I1897" s="77">
        <v>0.93218166000000002</v>
      </c>
      <c r="J1897" s="15">
        <v>39.799999999999997</v>
      </c>
    </row>
    <row r="1898" spans="8:10">
      <c r="H1898" s="88">
        <v>0.105608985</v>
      </c>
      <c r="I1898" s="77">
        <v>0.93237203000000002</v>
      </c>
      <c r="J1898" s="15">
        <v>39.9</v>
      </c>
    </row>
    <row r="1899" spans="8:10">
      <c r="H1899" s="88">
        <v>0.106077224</v>
      </c>
      <c r="I1899" s="77">
        <v>0.93256159999999999</v>
      </c>
      <c r="J1899" s="15">
        <v>40</v>
      </c>
    </row>
    <row r="1900" spans="8:10">
      <c r="H1900" s="88">
        <v>0.10654734</v>
      </c>
      <c r="I1900" s="77">
        <v>0.93275017000000005</v>
      </c>
      <c r="J1900" s="15">
        <v>40.1</v>
      </c>
    </row>
    <row r="1901" spans="8:10">
      <c r="H1901" s="88">
        <v>0.10701934</v>
      </c>
      <c r="I1901" s="77">
        <v>0.93293786000000001</v>
      </c>
      <c r="J1901" s="15">
        <v>40.200000000000003</v>
      </c>
    </row>
    <row r="1902" spans="8:10">
      <c r="H1902" s="88">
        <v>0.10749325</v>
      </c>
      <c r="I1902" s="77">
        <v>0.93312466000000005</v>
      </c>
      <c r="J1902" s="15">
        <v>40.299999999999997</v>
      </c>
    </row>
    <row r="1903" spans="8:10">
      <c r="H1903" s="88">
        <v>0.107969075</v>
      </c>
      <c r="I1903" s="77">
        <v>0.93331056999999995</v>
      </c>
      <c r="J1903" s="15">
        <v>40.4</v>
      </c>
    </row>
    <row r="1904" spans="8:10">
      <c r="H1904" s="88">
        <v>0.10844684</v>
      </c>
      <c r="I1904" s="77">
        <v>0.93349563999999996</v>
      </c>
      <c r="J1904" s="15">
        <v>40.5</v>
      </c>
    </row>
    <row r="1905" spans="8:10">
      <c r="H1905" s="88">
        <v>0.10892655</v>
      </c>
      <c r="I1905" s="77">
        <v>0.93367979999999995</v>
      </c>
      <c r="J1905" s="15">
        <v>40.6</v>
      </c>
    </row>
    <row r="1906" spans="8:10">
      <c r="H1906" s="88">
        <v>0.10940822</v>
      </c>
      <c r="I1906" s="77">
        <v>0.93386316000000003</v>
      </c>
      <c r="J1906" s="15">
        <v>40.700000000000003</v>
      </c>
    </row>
    <row r="1907" spans="8:10">
      <c r="H1907" s="88">
        <v>0.10989188</v>
      </c>
      <c r="I1907" s="77">
        <v>0.93404560000000003</v>
      </c>
      <c r="J1907" s="15">
        <v>40.799999999999997</v>
      </c>
    </row>
    <row r="1908" spans="8:10">
      <c r="H1908" s="88">
        <v>0.11037753</v>
      </c>
      <c r="I1908" s="77">
        <v>0.93422720000000004</v>
      </c>
      <c r="J1908" s="15">
        <v>40.9</v>
      </c>
    </row>
    <row r="1909" spans="8:10">
      <c r="H1909" s="88">
        <v>0.11086519</v>
      </c>
      <c r="I1909" s="77">
        <v>0.93440800000000002</v>
      </c>
      <c r="J1909" s="15">
        <v>41</v>
      </c>
    </row>
    <row r="1910" spans="8:10">
      <c r="H1910" s="88">
        <v>0.11135489</v>
      </c>
      <c r="I1910" s="77">
        <v>0.93458796</v>
      </c>
      <c r="J1910" s="15">
        <v>41.1</v>
      </c>
    </row>
    <row r="1911" spans="8:10">
      <c r="H1911" s="88">
        <v>0.111846626</v>
      </c>
      <c r="I1911" s="77">
        <v>0.93476709999999996</v>
      </c>
      <c r="J1911" s="15">
        <v>41.2</v>
      </c>
    </row>
    <row r="1912" spans="8:10">
      <c r="H1912" s="88">
        <v>0.11234043000000001</v>
      </c>
      <c r="I1912" s="77">
        <v>0.93494540000000004</v>
      </c>
      <c r="J1912" s="15">
        <v>41.3</v>
      </c>
    </row>
    <row r="1913" spans="8:10">
      <c r="H1913" s="88">
        <v>0.11283631</v>
      </c>
      <c r="I1913" s="77">
        <v>0.93512284999999995</v>
      </c>
      <c r="J1913" s="15">
        <v>41.4</v>
      </c>
    </row>
    <row r="1914" spans="8:10">
      <c r="H1914" s="88">
        <v>0.11333428</v>
      </c>
      <c r="I1914" s="77">
        <v>0.93529949999999995</v>
      </c>
      <c r="J1914" s="15">
        <v>41.5</v>
      </c>
    </row>
    <row r="1915" spans="8:10">
      <c r="H1915" s="88">
        <v>0.11383437</v>
      </c>
      <c r="I1915" s="77">
        <v>0.93547539999999996</v>
      </c>
      <c r="J1915" s="15">
        <v>41.6</v>
      </c>
    </row>
    <row r="1916" spans="8:10">
      <c r="H1916" s="88">
        <v>0.114336595</v>
      </c>
      <c r="I1916" s="77">
        <v>0.93565047000000001</v>
      </c>
      <c r="J1916" s="15">
        <v>41.7</v>
      </c>
    </row>
    <row r="1917" spans="8:10">
      <c r="H1917" s="88">
        <v>0.11484096000000001</v>
      </c>
      <c r="I1917" s="77">
        <v>0.93582474999999998</v>
      </c>
      <c r="J1917" s="15">
        <v>41.8</v>
      </c>
    </row>
    <row r="1918" spans="8:10">
      <c r="H1918" s="88">
        <v>0.115347505</v>
      </c>
      <c r="I1918" s="77">
        <v>0.9359982</v>
      </c>
      <c r="J1918" s="15">
        <v>41.9</v>
      </c>
    </row>
    <row r="1919" spans="8:10">
      <c r="H1919" s="88">
        <v>0.11585622</v>
      </c>
      <c r="I1919" s="77">
        <v>0.93617094000000001</v>
      </c>
      <c r="J1919" s="15">
        <v>42</v>
      </c>
    </row>
    <row r="1920" spans="8:10">
      <c r="H1920" s="88">
        <v>0.11636715</v>
      </c>
      <c r="I1920" s="77">
        <v>0.93634284000000001</v>
      </c>
      <c r="J1920" s="15">
        <v>42.1</v>
      </c>
    </row>
    <row r="1921" spans="8:10">
      <c r="H1921" s="88">
        <v>0.11688030000000001</v>
      </c>
      <c r="I1921" s="77">
        <v>0.93651399999999996</v>
      </c>
      <c r="J1921" s="15">
        <v>42.2</v>
      </c>
    </row>
    <row r="1922" spans="8:10">
      <c r="H1922" s="88">
        <v>0.117395684</v>
      </c>
      <c r="I1922" s="77">
        <v>0.93668437000000004</v>
      </c>
      <c r="J1922" s="15">
        <v>42.3</v>
      </c>
    </row>
    <row r="1923" spans="8:10">
      <c r="H1923" s="88">
        <v>0.11791333</v>
      </c>
      <c r="I1923" s="77">
        <v>0.93685399999999996</v>
      </c>
      <c r="J1923" s="15">
        <v>42.4</v>
      </c>
    </row>
    <row r="1924" spans="8:10">
      <c r="H1924" s="88">
        <v>0.11843325</v>
      </c>
      <c r="I1924" s="77">
        <v>0.93702289999999999</v>
      </c>
      <c r="J1924" s="15">
        <v>42.5</v>
      </c>
    </row>
    <row r="1925" spans="8:10">
      <c r="H1925" s="88">
        <v>0.11895548</v>
      </c>
      <c r="I1925" s="77">
        <v>0.93719107000000001</v>
      </c>
      <c r="J1925" s="15">
        <v>42.6</v>
      </c>
    </row>
    <row r="1926" spans="8:10">
      <c r="H1926" s="88">
        <v>0.11948002000000001</v>
      </c>
      <c r="I1926" s="77">
        <v>0.93735844000000001</v>
      </c>
      <c r="J1926" s="15">
        <v>42.7</v>
      </c>
    </row>
    <row r="1927" spans="8:10">
      <c r="H1927" s="88">
        <v>0.120006904</v>
      </c>
      <c r="I1927" s="77">
        <v>0.9375251</v>
      </c>
      <c r="J1927" s="15">
        <v>42.8</v>
      </c>
    </row>
    <row r="1928" spans="8:10">
      <c r="H1928" s="88">
        <v>0.12053614999999999</v>
      </c>
      <c r="I1928" s="77">
        <v>0.93769102999999998</v>
      </c>
      <c r="J1928" s="15">
        <v>42.9</v>
      </c>
    </row>
    <row r="1929" spans="8:10">
      <c r="H1929" s="88">
        <v>0.12106777000000001</v>
      </c>
      <c r="I1929" s="77">
        <v>0.93785626</v>
      </c>
      <c r="J1929" s="15">
        <v>43</v>
      </c>
    </row>
    <row r="1930" spans="8:10">
      <c r="H1930" s="88">
        <v>0.12160179</v>
      </c>
      <c r="I1930" s="77">
        <v>0.93802076999999995</v>
      </c>
      <c r="J1930" s="15">
        <v>43.1</v>
      </c>
    </row>
    <row r="1931" spans="8:10">
      <c r="H1931" s="88">
        <v>0.12213824</v>
      </c>
      <c r="I1931" s="77">
        <v>0.93818449999999998</v>
      </c>
      <c r="J1931" s="15">
        <v>43.2</v>
      </c>
    </row>
    <row r="1932" spans="8:10">
      <c r="H1932" s="88">
        <v>0.122677125</v>
      </c>
      <c r="I1932" s="77">
        <v>0.93834759999999995</v>
      </c>
      <c r="J1932" s="15">
        <v>43.3</v>
      </c>
    </row>
    <row r="1933" spans="8:10">
      <c r="H1933" s="88">
        <v>0.12321848000000001</v>
      </c>
      <c r="I1933" s="77">
        <v>0.93850993999999999</v>
      </c>
      <c r="J1933" s="15">
        <v>43.4</v>
      </c>
    </row>
    <row r="1934" spans="8:10">
      <c r="H1934" s="88">
        <v>0.12376232400000001</v>
      </c>
      <c r="I1934" s="77">
        <v>0.93867164999999997</v>
      </c>
      <c r="J1934" s="15">
        <v>43.5</v>
      </c>
    </row>
    <row r="1935" spans="8:10">
      <c r="H1935" s="88">
        <v>0.12430867</v>
      </c>
      <c r="I1935" s="77">
        <v>0.93883260000000002</v>
      </c>
      <c r="J1935" s="15">
        <v>43.6</v>
      </c>
    </row>
    <row r="1936" spans="8:10">
      <c r="H1936" s="88">
        <v>0.12485755</v>
      </c>
      <c r="I1936" s="77">
        <v>0.93899286000000004</v>
      </c>
      <c r="J1936" s="15">
        <v>43.7</v>
      </c>
    </row>
    <row r="1937" spans="8:10">
      <c r="H1937" s="88">
        <v>0.12540899</v>
      </c>
      <c r="I1937" s="77">
        <v>0.93915249999999995</v>
      </c>
      <c r="J1937" s="15">
        <v>43.8</v>
      </c>
    </row>
    <row r="1938" spans="8:10">
      <c r="H1938" s="88">
        <v>0.12596299999999999</v>
      </c>
      <c r="I1938" s="77">
        <v>0.93931140000000002</v>
      </c>
      <c r="J1938" s="15">
        <v>43.9</v>
      </c>
    </row>
    <row r="1939" spans="8:10">
      <c r="H1939" s="88">
        <v>0.12651962</v>
      </c>
      <c r="I1939" s="77">
        <v>0.93946963999999999</v>
      </c>
      <c r="J1939" s="15">
        <v>44</v>
      </c>
    </row>
    <row r="1940" spans="8:10">
      <c r="H1940" s="88">
        <v>0.12707888000000001</v>
      </c>
      <c r="I1940" s="77">
        <v>0.93962723000000004</v>
      </c>
      <c r="J1940" s="15">
        <v>44.1</v>
      </c>
    </row>
    <row r="1941" spans="8:10">
      <c r="H1941" s="88">
        <v>0.12764076999999999</v>
      </c>
      <c r="I1941" s="77">
        <v>0.93978417000000003</v>
      </c>
      <c r="J1941" s="15">
        <v>44.2</v>
      </c>
    </row>
    <row r="1942" spans="8:10">
      <c r="H1942" s="88">
        <v>0.12820533000000001</v>
      </c>
      <c r="I1942" s="77">
        <v>0.93994040000000001</v>
      </c>
      <c r="J1942" s="15">
        <v>44.3</v>
      </c>
    </row>
    <row r="1943" spans="8:10">
      <c r="H1943" s="88">
        <v>0.12877259999999999</v>
      </c>
      <c r="I1943" s="77">
        <v>0.94009600000000004</v>
      </c>
      <c r="J1943" s="15">
        <v>44.4</v>
      </c>
    </row>
    <row r="1944" spans="8:10">
      <c r="H1944" s="88">
        <v>0.1293426</v>
      </c>
      <c r="I1944" s="77">
        <v>0.94025093000000004</v>
      </c>
      <c r="J1944" s="15">
        <v>44.5</v>
      </c>
    </row>
    <row r="1945" spans="8:10">
      <c r="H1945" s="88">
        <v>0.12991533999999999</v>
      </c>
      <c r="I1945" s="77">
        <v>0.94040524999999997</v>
      </c>
      <c r="J1945" s="15">
        <v>44.6</v>
      </c>
    </row>
    <row r="1946" spans="8:10">
      <c r="H1946" s="88">
        <v>0.13049087000000001</v>
      </c>
      <c r="I1946" s="77">
        <v>0.94055889999999998</v>
      </c>
      <c r="J1946" s="15">
        <v>44.7</v>
      </c>
    </row>
    <row r="1947" spans="8:10">
      <c r="H1947" s="88">
        <v>0.13106918000000001</v>
      </c>
      <c r="I1947" s="77">
        <v>0.94071199999999999</v>
      </c>
      <c r="J1947" s="15">
        <v>44.8</v>
      </c>
    </row>
    <row r="1948" spans="8:10">
      <c r="H1948" s="88">
        <v>0.13165034</v>
      </c>
      <c r="I1948" s="77">
        <v>0.94086440000000005</v>
      </c>
      <c r="J1948" s="15">
        <v>44.9</v>
      </c>
    </row>
    <row r="1949" spans="8:10">
      <c r="H1949" s="88">
        <v>0.13223435</v>
      </c>
      <c r="I1949" s="77">
        <v>0.94101614</v>
      </c>
      <c r="J1949" s="15">
        <v>45</v>
      </c>
    </row>
    <row r="1950" spans="8:10">
      <c r="H1950" s="88">
        <v>0.13282125</v>
      </c>
      <c r="I1950" s="77">
        <v>0.94116730000000004</v>
      </c>
      <c r="J1950" s="15">
        <v>45.1</v>
      </c>
    </row>
    <row r="1951" spans="8:10">
      <c r="H1951" s="88">
        <v>0.13341105</v>
      </c>
      <c r="I1951" s="77">
        <v>0.94131785999999995</v>
      </c>
      <c r="J1951" s="15">
        <v>45.2</v>
      </c>
    </row>
    <row r="1952" spans="8:10">
      <c r="H1952" s="88">
        <v>0.13400380000000001</v>
      </c>
      <c r="I1952" s="77">
        <v>0.94146775999999999</v>
      </c>
      <c r="J1952" s="15">
        <v>45.3</v>
      </c>
    </row>
    <row r="1953" spans="8:10">
      <c r="H1953" s="88">
        <v>0.13459950000000001</v>
      </c>
      <c r="I1953" s="77">
        <v>0.94161709999999998</v>
      </c>
      <c r="J1953" s="15">
        <v>45.4</v>
      </c>
    </row>
    <row r="1954" spans="8:10">
      <c r="H1954" s="88">
        <v>0.13519822000000001</v>
      </c>
      <c r="I1954" s="77">
        <v>0.94176579999999999</v>
      </c>
      <c r="J1954" s="15">
        <v>45.5</v>
      </c>
    </row>
    <row r="1955" spans="8:10">
      <c r="H1955" s="88">
        <v>0.13579996999999999</v>
      </c>
      <c r="I1955" s="77">
        <v>0.94191389999999997</v>
      </c>
      <c r="J1955" s="15">
        <v>45.6</v>
      </c>
    </row>
    <row r="1956" spans="8:10">
      <c r="H1956" s="88">
        <v>0.13640477000000001</v>
      </c>
      <c r="I1956" s="77">
        <v>0.94206140000000005</v>
      </c>
      <c r="J1956" s="15">
        <v>45.7</v>
      </c>
    </row>
    <row r="1957" spans="8:10">
      <c r="H1957" s="88">
        <v>0.13701266000000001</v>
      </c>
      <c r="I1957" s="77">
        <v>0.94220835000000003</v>
      </c>
      <c r="J1957" s="15">
        <v>45.8</v>
      </c>
    </row>
    <row r="1958" spans="8:10">
      <c r="H1958" s="88">
        <v>0.13762364999999999</v>
      </c>
      <c r="I1958" s="77">
        <v>0.94235469999999999</v>
      </c>
      <c r="J1958" s="15">
        <v>45.9</v>
      </c>
    </row>
    <row r="1959" spans="8:10">
      <c r="H1959" s="88">
        <v>0.13823782000000001</v>
      </c>
      <c r="I1959" s="77">
        <v>0.94250049999999996</v>
      </c>
      <c r="J1959" s="15">
        <v>46</v>
      </c>
    </row>
    <row r="1960" spans="8:10">
      <c r="H1960" s="88">
        <v>0.13885516000000001</v>
      </c>
      <c r="I1960" s="77">
        <v>0.94264559999999997</v>
      </c>
      <c r="J1960" s="15">
        <v>46.1</v>
      </c>
    </row>
    <row r="1961" spans="8:10">
      <c r="H1961" s="88">
        <v>0.13947570000000001</v>
      </c>
      <c r="I1961" s="77">
        <v>0.94279020000000002</v>
      </c>
      <c r="J1961" s="15">
        <v>46.2</v>
      </c>
    </row>
    <row r="1962" spans="8:10">
      <c r="H1962" s="88">
        <v>0.14009951000000001</v>
      </c>
      <c r="I1962" s="77">
        <v>0.9429343</v>
      </c>
      <c r="J1962" s="15">
        <v>46.3</v>
      </c>
    </row>
    <row r="1963" spans="8:10">
      <c r="H1963" s="88">
        <v>0.14072657999999999</v>
      </c>
      <c r="I1963" s="77">
        <v>0.94307774</v>
      </c>
      <c r="J1963" s="15">
        <v>46.4</v>
      </c>
    </row>
    <row r="1964" spans="8:10">
      <c r="H1964" s="88">
        <v>0.14135697</v>
      </c>
      <c r="I1964" s="77">
        <v>0.94322059999999996</v>
      </c>
      <c r="J1964" s="15">
        <v>46.5</v>
      </c>
    </row>
    <row r="1965" spans="8:10">
      <c r="H1965" s="88">
        <v>0.14199071999999999</v>
      </c>
      <c r="I1965" s="77">
        <v>0.94336299999999995</v>
      </c>
      <c r="J1965" s="15">
        <v>46.6</v>
      </c>
    </row>
    <row r="1966" spans="8:10">
      <c r="H1966" s="88">
        <v>0.14262785</v>
      </c>
      <c r="I1966" s="77">
        <v>0.94350480000000003</v>
      </c>
      <c r="J1966" s="15">
        <v>46.7</v>
      </c>
    </row>
    <row r="1967" spans="8:10">
      <c r="H1967" s="88">
        <v>0.14326839</v>
      </c>
      <c r="I1967" s="77">
        <v>0.94364599999999998</v>
      </c>
      <c r="J1967" s="15">
        <v>46.8</v>
      </c>
    </row>
    <row r="1968" spans="8:10">
      <c r="H1968" s="88">
        <v>0.14391239</v>
      </c>
      <c r="I1968" s="77">
        <v>0.94378673999999996</v>
      </c>
      <c r="J1968" s="15">
        <v>46.9</v>
      </c>
    </row>
    <row r="1969" spans="8:10">
      <c r="H1969" s="88">
        <v>0.14455989</v>
      </c>
      <c r="I1969" s="77">
        <v>0.94392690000000001</v>
      </c>
      <c r="J1969" s="15">
        <v>47</v>
      </c>
    </row>
    <row r="1970" spans="8:10">
      <c r="H1970" s="88">
        <v>0.1452109</v>
      </c>
      <c r="I1970" s="77">
        <v>0.94406650000000003</v>
      </c>
      <c r="J1970" s="15">
        <v>47.1</v>
      </c>
    </row>
    <row r="1971" spans="8:10">
      <c r="H1971" s="88">
        <v>0.14586548999999999</v>
      </c>
      <c r="I1971" s="77">
        <v>0.94420559999999998</v>
      </c>
      <c r="J1971" s="15">
        <v>47.2</v>
      </c>
    </row>
    <row r="1972" spans="8:10">
      <c r="H1972" s="88">
        <v>0.14652366999999999</v>
      </c>
      <c r="I1972" s="77">
        <v>0.94434410000000002</v>
      </c>
      <c r="J1972" s="15">
        <v>47.3</v>
      </c>
    </row>
    <row r="1973" spans="8:10">
      <c r="H1973" s="88">
        <v>0.1471855</v>
      </c>
      <c r="I1973" s="77">
        <v>0.94448215000000002</v>
      </c>
      <c r="J1973" s="15">
        <v>47.4</v>
      </c>
    </row>
    <row r="1974" spans="8:10">
      <c r="H1974" s="88">
        <v>0.14785102</v>
      </c>
      <c r="I1974" s="77">
        <v>0.94461965999999997</v>
      </c>
      <c r="J1974" s="15">
        <v>47.5</v>
      </c>
    </row>
    <row r="1975" spans="8:10">
      <c r="H1975" s="88">
        <v>0.14852025999999999</v>
      </c>
      <c r="I1975" s="77">
        <v>0.94475659999999995</v>
      </c>
      <c r="J1975" s="15">
        <v>47.6</v>
      </c>
    </row>
    <row r="1976" spans="8:10">
      <c r="H1976" s="88">
        <v>0.14919325999999999</v>
      </c>
      <c r="I1976" s="77">
        <v>0.94489310000000004</v>
      </c>
      <c r="J1976" s="15">
        <v>47.7</v>
      </c>
    </row>
    <row r="1977" spans="8:10">
      <c r="H1977" s="88">
        <v>0.14987006999999999</v>
      </c>
      <c r="I1977" s="77">
        <v>0.94502909999999996</v>
      </c>
      <c r="J1977" s="15">
        <v>47.8</v>
      </c>
    </row>
    <row r="1978" spans="8:10">
      <c r="H1978" s="88">
        <v>0.15055072</v>
      </c>
      <c r="I1978" s="77">
        <v>0.94516449999999996</v>
      </c>
      <c r="J1978" s="15">
        <v>47.9</v>
      </c>
    </row>
    <row r="1979" spans="8:10">
      <c r="H1979" s="88">
        <v>0.15123527</v>
      </c>
      <c r="I1979" s="77">
        <v>0.94529945000000004</v>
      </c>
      <c r="J1979" s="15">
        <v>48</v>
      </c>
    </row>
    <row r="1980" spans="8:10">
      <c r="H1980" s="88">
        <v>0.15192375</v>
      </c>
      <c r="I1980" s="77">
        <v>0.94543385999999996</v>
      </c>
      <c r="J1980" s="15">
        <v>48.1</v>
      </c>
    </row>
    <row r="1981" spans="8:10">
      <c r="H1981" s="88">
        <v>0.15261620000000001</v>
      </c>
      <c r="I1981" s="77">
        <v>0.94556784999999999</v>
      </c>
      <c r="J1981" s="15">
        <v>48.2</v>
      </c>
    </row>
    <row r="1982" spans="8:10">
      <c r="H1982" s="88">
        <v>0.15331268000000001</v>
      </c>
      <c r="I1982" s="77">
        <v>0.94570124</v>
      </c>
      <c r="J1982" s="15">
        <v>48.3</v>
      </c>
    </row>
    <row r="1983" spans="8:10">
      <c r="H1983" s="88">
        <v>0.15401323</v>
      </c>
      <c r="I1983" s="77">
        <v>0.94583419999999996</v>
      </c>
      <c r="J1983" s="15">
        <v>48.4</v>
      </c>
    </row>
    <row r="1984" spans="8:10">
      <c r="H1984" s="88">
        <v>0.15471789999999999</v>
      </c>
      <c r="I1984" s="77">
        <v>0.94596670000000005</v>
      </c>
      <c r="J1984" s="15">
        <v>48.5</v>
      </c>
    </row>
    <row r="1985" spans="8:10">
      <c r="H1985" s="88">
        <v>0.15542673000000001</v>
      </c>
      <c r="I1985" s="77">
        <v>0.94609869999999996</v>
      </c>
      <c r="J1985" s="15">
        <v>48.6</v>
      </c>
    </row>
    <row r="1986" spans="8:10">
      <c r="H1986" s="88">
        <v>0.15613978000000001</v>
      </c>
      <c r="I1986" s="77">
        <v>0.94623020000000002</v>
      </c>
      <c r="J1986" s="15">
        <v>48.7</v>
      </c>
    </row>
    <row r="1987" spans="8:10">
      <c r="H1987" s="88">
        <v>0.15685706999999999</v>
      </c>
      <c r="I1987" s="77">
        <v>0.94636123999999999</v>
      </c>
      <c r="J1987" s="15">
        <v>48.8</v>
      </c>
    </row>
    <row r="1988" spans="8:10">
      <c r="H1988" s="88">
        <v>0.15757868999999999</v>
      </c>
      <c r="I1988" s="77">
        <v>0.94649179999999999</v>
      </c>
      <c r="J1988" s="15">
        <v>48.9</v>
      </c>
    </row>
    <row r="1989" spans="8:10">
      <c r="H1989" s="88">
        <v>0.15830466000000001</v>
      </c>
      <c r="I1989" s="77">
        <v>0.94662190000000002</v>
      </c>
      <c r="J1989" s="15">
        <v>49</v>
      </c>
    </row>
    <row r="1990" spans="8:10">
      <c r="H1990" s="88">
        <v>0.15903503999999999</v>
      </c>
      <c r="I1990" s="77">
        <v>0.94675149999999997</v>
      </c>
      <c r="J1990" s="15">
        <v>49.1</v>
      </c>
    </row>
    <row r="1991" spans="8:10">
      <c r="H1991" s="88">
        <v>0.15976990999999999</v>
      </c>
      <c r="I1991" s="77">
        <v>0.94688064000000005</v>
      </c>
      <c r="J1991" s="15">
        <v>49.2</v>
      </c>
    </row>
    <row r="1992" spans="8:10">
      <c r="H1992" s="88">
        <v>0.16050927000000001</v>
      </c>
      <c r="I1992" s="77">
        <v>0.94700930000000005</v>
      </c>
      <c r="J1992" s="15">
        <v>49.3</v>
      </c>
    </row>
    <row r="1993" spans="8:10">
      <c r="H1993" s="88">
        <v>0.16125321000000001</v>
      </c>
      <c r="I1993" s="77">
        <v>0.94713760000000002</v>
      </c>
      <c r="J1993" s="15">
        <v>49.4</v>
      </c>
    </row>
    <row r="1994" spans="8:10">
      <c r="H1994" s="88">
        <v>0.1620018</v>
      </c>
      <c r="I1994" s="77">
        <v>0.94726540000000004</v>
      </c>
      <c r="J1994" s="15">
        <v>49.5</v>
      </c>
    </row>
    <row r="1995" spans="8:10">
      <c r="H1995" s="88">
        <v>0.16275506000000001</v>
      </c>
      <c r="I1995" s="77">
        <v>0.94739269999999998</v>
      </c>
      <c r="J1995" s="15">
        <v>49.6</v>
      </c>
    </row>
    <row r="1996" spans="8:10">
      <c r="H1996" s="88">
        <v>0.16351305999999999</v>
      </c>
      <c r="I1996" s="77">
        <v>0.94751960000000002</v>
      </c>
      <c r="J1996" s="15">
        <v>49.7</v>
      </c>
    </row>
    <row r="1997" spans="8:10">
      <c r="H1997" s="88">
        <v>0.16427588000000001</v>
      </c>
      <c r="I1997" s="77">
        <v>0.94764610000000005</v>
      </c>
      <c r="J1997" s="15">
        <v>49.8</v>
      </c>
    </row>
    <row r="1998" spans="8:10">
      <c r="H1998" s="88">
        <v>0.16504356000000001</v>
      </c>
      <c r="I1998" s="77">
        <v>0.94777210000000001</v>
      </c>
      <c r="J1998" s="15">
        <v>49.9</v>
      </c>
    </row>
    <row r="1999" spans="8:10">
      <c r="H1999" s="88">
        <v>0.16581615999999999</v>
      </c>
      <c r="I1999" s="77">
        <v>0.94789769999999995</v>
      </c>
      <c r="J1999" s="15">
        <v>50</v>
      </c>
    </row>
    <row r="2000" spans="8:10">
      <c r="H2000" s="88">
        <v>0.16659373</v>
      </c>
      <c r="I2000" s="77">
        <v>0.94802280000000005</v>
      </c>
      <c r="J2000" s="15">
        <v>50.1</v>
      </c>
    </row>
    <row r="2001" spans="8:10">
      <c r="H2001" s="88">
        <v>0.16737637</v>
      </c>
      <c r="I2001" s="77">
        <v>0.94814754000000001</v>
      </c>
      <c r="J2001" s="15">
        <v>50.2</v>
      </c>
    </row>
    <row r="2002" spans="8:10">
      <c r="H2002" s="88">
        <v>0.16816410000000001</v>
      </c>
      <c r="I2002" s="77">
        <v>0.9482718</v>
      </c>
      <c r="J2002" s="15">
        <v>50.3</v>
      </c>
    </row>
    <row r="2003" spans="8:10">
      <c r="H2003" s="88">
        <v>0.16895704</v>
      </c>
      <c r="I2003" s="77">
        <v>0.94839567000000002</v>
      </c>
      <c r="J2003" s="15">
        <v>50.4</v>
      </c>
    </row>
    <row r="2004" spans="8:10">
      <c r="H2004" s="88">
        <v>0.16975519999999999</v>
      </c>
      <c r="I2004" s="77">
        <v>0.94851909999999995</v>
      </c>
      <c r="J2004" s="15">
        <v>50.5</v>
      </c>
    </row>
    <row r="2005" spans="8:10">
      <c r="H2005" s="88">
        <v>0.17055869000000001</v>
      </c>
      <c r="I2005" s="77">
        <v>0.94864212999999997</v>
      </c>
      <c r="J2005" s="15">
        <v>50.6</v>
      </c>
    </row>
    <row r="2006" spans="8:10">
      <c r="H2006" s="88">
        <v>0.17136756</v>
      </c>
      <c r="I2006" s="77">
        <v>0.94876474</v>
      </c>
      <c r="J2006" s="15">
        <v>50.7</v>
      </c>
    </row>
    <row r="2007" spans="8:10">
      <c r="H2007" s="88">
        <v>0.17218186999999999</v>
      </c>
      <c r="I2007" s="77">
        <v>0.94888693000000002</v>
      </c>
      <c r="J2007" s="15">
        <v>50.8</v>
      </c>
    </row>
    <row r="2008" spans="8:10">
      <c r="H2008" s="88">
        <v>0.17300172</v>
      </c>
      <c r="I2008" s="77">
        <v>0.94900876000000001</v>
      </c>
      <c r="J2008" s="15">
        <v>50.9</v>
      </c>
    </row>
    <row r="2009" spans="8:10">
      <c r="H2009" s="88">
        <v>0.17382718999999999</v>
      </c>
      <c r="I2009" s="77">
        <v>0.94913009999999998</v>
      </c>
      <c r="J2009" s="15">
        <v>51</v>
      </c>
    </row>
    <row r="2010" spans="8:10">
      <c r="H2010" s="88">
        <v>0.17465829999999999</v>
      </c>
      <c r="I2010" s="77">
        <v>0.94925110000000001</v>
      </c>
      <c r="J2010" s="15">
        <v>51.1</v>
      </c>
    </row>
    <row r="2011" spans="8:10">
      <c r="H2011" s="88">
        <v>0.17549518</v>
      </c>
      <c r="I2011" s="77">
        <v>0.94937170000000004</v>
      </c>
      <c r="J2011" s="15">
        <v>51.2</v>
      </c>
    </row>
    <row r="2012" spans="8:10">
      <c r="H2012" s="88">
        <v>0.17633789999999999</v>
      </c>
      <c r="I2012" s="77">
        <v>0.94949185999999997</v>
      </c>
      <c r="J2012" s="15">
        <v>51.3</v>
      </c>
    </row>
    <row r="2013" spans="8:10">
      <c r="H2013" s="88">
        <v>0.17718651999999999</v>
      </c>
      <c r="I2013" s="77">
        <v>0.94961165999999997</v>
      </c>
      <c r="J2013" s="15">
        <v>51.4</v>
      </c>
    </row>
    <row r="2014" spans="8:10">
      <c r="H2014" s="88">
        <v>0.17804112999999999</v>
      </c>
      <c r="I2014" s="77">
        <v>0.94973110000000005</v>
      </c>
      <c r="J2014" s="15">
        <v>51.5</v>
      </c>
    </row>
    <row r="2015" spans="8:10">
      <c r="H2015" s="88">
        <v>0.17890181999999999</v>
      </c>
      <c r="I2015" s="77">
        <v>0.94985014000000001</v>
      </c>
      <c r="J2015" s="15">
        <v>51.6</v>
      </c>
    </row>
    <row r="2016" spans="8:10">
      <c r="H2016" s="88">
        <v>0.17976867999999999</v>
      </c>
      <c r="I2016" s="77">
        <v>0.94996875999999997</v>
      </c>
      <c r="J2016" s="15">
        <v>51.7</v>
      </c>
    </row>
    <row r="2017" spans="8:10">
      <c r="H2017" s="88">
        <v>0.18064177000000001</v>
      </c>
      <c r="I2017" s="77">
        <v>0.95008700000000001</v>
      </c>
      <c r="J2017" s="15">
        <v>51.8</v>
      </c>
    </row>
    <row r="2018" spans="8:10">
      <c r="H2018" s="88">
        <v>0.18152119999999999</v>
      </c>
      <c r="I2018" s="77">
        <v>0.95020490000000002</v>
      </c>
      <c r="J2018" s="15">
        <v>51.9</v>
      </c>
    </row>
    <row r="2019" spans="8:10">
      <c r="H2019" s="88">
        <v>0.18240708</v>
      </c>
      <c r="I2019" s="77">
        <v>0.95032240000000001</v>
      </c>
      <c r="J2019" s="15">
        <v>52</v>
      </c>
    </row>
    <row r="2020" spans="8:10">
      <c r="H2020" s="88">
        <v>0.18329946999999999</v>
      </c>
      <c r="I2020" s="77">
        <v>0.95043949999999999</v>
      </c>
      <c r="J2020" s="15">
        <v>52.1</v>
      </c>
    </row>
    <row r="2021" spans="8:10">
      <c r="H2021" s="88">
        <v>0.18419847</v>
      </c>
      <c r="I2021" s="77">
        <v>0.95055630000000002</v>
      </c>
      <c r="J2021" s="15">
        <v>52.2</v>
      </c>
    </row>
    <row r="2022" spans="8:10">
      <c r="H2022" s="88">
        <v>0.18510418000000001</v>
      </c>
      <c r="I2022" s="77">
        <v>0.95067270000000004</v>
      </c>
      <c r="J2022" s="15">
        <v>52.3</v>
      </c>
    </row>
    <row r="2023" spans="8:10">
      <c r="H2023" s="88">
        <v>0.18601670000000001</v>
      </c>
      <c r="I2023" s="77">
        <v>0.95078874000000002</v>
      </c>
      <c r="J2023" s="15">
        <v>52.4</v>
      </c>
    </row>
    <row r="2024" spans="8:10">
      <c r="H2024" s="88">
        <v>0.18693613000000001</v>
      </c>
      <c r="I2024" s="77">
        <v>0.95090437000000005</v>
      </c>
      <c r="J2024" s="15">
        <v>52.5</v>
      </c>
    </row>
    <row r="2025" spans="8:10">
      <c r="H2025" s="88">
        <v>0.18786258</v>
      </c>
      <c r="I2025" s="77">
        <v>0.95101970000000002</v>
      </c>
      <c r="J2025" s="15">
        <v>52.6</v>
      </c>
    </row>
    <row r="2026" spans="8:10">
      <c r="H2026" s="88">
        <v>0.18879613000000001</v>
      </c>
      <c r="I2026" s="77">
        <v>0.9511347</v>
      </c>
      <c r="J2026" s="15">
        <v>52.7</v>
      </c>
    </row>
    <row r="2027" spans="8:10">
      <c r="H2027" s="88">
        <v>0.18973693</v>
      </c>
      <c r="I2027" s="77">
        <v>0.95124929999999996</v>
      </c>
      <c r="J2027" s="15">
        <v>52.8</v>
      </c>
    </row>
    <row r="2028" spans="8:10">
      <c r="H2028" s="88">
        <v>0.19068504999999999</v>
      </c>
      <c r="I2028" s="77">
        <v>0.95136356</v>
      </c>
      <c r="J2028" s="15">
        <v>52.9</v>
      </c>
    </row>
    <row r="2029" spans="8:10">
      <c r="H2029" s="88">
        <v>0.19164063000000001</v>
      </c>
      <c r="I2029" s="77">
        <v>0.95147747000000005</v>
      </c>
      <c r="J2029" s="15">
        <v>53</v>
      </c>
    </row>
    <row r="2030" spans="8:10">
      <c r="H2030" s="88">
        <v>0.19260378</v>
      </c>
      <c r="I2030" s="77">
        <v>0.95159099999999996</v>
      </c>
      <c r="J2030" s="15">
        <v>53.1</v>
      </c>
    </row>
    <row r="2031" spans="8:10">
      <c r="H2031" s="88">
        <v>0.19357460000000001</v>
      </c>
      <c r="I2031" s="77">
        <v>0.95170425999999997</v>
      </c>
      <c r="J2031" s="15">
        <v>53.2</v>
      </c>
    </row>
    <row r="2032" spans="8:10">
      <c r="H2032" s="88">
        <v>0.19455323999999999</v>
      </c>
      <c r="I2032" s="77">
        <v>0.95181715</v>
      </c>
      <c r="J2032" s="15">
        <v>53.3</v>
      </c>
    </row>
    <row r="2033" spans="8:10">
      <c r="H2033" s="88">
        <v>0.19553982</v>
      </c>
      <c r="I2033" s="77">
        <v>0.95192975000000002</v>
      </c>
      <c r="J2033" s="15">
        <v>53.4</v>
      </c>
    </row>
    <row r="2034" spans="8:10">
      <c r="H2034" s="88">
        <v>0.19653443000000001</v>
      </c>
      <c r="I2034" s="77">
        <v>0.95204200000000005</v>
      </c>
      <c r="J2034" s="15">
        <v>53.5</v>
      </c>
    </row>
    <row r="2035" spans="8:10">
      <c r="H2035" s="88">
        <v>0.19753724</v>
      </c>
      <c r="I2035" s="77">
        <v>0.95215386000000002</v>
      </c>
      <c r="J2035" s="15">
        <v>53.6</v>
      </c>
    </row>
    <row r="2036" spans="8:10">
      <c r="H2036" s="88">
        <v>0.19854836000000001</v>
      </c>
      <c r="I2036" s="77">
        <v>0.95226544000000002</v>
      </c>
      <c r="J2036" s="15">
        <v>53.7</v>
      </c>
    </row>
    <row r="2037" spans="8:10">
      <c r="H2037" s="88">
        <v>0.19956794</v>
      </c>
      <c r="I2037" s="77">
        <v>0.95237669999999996</v>
      </c>
      <c r="J2037" s="15">
        <v>53.8</v>
      </c>
    </row>
    <row r="2038" spans="8:10">
      <c r="H2038" s="88">
        <v>0.20059611999999999</v>
      </c>
      <c r="I2038" s="77">
        <v>0.95248765000000002</v>
      </c>
      <c r="J2038" s="15">
        <v>53.9</v>
      </c>
    </row>
    <row r="2039" spans="8:10">
      <c r="H2039" s="88">
        <v>0.20163304000000001</v>
      </c>
      <c r="I2039" s="77">
        <v>0.95259830000000001</v>
      </c>
      <c r="J2039" s="15">
        <v>54</v>
      </c>
    </row>
    <row r="2040" spans="8:10">
      <c r="H2040" s="88">
        <v>0.20267883</v>
      </c>
      <c r="I2040" s="77">
        <v>0.95270860000000002</v>
      </c>
      <c r="J2040" s="15">
        <v>54.1</v>
      </c>
    </row>
    <row r="2041" spans="8:10">
      <c r="H2041" s="88">
        <v>0.20373364999999999</v>
      </c>
      <c r="I2041" s="77">
        <v>0.95281859999999996</v>
      </c>
      <c r="J2041" s="15">
        <v>54.2</v>
      </c>
    </row>
    <row r="2042" spans="8:10">
      <c r="H2042" s="88">
        <v>0.20479769</v>
      </c>
      <c r="I2042" s="77">
        <v>0.95292825000000003</v>
      </c>
      <c r="J2042" s="15">
        <v>54.3</v>
      </c>
    </row>
    <row r="2043" spans="8:10">
      <c r="H2043" s="88">
        <v>0.20587105</v>
      </c>
      <c r="I2043" s="77">
        <v>0.95303769999999999</v>
      </c>
      <c r="J2043" s="15">
        <v>54.4</v>
      </c>
    </row>
    <row r="2044" spans="8:10">
      <c r="H2044" s="88">
        <v>0.20695393000000001</v>
      </c>
      <c r="I2044" s="77">
        <v>0.95314675999999998</v>
      </c>
      <c r="J2044" s="15">
        <v>54.5</v>
      </c>
    </row>
    <row r="2045" spans="8:10">
      <c r="H2045" s="88">
        <v>0.20804648000000001</v>
      </c>
      <c r="I2045" s="77">
        <v>0.95325552999999996</v>
      </c>
      <c r="J2045" s="15">
        <v>54.6</v>
      </c>
    </row>
    <row r="2046" spans="8:10">
      <c r="H2046" s="88">
        <v>0.20914888000000001</v>
      </c>
      <c r="I2046" s="77">
        <v>0.95336399999999999</v>
      </c>
      <c r="J2046" s="15">
        <v>54.7</v>
      </c>
    </row>
    <row r="2047" spans="8:10">
      <c r="H2047" s="88">
        <v>0.21026130000000001</v>
      </c>
      <c r="I2047" s="77">
        <v>0.95347219999999999</v>
      </c>
      <c r="J2047" s="15">
        <v>54.8</v>
      </c>
    </row>
    <row r="2048" spans="8:10">
      <c r="H2048" s="88">
        <v>0.21138392</v>
      </c>
      <c r="I2048" s="77">
        <v>0.95358010000000004</v>
      </c>
      <c r="J2048" s="15">
        <v>54.9</v>
      </c>
    </row>
    <row r="2049" spans="8:10">
      <c r="H2049" s="88">
        <v>0.21251695000000001</v>
      </c>
      <c r="I2049" s="77">
        <v>0.95368770000000003</v>
      </c>
      <c r="J2049" s="15">
        <v>55</v>
      </c>
    </row>
    <row r="2050" spans="8:10">
      <c r="H2050" s="88">
        <v>0.21366054000000001</v>
      </c>
      <c r="I2050" s="77">
        <v>0.95379510000000001</v>
      </c>
      <c r="J2050" s="15">
        <v>55.1</v>
      </c>
    </row>
    <row r="2051" spans="8:10">
      <c r="H2051" s="88">
        <v>0.2148149</v>
      </c>
      <c r="I2051" s="77">
        <v>0.95390209999999998</v>
      </c>
      <c r="J2051" s="15">
        <v>55.2</v>
      </c>
    </row>
    <row r="2052" spans="8:10">
      <c r="H2052" s="88">
        <v>0.21598025000000001</v>
      </c>
      <c r="I2052" s="77">
        <v>0.95400890000000005</v>
      </c>
      <c r="J2052" s="15">
        <v>55.3</v>
      </c>
    </row>
    <row r="2053" spans="8:10">
      <c r="H2053" s="88">
        <v>0.21715677999999999</v>
      </c>
      <c r="I2053" s="77">
        <v>0.95411533000000004</v>
      </c>
      <c r="J2053" s="15">
        <v>55.4</v>
      </c>
    </row>
    <row r="2054" spans="8:10">
      <c r="H2054" s="88">
        <v>0.21834469000000001</v>
      </c>
      <c r="I2054" s="77">
        <v>0.9542216</v>
      </c>
      <c r="J2054" s="15">
        <v>55.5</v>
      </c>
    </row>
    <row r="2055" spans="8:10">
      <c r="H2055" s="88">
        <v>0.21954423000000001</v>
      </c>
      <c r="I2055" s="77">
        <v>0.9543275</v>
      </c>
      <c r="J2055" s="15">
        <v>55.6</v>
      </c>
    </row>
    <row r="2056" spans="8:10">
      <c r="H2056" s="88">
        <v>0.22075559</v>
      </c>
      <c r="I2056" s="77">
        <v>0.95443319999999998</v>
      </c>
      <c r="J2056" s="15">
        <v>55.7</v>
      </c>
    </row>
    <row r="2057" spans="8:10">
      <c r="H2057" s="88">
        <v>0.22197903999999999</v>
      </c>
      <c r="I2057" s="77">
        <v>0.95453863999999999</v>
      </c>
      <c r="J2057" s="15">
        <v>55.8</v>
      </c>
    </row>
    <row r="2058" spans="8:10">
      <c r="H2058" s="88">
        <v>0.22321478</v>
      </c>
      <c r="I2058" s="77">
        <v>0.95464380000000004</v>
      </c>
      <c r="J2058" s="15">
        <v>55.9</v>
      </c>
    </row>
    <row r="2059" spans="8:10">
      <c r="H2059" s="88">
        <v>0.22446308000000001</v>
      </c>
      <c r="I2059" s="77">
        <v>0.95474870000000001</v>
      </c>
      <c r="J2059" s="15">
        <v>56</v>
      </c>
    </row>
    <row r="2060" spans="8:10">
      <c r="H2060" s="88">
        <v>0.22572418999999999</v>
      </c>
      <c r="I2060" s="77">
        <v>0.95485335999999998</v>
      </c>
      <c r="J2060" s="15">
        <v>56.1</v>
      </c>
    </row>
    <row r="2061" spans="8:10">
      <c r="H2061" s="88">
        <v>0.22699836000000001</v>
      </c>
      <c r="I2061" s="77">
        <v>0.95495770000000002</v>
      </c>
      <c r="J2061" s="15">
        <v>56.2</v>
      </c>
    </row>
    <row r="2062" spans="8:10">
      <c r="H2062" s="88">
        <v>0.22828586000000001</v>
      </c>
      <c r="I2062" s="77">
        <v>0.95506190000000002</v>
      </c>
      <c r="J2062" s="15">
        <v>56.3</v>
      </c>
    </row>
    <row r="2063" spans="8:10">
      <c r="H2063" s="88">
        <v>0.22958698999999999</v>
      </c>
      <c r="I2063" s="77">
        <v>0.95516579999999995</v>
      </c>
      <c r="J2063" s="15">
        <v>56.4</v>
      </c>
    </row>
    <row r="2064" spans="8:10">
      <c r="H2064" s="88">
        <v>0.230902</v>
      </c>
      <c r="I2064" s="77">
        <v>0.95526946000000001</v>
      </c>
      <c r="J2064" s="15">
        <v>56.5</v>
      </c>
    </row>
    <row r="2065" spans="8:10">
      <c r="H2065" s="88">
        <v>0.2322312</v>
      </c>
      <c r="I2065" s="77">
        <v>0.95537287000000004</v>
      </c>
      <c r="J2065" s="15">
        <v>56.6</v>
      </c>
    </row>
    <row r="2066" spans="8:10">
      <c r="H2066" s="88">
        <v>0.23357491</v>
      </c>
      <c r="I2066" s="77">
        <v>0.95547605000000002</v>
      </c>
      <c r="J2066" s="15">
        <v>56.7</v>
      </c>
    </row>
    <row r="2067" spans="8:10">
      <c r="H2067" s="88">
        <v>0.23493342</v>
      </c>
      <c r="I2067" s="77">
        <v>0.95557899999999996</v>
      </c>
      <c r="J2067" s="15">
        <v>56.8</v>
      </c>
    </row>
    <row r="2068" spans="8:10">
      <c r="H2068" s="88">
        <v>0.23630707000000001</v>
      </c>
      <c r="I2068" s="77">
        <v>0.95568173999999995</v>
      </c>
      <c r="J2068" s="15">
        <v>56.9</v>
      </c>
    </row>
    <row r="2069" spans="8:10">
      <c r="H2069" s="88">
        <v>0.23769619</v>
      </c>
      <c r="I2069" s="77">
        <v>0.95578419999999997</v>
      </c>
      <c r="J2069" s="15">
        <v>57</v>
      </c>
    </row>
    <row r="2070" spans="8:10">
      <c r="H2070" s="88">
        <v>0.23910113</v>
      </c>
      <c r="I2070" s="77">
        <v>0.95588649999999997</v>
      </c>
      <c r="J2070" s="15">
        <v>57.1</v>
      </c>
    </row>
    <row r="2071" spans="8:10">
      <c r="H2071" s="88">
        <v>0.24052224</v>
      </c>
      <c r="I2071" s="77">
        <v>0.95598859999999997</v>
      </c>
      <c r="J2071" s="15">
        <v>57.2</v>
      </c>
    </row>
    <row r="2072" spans="8:10">
      <c r="H2072" s="88">
        <v>0.24195987999999999</v>
      </c>
      <c r="I2072" s="77">
        <v>0.95609040000000001</v>
      </c>
      <c r="J2072" s="15">
        <v>57.3</v>
      </c>
    </row>
    <row r="2073" spans="8:10">
      <c r="H2073" s="88">
        <v>0.24341446</v>
      </c>
      <c r="I2073" s="77">
        <v>0.95619200000000004</v>
      </c>
      <c r="J2073" s="15">
        <v>57.4</v>
      </c>
    </row>
    <row r="2074" spans="8:10">
      <c r="H2074" s="88">
        <v>0.24488636999999999</v>
      </c>
      <c r="I2074" s="77">
        <v>0.95629346000000004</v>
      </c>
      <c r="J2074" s="15">
        <v>57.5</v>
      </c>
    </row>
    <row r="2075" spans="8:10">
      <c r="H2075" s="88">
        <v>0.24637600000000001</v>
      </c>
      <c r="I2075" s="77">
        <v>0.95639470000000004</v>
      </c>
      <c r="J2075" s="15">
        <v>57.6</v>
      </c>
    </row>
    <row r="2076" spans="8:10">
      <c r="H2076" s="88">
        <v>0.24788379999999999</v>
      </c>
      <c r="I2076" s="77">
        <v>0.95649569999999995</v>
      </c>
      <c r="J2076" s="15">
        <v>57.7</v>
      </c>
    </row>
    <row r="2077" spans="8:10">
      <c r="H2077" s="88">
        <v>0.24941018000000001</v>
      </c>
      <c r="I2077" s="77">
        <v>0.95659649999999996</v>
      </c>
      <c r="J2077" s="15">
        <v>57.8</v>
      </c>
    </row>
    <row r="2078" spans="8:10">
      <c r="H2078" s="88">
        <v>0.25095563999999998</v>
      </c>
      <c r="I2078" s="77">
        <v>0.95669709999999997</v>
      </c>
      <c r="J2078" s="15">
        <v>57.9</v>
      </c>
    </row>
    <row r="2079" spans="8:10">
      <c r="H2079" s="88">
        <v>0.25252061999999997</v>
      </c>
      <c r="I2079" s="77">
        <v>0.95679753999999995</v>
      </c>
      <c r="J2079" s="15">
        <v>58</v>
      </c>
    </row>
    <row r="2080" spans="8:10">
      <c r="H2080" s="88">
        <v>0.25410563000000003</v>
      </c>
      <c r="I2080" s="77">
        <v>0.95689780000000002</v>
      </c>
      <c r="J2080" s="15">
        <v>58.1</v>
      </c>
    </row>
    <row r="2081" spans="8:10">
      <c r="H2081" s="88">
        <v>0.25571116999999999</v>
      </c>
      <c r="I2081" s="77">
        <v>0.95699780000000001</v>
      </c>
      <c r="J2081" s="15">
        <v>58.2</v>
      </c>
    </row>
    <row r="2082" spans="8:10">
      <c r="H2082" s="88">
        <v>0.25733774999999998</v>
      </c>
      <c r="I2082" s="77">
        <v>0.95709770000000005</v>
      </c>
      <c r="J2082" s="15">
        <v>58.3</v>
      </c>
    </row>
    <row r="2083" spans="8:10">
      <c r="H2083" s="88">
        <v>0.25898597000000001</v>
      </c>
      <c r="I2083" s="77">
        <v>0.95719739999999998</v>
      </c>
      <c r="J2083" s="15">
        <v>58.4</v>
      </c>
    </row>
    <row r="2084" spans="8:10">
      <c r="H2084" s="88">
        <v>0.26065640000000001</v>
      </c>
      <c r="I2084" s="77">
        <v>0.95729697000000002</v>
      </c>
      <c r="J2084" s="15">
        <v>58.5</v>
      </c>
    </row>
    <row r="2085" spans="8:10">
      <c r="H2085" s="88">
        <v>0.26234958000000003</v>
      </c>
      <c r="I2085" s="77">
        <v>0.95739629999999998</v>
      </c>
      <c r="J2085" s="15">
        <v>58.6</v>
      </c>
    </row>
    <row r="2086" spans="8:10">
      <c r="H2086" s="88">
        <v>0.26406615999999999</v>
      </c>
      <c r="I2086" s="77">
        <v>0.95749550000000005</v>
      </c>
      <c r="J2086" s="15">
        <v>58.7</v>
      </c>
    </row>
    <row r="2087" spans="8:10">
      <c r="H2087" s="88">
        <v>0.26580680000000001</v>
      </c>
      <c r="I2087" s="77">
        <v>0.95759459999999996</v>
      </c>
      <c r="J2087" s="15">
        <v>58.8</v>
      </c>
    </row>
    <row r="2088" spans="8:10">
      <c r="H2088" s="88">
        <v>0.26757216</v>
      </c>
      <c r="I2088" s="77">
        <v>0.95769346</v>
      </c>
      <c r="J2088" s="15">
        <v>58.9</v>
      </c>
    </row>
    <row r="2089" spans="8:10">
      <c r="H2089" s="88">
        <v>0.26936293</v>
      </c>
      <c r="I2089" s="77">
        <v>0.95779219999999998</v>
      </c>
      <c r="J2089" s="15">
        <v>59</v>
      </c>
    </row>
    <row r="2090" spans="8:10">
      <c r="H2090" s="88">
        <v>0.27117987999999998</v>
      </c>
      <c r="I2090" s="77">
        <v>0.95789080000000004</v>
      </c>
      <c r="J2090" s="15">
        <v>59.1</v>
      </c>
    </row>
    <row r="2091" spans="8:10">
      <c r="H2091" s="88">
        <v>0.27302372000000003</v>
      </c>
      <c r="I2091" s="77">
        <v>0.95798930000000004</v>
      </c>
      <c r="J2091" s="15">
        <v>59.2</v>
      </c>
    </row>
    <row r="2092" spans="8:10">
      <c r="H2092" s="88">
        <v>0.27489530000000001</v>
      </c>
      <c r="I2092" s="77">
        <v>0.95808755999999995</v>
      </c>
      <c r="J2092" s="15">
        <v>59.3</v>
      </c>
    </row>
    <row r="2093" spans="8:10">
      <c r="H2093" s="88">
        <v>0.27679545</v>
      </c>
      <c r="I2093" s="77">
        <v>0.95818579999999998</v>
      </c>
      <c r="J2093" s="15">
        <v>59.4</v>
      </c>
    </row>
    <row r="2094" spans="8:10">
      <c r="H2094" s="88">
        <v>0.278725</v>
      </c>
      <c r="I2094" s="77">
        <v>0.95828384</v>
      </c>
      <c r="J2094" s="15">
        <v>59.5</v>
      </c>
    </row>
    <row r="2095" spans="8:10">
      <c r="H2095" s="88">
        <v>0.28068490000000001</v>
      </c>
      <c r="I2095" s="77">
        <v>0.95838179999999995</v>
      </c>
      <c r="J2095" s="15">
        <v>59.6</v>
      </c>
    </row>
    <row r="2096" spans="8:10">
      <c r="H2096" s="88">
        <v>0.28267604000000002</v>
      </c>
      <c r="I2096" s="77">
        <v>0.95847963999999997</v>
      </c>
      <c r="J2096" s="15">
        <v>59.7</v>
      </c>
    </row>
    <row r="2097" spans="8:10">
      <c r="H2097" s="88">
        <v>0.28469949999999999</v>
      </c>
      <c r="I2097" s="77">
        <v>0.95857733000000001</v>
      </c>
      <c r="J2097" s="15">
        <v>59.8</v>
      </c>
    </row>
    <row r="2098" spans="8:10">
      <c r="H2098" s="88">
        <v>0.28675630000000002</v>
      </c>
      <c r="I2098" s="77">
        <v>0.95867497000000002</v>
      </c>
      <c r="J2098" s="15">
        <v>59.9</v>
      </c>
    </row>
    <row r="2099" spans="8:10">
      <c r="H2099" s="88">
        <v>0.28884754000000001</v>
      </c>
      <c r="I2099" s="77">
        <v>0.95877250000000003</v>
      </c>
      <c r="J2099" s="15">
        <v>60</v>
      </c>
    </row>
    <row r="2100" spans="8:10">
      <c r="H2100" s="88">
        <v>0.29097437999999998</v>
      </c>
      <c r="I2100" s="77">
        <v>0.95886992999999998</v>
      </c>
      <c r="J2100" s="15">
        <v>60.1</v>
      </c>
    </row>
    <row r="2101" spans="8:10">
      <c r="H2101" s="88">
        <v>0.29313802999999999</v>
      </c>
      <c r="I2101" s="77">
        <v>0.95896727000000004</v>
      </c>
      <c r="J2101" s="15">
        <v>60.2</v>
      </c>
    </row>
    <row r="2102" spans="8:10">
      <c r="H2102" s="88">
        <v>0.29533979999999999</v>
      </c>
      <c r="I2102" s="77">
        <v>0.95906453999999997</v>
      </c>
      <c r="J2102" s="15">
        <v>60.3</v>
      </c>
    </row>
    <row r="2103" spans="8:10">
      <c r="H2103" s="88">
        <v>0.29758096000000001</v>
      </c>
      <c r="I2103" s="77">
        <v>0.95916175999999997</v>
      </c>
      <c r="J2103" s="15">
        <v>60.4</v>
      </c>
    </row>
    <row r="2104" spans="8:10">
      <c r="H2104" s="88">
        <v>0.29986299999999999</v>
      </c>
      <c r="I2104" s="77">
        <v>0.95925885</v>
      </c>
      <c r="J2104" s="15">
        <v>60.5</v>
      </c>
    </row>
    <row r="2105" spans="8:10">
      <c r="H2105" s="88">
        <v>0.30218739999999999</v>
      </c>
      <c r="I2105" s="77">
        <v>0.95935594999999996</v>
      </c>
      <c r="J2105" s="15">
        <v>60.6</v>
      </c>
    </row>
    <row r="2106" spans="8:10">
      <c r="H2106" s="88">
        <v>0.30455574000000002</v>
      </c>
      <c r="I2106" s="77">
        <v>0.95945290000000005</v>
      </c>
      <c r="J2106" s="15">
        <v>60.7</v>
      </c>
    </row>
    <row r="2107" spans="8:10">
      <c r="H2107" s="88">
        <v>0.30696966999999997</v>
      </c>
      <c r="I2107" s="77">
        <v>0.95954989999999996</v>
      </c>
      <c r="J2107" s="15">
        <v>60.8</v>
      </c>
    </row>
    <row r="2108" spans="8:10">
      <c r="H2108" s="88">
        <v>0.30943100000000001</v>
      </c>
      <c r="I2108" s="77">
        <v>0.95964689999999997</v>
      </c>
      <c r="J2108" s="15">
        <v>60.9</v>
      </c>
    </row>
    <row r="2109" spans="8:10">
      <c r="H2109" s="88">
        <v>0.31194156000000001</v>
      </c>
      <c r="I2109" s="77">
        <v>0.95974380000000004</v>
      </c>
      <c r="J2109" s="15">
        <v>61</v>
      </c>
    </row>
    <row r="2110" spans="8:10">
      <c r="H2110" s="88">
        <v>0.31450334000000002</v>
      </c>
      <c r="I2110" s="77">
        <v>0.95984066000000001</v>
      </c>
      <c r="J2110" s="15">
        <v>61.1</v>
      </c>
    </row>
    <row r="2111" spans="8:10">
      <c r="H2111" s="88">
        <v>0.31711846999999999</v>
      </c>
      <c r="I2111" s="77">
        <v>0.95993759999999995</v>
      </c>
      <c r="J2111" s="15">
        <v>61.2</v>
      </c>
    </row>
    <row r="2112" spans="8:10">
      <c r="H2112" s="88">
        <v>0.31978917000000001</v>
      </c>
      <c r="I2112" s="77">
        <v>0.96003442999999999</v>
      </c>
      <c r="J2112" s="15">
        <v>61.3</v>
      </c>
    </row>
    <row r="2113" spans="8:10">
      <c r="H2113" s="88">
        <v>0.32251784</v>
      </c>
      <c r="I2113" s="77">
        <v>0.96013135000000005</v>
      </c>
      <c r="J2113" s="15">
        <v>61.4</v>
      </c>
    </row>
    <row r="2114" spans="8:10">
      <c r="H2114" s="88">
        <v>0.32530700000000001</v>
      </c>
      <c r="I2114" s="77">
        <v>0.96022825999999994</v>
      </c>
      <c r="J2114" s="15">
        <v>61.5</v>
      </c>
    </row>
    <row r="2115" spans="8:10">
      <c r="H2115" s="88">
        <v>0.32815941999999998</v>
      </c>
      <c r="I2115" s="77">
        <v>0.96032519999999999</v>
      </c>
      <c r="J2115" s="15">
        <v>61.6</v>
      </c>
    </row>
    <row r="2116" spans="8:10">
      <c r="H2116" s="88">
        <v>0.33107789999999998</v>
      </c>
      <c r="I2116" s="77">
        <v>0.96042216000000002</v>
      </c>
      <c r="J2116" s="15">
        <v>61.7</v>
      </c>
    </row>
    <row r="2117" spans="8:10">
      <c r="H2117" s="88">
        <v>0.33406560000000002</v>
      </c>
      <c r="I2117" s="77">
        <v>0.96051920000000002</v>
      </c>
      <c r="J2117" s="15">
        <v>61.8</v>
      </c>
    </row>
    <row r="2118" spans="8:10">
      <c r="H2118" s="88">
        <v>0.33712579999999998</v>
      </c>
      <c r="I2118" s="77">
        <v>0.96061629999999998</v>
      </c>
      <c r="J2118" s="15">
        <v>61.9</v>
      </c>
    </row>
    <row r="2119" spans="8:10">
      <c r="H2119" s="88">
        <v>0.34026212</v>
      </c>
      <c r="I2119" s="77">
        <v>0.9607135</v>
      </c>
      <c r="J2119" s="15">
        <v>62</v>
      </c>
    </row>
    <row r="2120" spans="8:10">
      <c r="H2120" s="88">
        <v>0.34347832</v>
      </c>
      <c r="I2120" s="77">
        <v>0.96081079999999996</v>
      </c>
      <c r="J2120" s="15">
        <v>62.1</v>
      </c>
    </row>
    <row r="2121" spans="8:10">
      <c r="H2121" s="88">
        <v>0.34677859999999999</v>
      </c>
      <c r="I2121" s="77">
        <v>0.96090819999999999</v>
      </c>
      <c r="J2121" s="15">
        <v>62.2</v>
      </c>
    </row>
    <row r="2122" spans="8:10">
      <c r="H2122" s="88">
        <v>0.35016735999999998</v>
      </c>
      <c r="I2122" s="77">
        <v>0.96100560000000002</v>
      </c>
      <c r="J2122" s="15">
        <v>62.3</v>
      </c>
    </row>
    <row r="2123" spans="8:10">
      <c r="H2123" s="88">
        <v>0.35364947000000002</v>
      </c>
      <c r="I2123" s="77">
        <v>0.96110329999999999</v>
      </c>
      <c r="J2123" s="15">
        <v>62.4</v>
      </c>
    </row>
    <row r="2124" spans="8:10">
      <c r="H2124" s="88">
        <v>0.35723012999999998</v>
      </c>
      <c r="I2124" s="77">
        <v>0.96120112999999996</v>
      </c>
      <c r="J2124" s="15">
        <v>62.5</v>
      </c>
    </row>
    <row r="2125" spans="8:10">
      <c r="H2125" s="88">
        <v>0.36091498</v>
      </c>
      <c r="I2125" s="77">
        <v>0.96129909999999996</v>
      </c>
      <c r="J2125" s="15">
        <v>62.6</v>
      </c>
    </row>
    <row r="2126" spans="8:10">
      <c r="H2126" s="88">
        <v>0.36471019999999998</v>
      </c>
      <c r="I2126" s="77">
        <v>0.96139730000000001</v>
      </c>
      <c r="J2126" s="15">
        <v>62.7</v>
      </c>
    </row>
    <row r="2127" spans="8:10">
      <c r="H2127" s="88">
        <v>0.36862254</v>
      </c>
      <c r="I2127" s="77">
        <v>0.96149569999999995</v>
      </c>
      <c r="J2127" s="15">
        <v>62.8</v>
      </c>
    </row>
    <row r="2128" spans="8:10">
      <c r="H2128" s="88">
        <v>0.37265936</v>
      </c>
      <c r="I2128" s="77">
        <v>0.96159433999999999</v>
      </c>
      <c r="J2128" s="15">
        <v>62.9</v>
      </c>
    </row>
    <row r="2129" spans="8:10">
      <c r="H2129" s="88">
        <v>0.37682873</v>
      </c>
      <c r="I2129" s="77">
        <v>0.96169329999999997</v>
      </c>
      <c r="J2129" s="15">
        <v>63</v>
      </c>
    </row>
    <row r="2130" spans="8:10">
      <c r="H2130" s="88">
        <v>0.38113952000000001</v>
      </c>
      <c r="I2130" s="77">
        <v>0.96179247000000001</v>
      </c>
      <c r="J2130" s="15">
        <v>63.1</v>
      </c>
    </row>
    <row r="2131" spans="8:10">
      <c r="H2131" s="88">
        <v>0.38560151999999998</v>
      </c>
      <c r="I2131" s="77">
        <v>0.96189199999999997</v>
      </c>
      <c r="J2131" s="15">
        <v>63.2</v>
      </c>
    </row>
    <row r="2132" spans="8:10">
      <c r="H2132" s="88">
        <v>0.39022562</v>
      </c>
      <c r="I2132" s="77">
        <v>0.96199190000000001</v>
      </c>
      <c r="J2132" s="15">
        <v>63.3</v>
      </c>
    </row>
    <row r="2133" spans="8:10">
      <c r="H2133" s="88">
        <v>0.39502382000000003</v>
      </c>
      <c r="I2133" s="77">
        <v>0.96209219999999995</v>
      </c>
      <c r="J2133" s="15">
        <v>63.4</v>
      </c>
    </row>
    <row r="2134" spans="8:10">
      <c r="H2134" s="88">
        <v>0.40000956999999998</v>
      </c>
      <c r="I2134" s="77">
        <v>0.96219295000000005</v>
      </c>
      <c r="J2134" s="15">
        <v>63.5</v>
      </c>
    </row>
    <row r="2135" spans="8:10">
      <c r="H2135" s="88">
        <v>0.40519791999999999</v>
      </c>
      <c r="I2135" s="77">
        <v>0.96229416000000001</v>
      </c>
      <c r="J2135" s="15">
        <v>63.6</v>
      </c>
    </row>
    <row r="2136" spans="8:10">
      <c r="H2136" s="88">
        <v>0.41060570000000002</v>
      </c>
      <c r="I2136" s="77">
        <v>0.96239585000000005</v>
      </c>
      <c r="J2136" s="15">
        <v>63.7</v>
      </c>
    </row>
    <row r="2137" spans="8:10">
      <c r="H2137" s="88">
        <v>0.41625202</v>
      </c>
      <c r="I2137" s="77">
        <v>0.96249819999999997</v>
      </c>
      <c r="J2137" s="15">
        <v>63.8</v>
      </c>
    </row>
    <row r="2138" spans="8:10">
      <c r="H2138" s="88">
        <v>0.42215854000000003</v>
      </c>
      <c r="I2138" s="77">
        <v>0.96260109999999999</v>
      </c>
      <c r="J2138" s="15">
        <v>63.9</v>
      </c>
    </row>
    <row r="2139" spans="8:10">
      <c r="H2139" s="88">
        <v>0.42834988000000002</v>
      </c>
      <c r="I2139" s="77">
        <v>0.96270480000000003</v>
      </c>
      <c r="J2139" s="15">
        <v>64</v>
      </c>
    </row>
    <row r="2140" spans="8:10">
      <c r="H2140" s="88">
        <v>0.43485439999999997</v>
      </c>
      <c r="I2140" s="77">
        <v>0.96280915</v>
      </c>
      <c r="J2140" s="15">
        <v>64.099999999999994</v>
      </c>
    </row>
    <row r="2141" spans="8:10">
      <c r="H2141" s="88">
        <v>0.44170474999999998</v>
      </c>
      <c r="I2141" s="77">
        <v>0.96291439999999995</v>
      </c>
      <c r="J2141" s="15">
        <v>64.2</v>
      </c>
    </row>
    <row r="2142" spans="8:10">
      <c r="H2142" s="88">
        <v>0.44893896999999999</v>
      </c>
      <c r="I2142" s="77">
        <v>0.9630206</v>
      </c>
      <c r="J2142" s="15">
        <v>64.3</v>
      </c>
    </row>
    <row r="2143" spans="8:10">
      <c r="H2143" s="88">
        <v>0.45660149999999999</v>
      </c>
      <c r="I2143" s="77">
        <v>0.96312790000000004</v>
      </c>
      <c r="J2143" s="15">
        <v>64.400000000000006</v>
      </c>
    </row>
    <row r="2144" spans="8:10">
      <c r="H2144" s="88">
        <v>0.46474490000000002</v>
      </c>
      <c r="I2144" s="77">
        <v>0.96323639999999999</v>
      </c>
      <c r="J2144" s="15">
        <v>64.5</v>
      </c>
    </row>
    <row r="2145" spans="8:10">
      <c r="H2145" s="88">
        <v>0.47343168000000002</v>
      </c>
      <c r="I2145" s="77">
        <v>0.96334620000000004</v>
      </c>
      <c r="J2145" s="15">
        <v>64.599999999999994</v>
      </c>
    </row>
    <row r="2146" spans="8:10">
      <c r="H2146" s="88">
        <v>0.48273709999999997</v>
      </c>
      <c r="I2146" s="77">
        <v>0.96345749999999997</v>
      </c>
      <c r="J2146" s="15">
        <v>64.7</v>
      </c>
    </row>
    <row r="2147" spans="8:10">
      <c r="H2147" s="88">
        <v>0.49275273000000003</v>
      </c>
      <c r="I2147" s="77">
        <v>0.96357053999999998</v>
      </c>
      <c r="J2147" s="15">
        <v>64.8</v>
      </c>
    </row>
    <row r="2148" spans="8:10">
      <c r="H2148" s="88">
        <v>0.50359124</v>
      </c>
      <c r="I2148" s="77">
        <v>0.96368560000000003</v>
      </c>
      <c r="J2148" s="15">
        <v>64.900000000000006</v>
      </c>
    </row>
    <row r="2149" spans="8:10">
      <c r="H2149" s="88">
        <v>0.51539325999999996</v>
      </c>
      <c r="I2149" s="77">
        <v>0.96380290000000002</v>
      </c>
      <c r="J2149" s="15">
        <v>65</v>
      </c>
    </row>
    <row r="2150" spans="8:10">
      <c r="H2150" s="88">
        <v>0.5283369</v>
      </c>
      <c r="I2150" s="77">
        <v>0.96392286000000005</v>
      </c>
      <c r="J2150" s="15">
        <v>65.099999999999994</v>
      </c>
    </row>
    <row r="2151" spans="8:10">
      <c r="H2151" s="88">
        <v>0.54265165000000004</v>
      </c>
      <c r="I2151" s="77">
        <v>0.96404606000000004</v>
      </c>
      <c r="J2151" s="15">
        <v>65.2</v>
      </c>
    </row>
    <row r="2152" spans="8:10">
      <c r="H2152" s="88">
        <v>0.55863859999999999</v>
      </c>
      <c r="I2152" s="77">
        <v>0.96417310000000001</v>
      </c>
      <c r="J2152" s="15">
        <v>65.3</v>
      </c>
    </row>
    <row r="2153" spans="8:10">
      <c r="H2153" s="88">
        <v>0.57670056999999997</v>
      </c>
      <c r="I2153" s="77">
        <v>0.96430479999999996</v>
      </c>
      <c r="J2153" s="15">
        <v>65.400000000000006</v>
      </c>
    </row>
    <row r="2154" spans="8:10">
      <c r="H2154" s="88">
        <v>0.59738815000000001</v>
      </c>
      <c r="I2154" s="77">
        <v>0.96444260000000004</v>
      </c>
      <c r="J2154" s="15">
        <v>65.5</v>
      </c>
    </row>
    <row r="2155" spans="8:10">
      <c r="H2155" s="88">
        <v>0.62146836999999999</v>
      </c>
      <c r="I2155" s="77">
        <v>0.96458816999999997</v>
      </c>
      <c r="J2155" s="15">
        <v>65.599999999999994</v>
      </c>
    </row>
    <row r="2156" spans="8:10">
      <c r="H2156" s="88">
        <v>0.65002400000000005</v>
      </c>
      <c r="I2156" s="77">
        <v>0.96474444999999998</v>
      </c>
      <c r="J2156" s="15">
        <v>65.7</v>
      </c>
    </row>
    <row r="2157" spans="8:10">
      <c r="H2157" s="88">
        <v>0.68457407000000003</v>
      </c>
      <c r="I2157" s="77">
        <v>0.96491616999999996</v>
      </c>
      <c r="J2157" s="15">
        <v>65.8</v>
      </c>
    </row>
    <row r="2158" spans="8:10">
      <c r="H2158" s="88">
        <v>0.72711809999999999</v>
      </c>
      <c r="I2158" s="77">
        <v>0.96511203000000001</v>
      </c>
      <c r="J2158" s="15">
        <v>65.900000000000006</v>
      </c>
    </row>
    <row r="2159" spans="8:10">
      <c r="H2159" s="88">
        <v>0.77966060000000004</v>
      </c>
      <c r="I2159" s="77">
        <v>0.96535029999999999</v>
      </c>
      <c r="J2159" s="15">
        <v>66</v>
      </c>
    </row>
    <row r="2160" spans="8:10">
      <c r="H2160" s="88">
        <v>0.53717815999999996</v>
      </c>
      <c r="I2160" s="77">
        <v>0.96400005</v>
      </c>
      <c r="J2160" s="15">
        <v>65.162999999999997</v>
      </c>
    </row>
    <row r="2161" spans="8:10">
      <c r="H2161" s="88">
        <v>0.53732323999999998</v>
      </c>
      <c r="I2161" s="77">
        <v>0.96400129999999995</v>
      </c>
      <c r="J2161" s="15">
        <v>65.164000000000001</v>
      </c>
    </row>
    <row r="2162" spans="8:10">
      <c r="H2162" s="88">
        <v>0.53746850000000002</v>
      </c>
      <c r="I2162" s="77">
        <v>0.96400255000000001</v>
      </c>
      <c r="J2162" s="15">
        <v>65.165000000000006</v>
      </c>
    </row>
    <row r="2163" spans="8:10">
      <c r="H2163" s="88">
        <v>0.53761387000000005</v>
      </c>
      <c r="I2163" s="77">
        <v>0.96400374</v>
      </c>
      <c r="J2163" s="15">
        <v>65.165999999999997</v>
      </c>
    </row>
    <row r="2164" spans="8:10">
      <c r="H2164" s="88">
        <v>0.5377594</v>
      </c>
      <c r="I2164" s="77">
        <v>0.964005</v>
      </c>
      <c r="J2164" s="15">
        <v>65.167000000000002</v>
      </c>
    </row>
    <row r="2165" spans="8:10">
      <c r="H2165" s="88">
        <v>0.53790515999999999</v>
      </c>
      <c r="I2165" s="77">
        <v>0.96400624999999995</v>
      </c>
      <c r="J2165" s="15">
        <v>65.168000000000006</v>
      </c>
    </row>
    <row r="2166" spans="8:10">
      <c r="H2166" s="88">
        <v>0.53805099999999995</v>
      </c>
      <c r="I2166" s="77">
        <v>0.96400750000000002</v>
      </c>
      <c r="J2166" s="15">
        <v>65.168999999999997</v>
      </c>
    </row>
    <row r="2167" spans="8:10">
      <c r="H2167" s="88">
        <v>0.53819700000000004</v>
      </c>
      <c r="I2167" s="77">
        <v>0.96400870000000005</v>
      </c>
      <c r="J2167" s="15">
        <v>65.17</v>
      </c>
    </row>
    <row r="2168" spans="8:10">
      <c r="H2168" s="88">
        <v>0.53834320000000002</v>
      </c>
      <c r="I2168" s="77">
        <v>0.96400993999999995</v>
      </c>
      <c r="J2168" s="15">
        <v>65.171000000000006</v>
      </c>
    </row>
    <row r="2169" spans="8:10">
      <c r="H2169" s="88">
        <v>0.53848949999999995</v>
      </c>
      <c r="I2169" s="77">
        <v>0.96401119999999996</v>
      </c>
      <c r="J2169" s="15">
        <v>65.171999999999997</v>
      </c>
    </row>
    <row r="2170" spans="8:10">
      <c r="H2170" s="88">
        <v>0.53863596999999996</v>
      </c>
      <c r="I2170" s="77">
        <v>0.96401243999999997</v>
      </c>
      <c r="J2170" s="15">
        <v>65.173000000000002</v>
      </c>
    </row>
    <row r="2171" spans="8:10">
      <c r="H2171" s="88">
        <v>0.53878265999999997</v>
      </c>
      <c r="I2171" s="77">
        <v>0.96401369999999997</v>
      </c>
      <c r="J2171" s="15">
        <v>65.174000000000007</v>
      </c>
    </row>
    <row r="2172" spans="8:10">
      <c r="H2172" s="88">
        <v>0.5389294</v>
      </c>
      <c r="I2172" s="77">
        <v>0.96401490000000001</v>
      </c>
      <c r="J2172" s="15">
        <v>65.174999999999997</v>
      </c>
    </row>
    <row r="2173" spans="8:10">
      <c r="H2173" s="88">
        <v>0.53907640000000001</v>
      </c>
      <c r="I2173" s="77">
        <v>0.96401614000000002</v>
      </c>
      <c r="J2173" s="15">
        <v>65.176000000000002</v>
      </c>
    </row>
    <row r="2174" spans="8:10">
      <c r="H2174" s="88">
        <v>0.53922349999999997</v>
      </c>
      <c r="I2174" s="77">
        <v>0.96401740000000002</v>
      </c>
      <c r="J2174" s="15">
        <v>65.177000000000007</v>
      </c>
    </row>
    <row r="2175" spans="8:10">
      <c r="H2175" s="88">
        <v>0.53937080000000004</v>
      </c>
      <c r="I2175" s="77">
        <v>0.96401864000000004</v>
      </c>
      <c r="J2175" s="15">
        <v>65.177999999999997</v>
      </c>
    </row>
    <row r="2176" spans="8:10">
      <c r="H2176" s="88">
        <v>0.53951824000000004</v>
      </c>
      <c r="I2176" s="77">
        <v>0.96401990000000004</v>
      </c>
      <c r="J2176" s="15">
        <v>65.179000000000002</v>
      </c>
    </row>
    <row r="2177" spans="8:10">
      <c r="H2177" s="88">
        <v>0.53966579999999997</v>
      </c>
      <c r="I2177" s="77">
        <v>0.96402109999999996</v>
      </c>
      <c r="J2177" s="15">
        <v>65.180000000000007</v>
      </c>
    </row>
    <row r="2178" spans="8:10">
      <c r="H2178" s="88">
        <v>0.5398136</v>
      </c>
      <c r="I2178" s="77">
        <v>0.96402233999999998</v>
      </c>
      <c r="J2178" s="15">
        <v>65.180999999999997</v>
      </c>
    </row>
    <row r="2179" spans="8:10">
      <c r="H2179" s="88">
        <v>0.53996146</v>
      </c>
      <c r="I2179" s="77">
        <v>0.96402359999999998</v>
      </c>
      <c r="J2179" s="15">
        <v>65.182000000000002</v>
      </c>
    </row>
    <row r="2180" spans="8:10">
      <c r="H2180" s="88">
        <v>0.54010959999999997</v>
      </c>
      <c r="I2180" s="77">
        <v>0.96402483999999999</v>
      </c>
      <c r="J2180" s="15">
        <v>65.183000000000007</v>
      </c>
    </row>
    <row r="2181" spans="8:10">
      <c r="H2181" s="88">
        <v>0.54025774999999998</v>
      </c>
      <c r="I2181" s="77">
        <v>0.9640261</v>
      </c>
      <c r="J2181" s="15">
        <v>65.183999999999997</v>
      </c>
    </row>
    <row r="2182" spans="8:10">
      <c r="H2182" s="88">
        <v>0.54040617000000002</v>
      </c>
      <c r="I2182" s="77">
        <v>0.96402734999999995</v>
      </c>
      <c r="J2182" s="15">
        <v>65.185000000000002</v>
      </c>
    </row>
    <row r="2183" spans="8:10">
      <c r="H2183" s="88">
        <v>0.54055476000000002</v>
      </c>
      <c r="I2183" s="77">
        <v>0.96402860000000001</v>
      </c>
      <c r="J2183" s="15">
        <v>65.186000000000007</v>
      </c>
    </row>
    <row r="2184" spans="8:10">
      <c r="H2184" s="88">
        <v>0.5407035</v>
      </c>
      <c r="I2184" s="77">
        <v>0.96402984999999997</v>
      </c>
      <c r="J2184" s="15">
        <v>65.186999999999998</v>
      </c>
    </row>
    <row r="2185" spans="8:10">
      <c r="H2185" s="88">
        <v>0.54085229999999995</v>
      </c>
      <c r="I2185" s="77">
        <v>0.96403103999999995</v>
      </c>
      <c r="J2185" s="15">
        <v>65.188000000000002</v>
      </c>
    </row>
    <row r="2186" spans="8:10">
      <c r="H2186" s="88">
        <v>0.54100139999999997</v>
      </c>
      <c r="I2186" s="77">
        <v>0.96403229999999995</v>
      </c>
      <c r="J2186" s="15">
        <v>65.188999999999993</v>
      </c>
    </row>
    <row r="2187" spans="8:10">
      <c r="H2187" s="88">
        <v>0.54115057</v>
      </c>
      <c r="I2187" s="77">
        <v>0.96403353999999997</v>
      </c>
      <c r="J2187" s="15">
        <v>65.19</v>
      </c>
    </row>
    <row r="2188" spans="8:10">
      <c r="H2188" s="88">
        <v>0.54129994000000003</v>
      </c>
      <c r="I2188" s="77">
        <v>0.96403479999999997</v>
      </c>
      <c r="J2188" s="15">
        <v>65.191000000000003</v>
      </c>
    </row>
    <row r="2189" spans="8:10">
      <c r="H2189" s="88">
        <v>0.54144950000000003</v>
      </c>
      <c r="I2189" s="77">
        <v>0.96403605000000003</v>
      </c>
      <c r="J2189" s="15">
        <v>65.191999999999993</v>
      </c>
    </row>
    <row r="2190" spans="8:10">
      <c r="H2190" s="88">
        <v>0.54159915000000003</v>
      </c>
      <c r="I2190" s="77">
        <v>0.96403729999999999</v>
      </c>
      <c r="J2190" s="15">
        <v>65.192999999999998</v>
      </c>
    </row>
    <row r="2191" spans="8:10">
      <c r="H2191" s="88">
        <v>0.54174906</v>
      </c>
      <c r="I2191" s="77">
        <v>0.96403855000000005</v>
      </c>
      <c r="J2191" s="15">
        <v>65.194000000000003</v>
      </c>
    </row>
    <row r="2192" spans="8:10">
      <c r="H2192" s="88">
        <v>0.54189909999999997</v>
      </c>
      <c r="I2192" s="77">
        <v>0.9640398</v>
      </c>
      <c r="J2192" s="15">
        <v>65.194999999999993</v>
      </c>
    </row>
    <row r="2193" spans="8:10">
      <c r="H2193" s="88">
        <v>0.54204920000000001</v>
      </c>
      <c r="I2193" s="77">
        <v>0.96404104999999995</v>
      </c>
      <c r="J2193" s="15">
        <v>65.195999999999998</v>
      </c>
    </row>
    <row r="2194" spans="8:10">
      <c r="H2194" s="88">
        <v>0.5421996</v>
      </c>
      <c r="I2194" s="77">
        <v>0.96404230000000002</v>
      </c>
      <c r="J2194" s="15">
        <v>65.197000000000003</v>
      </c>
    </row>
    <row r="2195" spans="8:10">
      <c r="H2195" s="88">
        <v>0.54235009999999995</v>
      </c>
      <c r="I2195" s="77">
        <v>0.96404356000000002</v>
      </c>
      <c r="J2195" s="15">
        <v>65.197999999999993</v>
      </c>
    </row>
    <row r="2196" spans="8:10">
      <c r="H2196" s="88">
        <v>0.54250080000000001</v>
      </c>
      <c r="I2196" s="77">
        <v>0.96404480000000004</v>
      </c>
      <c r="J2196" s="15">
        <v>65.198999999999998</v>
      </c>
    </row>
    <row r="2197" spans="8:10">
      <c r="H2197" s="88">
        <v>0.54265165000000004</v>
      </c>
      <c r="I2197" s="77">
        <v>0.96404606000000004</v>
      </c>
      <c r="J2197" s="15">
        <v>65.2</v>
      </c>
    </row>
    <row r="2198" spans="8:10">
      <c r="H2198" s="88">
        <v>0.54280269999999997</v>
      </c>
      <c r="I2198" s="77">
        <v>0.96404730000000005</v>
      </c>
      <c r="J2198" s="15">
        <v>65.200999999999993</v>
      </c>
    </row>
    <row r="2199" spans="8:10">
      <c r="H2199" s="88">
        <v>0.54295384999999996</v>
      </c>
      <c r="I2199" s="77">
        <v>0.96404856000000005</v>
      </c>
      <c r="J2199" s="15">
        <v>65.201999999999998</v>
      </c>
    </row>
    <row r="2200" spans="8:10">
      <c r="H2200" s="88">
        <v>0.54310519999999995</v>
      </c>
      <c r="I2200" s="77">
        <v>0.96404975999999998</v>
      </c>
      <c r="J2200" s="15">
        <v>65.203000000000003</v>
      </c>
    </row>
    <row r="2201" spans="8:10">
      <c r="H2201" s="88">
        <v>0.54325670000000004</v>
      </c>
      <c r="I2201" s="77">
        <v>0.96405099999999999</v>
      </c>
      <c r="J2201" s="15">
        <v>65.203999999999994</v>
      </c>
    </row>
    <row r="2202" spans="8:10">
      <c r="H2202" s="88">
        <v>0.54340840000000001</v>
      </c>
      <c r="I2202" s="77">
        <v>0.96405225999999999</v>
      </c>
      <c r="J2202" s="15">
        <v>65.204999999999998</v>
      </c>
    </row>
    <row r="2203" spans="8:10">
      <c r="H2203" s="88">
        <v>0.54356026999999996</v>
      </c>
      <c r="I2203" s="77">
        <v>0.96405350000000001</v>
      </c>
      <c r="J2203" s="15">
        <v>65.206000000000003</v>
      </c>
    </row>
    <row r="2204" spans="8:10">
      <c r="H2204" s="88">
        <v>0.54371230000000004</v>
      </c>
      <c r="I2204" s="77">
        <v>0.96405476000000001</v>
      </c>
      <c r="J2204" s="15">
        <v>65.206999999999994</v>
      </c>
    </row>
    <row r="2205" spans="8:10">
      <c r="H2205" s="88">
        <v>0.54386449999999997</v>
      </c>
      <c r="I2205" s="77">
        <v>0.96405609999999997</v>
      </c>
      <c r="J2205" s="15">
        <v>65.207999999999998</v>
      </c>
    </row>
    <row r="2206" spans="8:10">
      <c r="H2206" s="88">
        <v>0.54401683999999995</v>
      </c>
      <c r="I2206" s="77">
        <v>0.96405730000000001</v>
      </c>
      <c r="J2206" s="15">
        <v>65.209000000000003</v>
      </c>
    </row>
    <row r="2207" spans="8:10">
      <c r="H2207" s="88">
        <v>0.54416936999999999</v>
      </c>
      <c r="I2207" s="77">
        <v>0.96405859999999999</v>
      </c>
      <c r="J2207" s="15">
        <v>65.209999999999994</v>
      </c>
    </row>
    <row r="2208" spans="8:10">
      <c r="H2208" s="88">
        <v>0.54432210000000003</v>
      </c>
      <c r="I2208" s="77">
        <v>0.96405980000000002</v>
      </c>
      <c r="J2208" s="15">
        <v>65.210999999999999</v>
      </c>
    </row>
    <row r="2209" spans="8:10">
      <c r="H2209" s="88">
        <v>0.54447495999999995</v>
      </c>
      <c r="I2209" s="77">
        <v>0.9640611</v>
      </c>
      <c r="J2209" s="15">
        <v>65.212000000000003</v>
      </c>
    </row>
    <row r="2210" spans="8:10">
      <c r="H2210" s="88">
        <v>0.54462796000000002</v>
      </c>
      <c r="I2210" s="77">
        <v>0.96406232999999997</v>
      </c>
      <c r="J2210" s="15">
        <v>65.212999999999994</v>
      </c>
    </row>
    <row r="2211" spans="8:10">
      <c r="H2211" s="88">
        <v>0.54478119999999997</v>
      </c>
      <c r="I2211" s="77">
        <v>0.96406360000000002</v>
      </c>
      <c r="J2211" s="15">
        <v>65.213999999999999</v>
      </c>
    </row>
    <row r="2212" spans="8:10">
      <c r="H2212" s="88">
        <v>0.54493460000000005</v>
      </c>
      <c r="I2212" s="77">
        <v>0.96406484000000003</v>
      </c>
      <c r="J2212" s="15">
        <v>65.215000000000003</v>
      </c>
    </row>
    <row r="2213" spans="8:10">
      <c r="H2213" s="88">
        <v>0.54508809999999996</v>
      </c>
      <c r="I2213" s="77">
        <v>0.96406610000000004</v>
      </c>
      <c r="J2213" s="15">
        <v>65.215999999999994</v>
      </c>
    </row>
    <row r="2214" spans="8:10">
      <c r="H2214" s="88">
        <v>0.54524189999999995</v>
      </c>
      <c r="I2214" s="77">
        <v>0.96406734000000005</v>
      </c>
      <c r="J2214" s="15">
        <v>65.216999999999999</v>
      </c>
    </row>
    <row r="2215" spans="8:10">
      <c r="H2215" s="88">
        <v>0.54539579999999999</v>
      </c>
      <c r="I2215" s="77">
        <v>0.96406860000000005</v>
      </c>
      <c r="J2215" s="15">
        <v>65.218000000000004</v>
      </c>
    </row>
    <row r="2216" spans="8:10">
      <c r="H2216" s="88">
        <v>0.54554979999999997</v>
      </c>
      <c r="I2216" s="77">
        <v>0.96406983999999996</v>
      </c>
      <c r="J2216" s="15">
        <v>65.218999999999994</v>
      </c>
    </row>
    <row r="2217" spans="8:10">
      <c r="H2217" s="88">
        <v>0.54570406999999999</v>
      </c>
      <c r="I2217" s="77">
        <v>0.96407109999999996</v>
      </c>
      <c r="J2217" s="15">
        <v>65.22</v>
      </c>
    </row>
    <row r="2218" spans="8:10">
      <c r="H2218" s="88">
        <v>0.54585850000000002</v>
      </c>
      <c r="I2218" s="77">
        <v>0.96407235000000002</v>
      </c>
      <c r="J2218" s="15">
        <v>65.221000000000004</v>
      </c>
    </row>
    <row r="2219" spans="8:10">
      <c r="H2219" s="88">
        <v>0.54601310000000003</v>
      </c>
      <c r="I2219" s="77">
        <v>0.96407359999999998</v>
      </c>
      <c r="J2219" s="15">
        <v>65.221999999999994</v>
      </c>
    </row>
    <row r="2220" spans="8:10">
      <c r="H2220" s="88">
        <v>0.54616785000000001</v>
      </c>
      <c r="I2220" s="77">
        <v>0.96407489999999996</v>
      </c>
      <c r="J2220" s="15">
        <v>65.222999999999999</v>
      </c>
    </row>
    <row r="2221" spans="8:10">
      <c r="H2221" s="88">
        <v>0.5463228</v>
      </c>
      <c r="I2221" s="77">
        <v>0.96407615999999996</v>
      </c>
      <c r="J2221" s="15">
        <v>65.224000000000004</v>
      </c>
    </row>
    <row r="2222" spans="8:10">
      <c r="H2222" s="88">
        <v>0.54647789999999996</v>
      </c>
      <c r="I2222" s="77">
        <v>0.96407739999999997</v>
      </c>
      <c r="J2222" s="15">
        <v>65.224999999999994</v>
      </c>
    </row>
    <row r="2223" spans="8:10">
      <c r="H2223" s="88">
        <v>0.54663320000000004</v>
      </c>
      <c r="I2223" s="77">
        <v>0.96407865999999998</v>
      </c>
      <c r="J2223" s="15">
        <v>65.225999999999999</v>
      </c>
    </row>
    <row r="2224" spans="8:10">
      <c r="H2224" s="88">
        <v>0.54678870000000002</v>
      </c>
      <c r="I2224" s="77">
        <v>0.96407989999999999</v>
      </c>
      <c r="J2224" s="15">
        <v>65.227000000000004</v>
      </c>
    </row>
    <row r="2225" spans="8:10">
      <c r="H2225" s="88">
        <v>0.54694430000000005</v>
      </c>
      <c r="I2225" s="77">
        <v>0.96408117000000004</v>
      </c>
      <c r="J2225" s="15">
        <v>65.227999999999994</v>
      </c>
    </row>
    <row r="2226" spans="8:10">
      <c r="H2226" s="88">
        <v>0.54710009999999998</v>
      </c>
      <c r="I2226" s="77">
        <v>0.96408240000000001</v>
      </c>
      <c r="J2226" s="15">
        <v>65.228999999999999</v>
      </c>
    </row>
    <row r="2227" spans="8:10">
      <c r="H2227" s="88">
        <v>0.54725610000000002</v>
      </c>
      <c r="I2227" s="77">
        <v>0.96408373000000003</v>
      </c>
      <c r="J2227" s="15">
        <v>65.23</v>
      </c>
    </row>
    <row r="2228" spans="8:10">
      <c r="H2228" s="88">
        <v>0.54741229999999996</v>
      </c>
      <c r="I2228" s="77">
        <v>0.96408499999999997</v>
      </c>
      <c r="J2228" s="15">
        <v>65.230999999999995</v>
      </c>
    </row>
    <row r="2229" spans="8:10">
      <c r="H2229" s="88">
        <v>0.54756870000000002</v>
      </c>
      <c r="I2229" s="77">
        <v>0.96408623000000004</v>
      </c>
      <c r="J2229" s="15">
        <v>65.231999999999999</v>
      </c>
    </row>
    <row r="2230" spans="8:10">
      <c r="H2230" s="88">
        <v>0.54772520000000002</v>
      </c>
      <c r="I2230" s="77">
        <v>0.96408749999999999</v>
      </c>
      <c r="J2230" s="15">
        <v>65.233000000000004</v>
      </c>
    </row>
    <row r="2231" spans="8:10">
      <c r="H2231" s="88">
        <v>0.54788190000000003</v>
      </c>
      <c r="I2231" s="77">
        <v>0.96408874</v>
      </c>
      <c r="J2231" s="15">
        <v>65.233999999999995</v>
      </c>
    </row>
    <row r="2232" spans="8:10">
      <c r="H2232" s="88">
        <v>0.54803880000000005</v>
      </c>
      <c r="I2232" s="77">
        <v>0.96409</v>
      </c>
      <c r="J2232" s="15">
        <v>65.234999999999999</v>
      </c>
    </row>
    <row r="2233" spans="8:10">
      <c r="H2233" s="88">
        <v>0.54819583999999999</v>
      </c>
      <c r="I2233" s="77">
        <v>0.96409129999999998</v>
      </c>
      <c r="J2233" s="15">
        <v>65.236000000000004</v>
      </c>
    </row>
    <row r="2234" spans="8:10">
      <c r="H2234" s="88">
        <v>0.54835310000000004</v>
      </c>
      <c r="I2234" s="77">
        <v>0.96409255000000005</v>
      </c>
      <c r="J2234" s="15">
        <v>65.236999999999995</v>
      </c>
    </row>
    <row r="2235" spans="8:10">
      <c r="H2235" s="88">
        <v>0.54851050000000001</v>
      </c>
      <c r="I2235" s="77">
        <v>0.9640938</v>
      </c>
      <c r="J2235" s="15">
        <v>65.238</v>
      </c>
    </row>
    <row r="2236" spans="8:10">
      <c r="H2236" s="88">
        <v>0.54866809999999999</v>
      </c>
      <c r="I2236" s="77">
        <v>0.96409506</v>
      </c>
      <c r="J2236" s="15">
        <v>65.239000000000004</v>
      </c>
    </row>
    <row r="2237" spans="8:10">
      <c r="H2237" s="88">
        <v>0.54882589999999998</v>
      </c>
      <c r="I2237" s="77">
        <v>0.96409637000000004</v>
      </c>
      <c r="J2237" s="15">
        <v>65.239999999999995</v>
      </c>
    </row>
    <row r="2238" spans="8:10">
      <c r="H2238" s="88">
        <v>0.54898389999999997</v>
      </c>
      <c r="I2238" s="77">
        <v>0.9640976</v>
      </c>
      <c r="J2238" s="15">
        <v>65.241</v>
      </c>
    </row>
    <row r="2239" spans="8:10">
      <c r="H2239" s="88">
        <v>0.54914200000000002</v>
      </c>
      <c r="I2239" s="77">
        <v>0.96409889999999998</v>
      </c>
      <c r="J2239" s="15">
        <v>65.242000000000004</v>
      </c>
    </row>
    <row r="2240" spans="8:10">
      <c r="H2240" s="88">
        <v>0.54930029999999996</v>
      </c>
      <c r="I2240" s="77">
        <v>0.96410010000000002</v>
      </c>
      <c r="J2240" s="15">
        <v>65.242999999999995</v>
      </c>
    </row>
    <row r="2241" spans="8:10">
      <c r="H2241" s="88">
        <v>0.54945885999999999</v>
      </c>
      <c r="I2241" s="77">
        <v>0.96410143000000004</v>
      </c>
      <c r="J2241" s="15">
        <v>65.244</v>
      </c>
    </row>
    <row r="2242" spans="8:10">
      <c r="H2242" s="88">
        <v>0.54961749999999998</v>
      </c>
      <c r="I2242" s="77">
        <v>0.96410269999999998</v>
      </c>
      <c r="J2242" s="15">
        <v>65.245000000000005</v>
      </c>
    </row>
    <row r="2243" spans="8:10">
      <c r="H2243" s="88">
        <v>0.54977642999999998</v>
      </c>
      <c r="I2243" s="77">
        <v>0.96410393999999999</v>
      </c>
      <c r="J2243" s="15">
        <v>65.245999999999995</v>
      </c>
    </row>
    <row r="2244" spans="8:10">
      <c r="H2244" s="88">
        <v>0.54993546000000004</v>
      </c>
      <c r="I2244" s="77">
        <v>0.9641052</v>
      </c>
      <c r="J2244" s="15">
        <v>65.247</v>
      </c>
    </row>
    <row r="2245" spans="8:10">
      <c r="H2245" s="88">
        <v>0.55009470000000005</v>
      </c>
      <c r="I2245" s="77">
        <v>0.96410649999999998</v>
      </c>
      <c r="J2245" s="15">
        <v>65.248000000000005</v>
      </c>
    </row>
    <row r="2246" spans="8:10">
      <c r="H2246" s="88">
        <v>0.55025416999999999</v>
      </c>
      <c r="I2246" s="77">
        <v>0.96410775000000004</v>
      </c>
      <c r="J2246" s="15">
        <v>65.248999999999995</v>
      </c>
    </row>
    <row r="2247" spans="8:10">
      <c r="H2247" s="88">
        <v>0.55041370000000001</v>
      </c>
      <c r="I2247" s="77">
        <v>0.96410899999999999</v>
      </c>
      <c r="J2247" s="15">
        <v>65.25</v>
      </c>
    </row>
    <row r="2248" spans="8:10">
      <c r="H2248" s="88">
        <v>0.55057350000000005</v>
      </c>
      <c r="I2248" s="77">
        <v>0.96411029999999998</v>
      </c>
      <c r="J2248" s="15">
        <v>65.251000000000005</v>
      </c>
    </row>
    <row r="2249" spans="8:10">
      <c r="H2249" s="88">
        <v>0.55073349999999999</v>
      </c>
      <c r="I2249" s="77">
        <v>0.96411157000000003</v>
      </c>
      <c r="J2249" s="15">
        <v>65.251999999999995</v>
      </c>
    </row>
    <row r="2250" spans="8:10">
      <c r="H2250" s="88">
        <v>0.55089365999999995</v>
      </c>
      <c r="I2250" s="77">
        <v>0.96411279999999999</v>
      </c>
      <c r="J2250" s="15">
        <v>65.253</v>
      </c>
    </row>
    <row r="2251" spans="8:10">
      <c r="H2251" s="88">
        <v>0.55105406000000001</v>
      </c>
      <c r="I2251" s="77">
        <v>0.96411409999999997</v>
      </c>
      <c r="J2251" s="15">
        <v>65.254000000000005</v>
      </c>
    </row>
    <row r="2252" spans="8:10">
      <c r="H2252" s="88">
        <v>0.5512146</v>
      </c>
      <c r="I2252" s="77">
        <v>0.96411539999999996</v>
      </c>
      <c r="J2252" s="15">
        <v>65.254999999999995</v>
      </c>
    </row>
    <row r="2253" spans="8:10">
      <c r="H2253" s="88">
        <v>0.55137530000000001</v>
      </c>
      <c r="I2253" s="77">
        <v>0.96411663000000003</v>
      </c>
      <c r="J2253" s="15">
        <v>65.256</v>
      </c>
    </row>
    <row r="2254" spans="8:10">
      <c r="H2254" s="88">
        <v>0.55153620000000003</v>
      </c>
      <c r="I2254" s="77">
        <v>0.96411793999999995</v>
      </c>
      <c r="J2254" s="15">
        <v>65.257000000000005</v>
      </c>
    </row>
    <row r="2255" spans="8:10">
      <c r="H2255" s="88">
        <v>0.55169729999999995</v>
      </c>
      <c r="I2255" s="77">
        <v>0.96411919999999995</v>
      </c>
      <c r="J2255" s="15">
        <v>65.257999999999996</v>
      </c>
    </row>
    <row r="2256" spans="8:10">
      <c r="H2256" s="88">
        <v>0.55185859999999998</v>
      </c>
      <c r="I2256" s="77">
        <v>0.96412045000000002</v>
      </c>
      <c r="J2256" s="15">
        <v>65.259</v>
      </c>
    </row>
    <row r="2257" spans="8:10">
      <c r="H2257" s="88">
        <v>0.55202010000000001</v>
      </c>
      <c r="I2257" s="77">
        <v>0.96412176000000005</v>
      </c>
      <c r="J2257" s="15">
        <v>65.260000000000005</v>
      </c>
    </row>
    <row r="2258" spans="8:10">
      <c r="H2258" s="88">
        <v>0.55218179999999994</v>
      </c>
      <c r="I2258" s="77">
        <v>0.96412299999999995</v>
      </c>
      <c r="J2258" s="15">
        <v>65.260999999999996</v>
      </c>
    </row>
    <row r="2259" spans="8:10">
      <c r="H2259" s="88">
        <v>0.55234360000000005</v>
      </c>
      <c r="I2259" s="77">
        <v>0.96412425999999996</v>
      </c>
      <c r="J2259" s="15">
        <v>65.262</v>
      </c>
    </row>
    <row r="2260" spans="8:10">
      <c r="H2260" s="88">
        <v>0.55250569999999999</v>
      </c>
      <c r="I2260" s="77">
        <v>0.96412560000000003</v>
      </c>
      <c r="J2260" s="15">
        <v>65.263000000000005</v>
      </c>
    </row>
    <row r="2261" spans="8:10">
      <c r="H2261" s="88">
        <v>0.55266789999999999</v>
      </c>
      <c r="I2261" s="77">
        <v>0.96412679999999995</v>
      </c>
      <c r="J2261" s="15">
        <v>65.263999999999996</v>
      </c>
    </row>
    <row r="2262" spans="8:10">
      <c r="H2262" s="88">
        <v>0.55283033999999998</v>
      </c>
      <c r="I2262" s="77">
        <v>0.96412814000000002</v>
      </c>
      <c r="J2262" s="15">
        <v>65.265000000000001</v>
      </c>
    </row>
    <row r="2263" spans="8:10">
      <c r="H2263" s="88">
        <v>0.55299293999999999</v>
      </c>
      <c r="I2263" s="77">
        <v>0.96412940000000003</v>
      </c>
      <c r="J2263" s="15">
        <v>65.266000000000005</v>
      </c>
    </row>
    <row r="2264" spans="8:10">
      <c r="H2264" s="88">
        <v>0.55315570000000003</v>
      </c>
      <c r="I2264" s="77">
        <v>0.96413064000000004</v>
      </c>
      <c r="J2264" s="15">
        <v>65.266999999999996</v>
      </c>
    </row>
    <row r="2265" spans="8:10">
      <c r="H2265" s="88">
        <v>0.55331874000000003</v>
      </c>
      <c r="I2265" s="77">
        <v>0.96413194999999996</v>
      </c>
      <c r="J2265" s="15">
        <v>65.268000000000001</v>
      </c>
    </row>
    <row r="2266" spans="8:10">
      <c r="H2266" s="88">
        <v>0.55348193999999995</v>
      </c>
      <c r="I2266" s="77">
        <v>0.96413320000000002</v>
      </c>
      <c r="J2266" s="15">
        <v>65.269000000000005</v>
      </c>
    </row>
    <row r="2267" spans="8:10">
      <c r="H2267" s="88">
        <v>0.55364530000000001</v>
      </c>
      <c r="I2267" s="77">
        <v>0.96413450000000001</v>
      </c>
      <c r="J2267" s="15">
        <v>65.27</v>
      </c>
    </row>
    <row r="2268" spans="8:10">
      <c r="H2268" s="88">
        <v>0.55380890000000005</v>
      </c>
      <c r="I2268" s="77">
        <v>0.96413576999999995</v>
      </c>
      <c r="J2268" s="15">
        <v>65.271000000000001</v>
      </c>
    </row>
    <row r="2269" spans="8:10">
      <c r="H2269" s="88">
        <v>0.55397266000000001</v>
      </c>
      <c r="I2269" s="77">
        <v>0.96413709999999997</v>
      </c>
      <c r="J2269" s="15">
        <v>65.272000000000006</v>
      </c>
    </row>
    <row r="2270" spans="8:10">
      <c r="H2270" s="88">
        <v>0.55413663000000002</v>
      </c>
      <c r="I2270" s="77">
        <v>0.9641383</v>
      </c>
      <c r="J2270" s="15">
        <v>65.272999999999996</v>
      </c>
    </row>
    <row r="2271" spans="8:10">
      <c r="H2271" s="88">
        <v>0.55430080000000004</v>
      </c>
      <c r="I2271" s="77">
        <v>0.96413963999999996</v>
      </c>
      <c r="J2271" s="15">
        <v>65.274000000000001</v>
      </c>
    </row>
    <row r="2272" spans="8:10">
      <c r="H2272" s="88">
        <v>0.55446519999999999</v>
      </c>
      <c r="I2272" s="77">
        <v>0.96414089999999997</v>
      </c>
      <c r="J2272" s="15">
        <v>65.275000000000006</v>
      </c>
    </row>
    <row r="2273" spans="8:10">
      <c r="H2273" s="88">
        <v>0.5546297</v>
      </c>
      <c r="I2273" s="77">
        <v>0.96414219999999995</v>
      </c>
      <c r="J2273" s="15">
        <v>65.275999999999996</v>
      </c>
    </row>
    <row r="2274" spans="8:10">
      <c r="H2274" s="88">
        <v>0.55479442999999995</v>
      </c>
      <c r="I2274" s="77">
        <v>0.96414345999999995</v>
      </c>
      <c r="J2274" s="15">
        <v>65.277000000000001</v>
      </c>
    </row>
    <row r="2275" spans="8:10">
      <c r="H2275" s="88">
        <v>0.55495939999999999</v>
      </c>
      <c r="I2275" s="77">
        <v>0.96414476999999998</v>
      </c>
      <c r="J2275" s="15">
        <v>65.278000000000006</v>
      </c>
    </row>
    <row r="2276" spans="8:10">
      <c r="H2276" s="88">
        <v>0.55512450000000002</v>
      </c>
      <c r="I2276" s="77">
        <v>0.96414599999999995</v>
      </c>
      <c r="J2276" s="15">
        <v>65.278999999999996</v>
      </c>
    </row>
    <row r="2277" spans="8:10">
      <c r="H2277" s="88">
        <v>0.55528986000000002</v>
      </c>
      <c r="I2277" s="77">
        <v>0.96414730000000004</v>
      </c>
      <c r="J2277" s="15">
        <v>65.28</v>
      </c>
    </row>
    <row r="2278" spans="8:10">
      <c r="H2278" s="88">
        <v>0.55545540000000004</v>
      </c>
      <c r="I2278" s="77">
        <v>0.96414860000000002</v>
      </c>
      <c r="J2278" s="15">
        <v>65.281000000000006</v>
      </c>
    </row>
    <row r="2279" spans="8:10">
      <c r="H2279" s="88">
        <v>0.55562115000000001</v>
      </c>
      <c r="I2279" s="77">
        <v>0.9641499</v>
      </c>
      <c r="J2279" s="15">
        <v>65.281999999999996</v>
      </c>
    </row>
    <row r="2280" spans="8:10">
      <c r="H2280" s="88">
        <v>0.55578700000000003</v>
      </c>
      <c r="I2280" s="77">
        <v>0.96415114000000002</v>
      </c>
      <c r="J2280" s="15">
        <v>65.283000000000001</v>
      </c>
    </row>
    <row r="2281" spans="8:10">
      <c r="H2281" s="88">
        <v>0.55595320000000004</v>
      </c>
      <c r="I2281" s="77">
        <v>0.96415245999999999</v>
      </c>
      <c r="J2281" s="15">
        <v>65.284000000000006</v>
      </c>
    </row>
    <row r="2282" spans="8:10">
      <c r="H2282" s="88">
        <v>0.55611949999999999</v>
      </c>
      <c r="I2282" s="77">
        <v>0.9641537</v>
      </c>
      <c r="J2282" s="15">
        <v>65.284999999999997</v>
      </c>
    </row>
    <row r="2283" spans="8:10">
      <c r="H2283" s="88">
        <v>0.55628604000000004</v>
      </c>
      <c r="I2283" s="77">
        <v>0.96415499999999998</v>
      </c>
      <c r="J2283" s="15">
        <v>65.286000000000001</v>
      </c>
    </row>
    <row r="2284" spans="8:10">
      <c r="H2284" s="88">
        <v>0.55645275000000005</v>
      </c>
      <c r="I2284" s="77">
        <v>0.96415629999999997</v>
      </c>
      <c r="J2284" s="15">
        <v>65.287000000000006</v>
      </c>
    </row>
    <row r="2285" spans="8:10">
      <c r="H2285" s="88">
        <v>0.55661970000000005</v>
      </c>
      <c r="I2285" s="77">
        <v>0.96415759999999995</v>
      </c>
      <c r="J2285" s="15">
        <v>65.287999999999997</v>
      </c>
    </row>
    <row r="2286" spans="8:10">
      <c r="H2286" s="88">
        <v>0.55678680000000003</v>
      </c>
      <c r="I2286" s="77">
        <v>0.96415890000000004</v>
      </c>
      <c r="J2286" s="15">
        <v>65.289000000000001</v>
      </c>
    </row>
    <row r="2287" spans="8:10">
      <c r="H2287" s="88">
        <v>0.55695415000000004</v>
      </c>
      <c r="I2287" s="77">
        <v>0.96416014000000005</v>
      </c>
      <c r="J2287" s="15">
        <v>65.290000000000006</v>
      </c>
    </row>
    <row r="2288" spans="8:10">
      <c r="H2288" s="88">
        <v>0.55712163000000003</v>
      </c>
      <c r="I2288" s="77">
        <v>0.96416146000000003</v>
      </c>
      <c r="J2288" s="15">
        <v>65.290999999999997</v>
      </c>
    </row>
    <row r="2289" spans="8:10">
      <c r="H2289" s="88">
        <v>0.55728940000000005</v>
      </c>
      <c r="I2289" s="77">
        <v>0.96416276999999995</v>
      </c>
      <c r="J2289" s="15">
        <v>65.292000000000002</v>
      </c>
    </row>
    <row r="2290" spans="8:10">
      <c r="H2290" s="88">
        <v>0.55745730000000004</v>
      </c>
      <c r="I2290" s="77">
        <v>0.96416400000000002</v>
      </c>
      <c r="J2290" s="15">
        <v>65.293000000000006</v>
      </c>
    </row>
    <row r="2291" spans="8:10">
      <c r="H2291" s="88">
        <v>0.5576255</v>
      </c>
      <c r="I2291" s="77">
        <v>0.96416533000000004</v>
      </c>
      <c r="J2291" s="15">
        <v>65.293999999999997</v>
      </c>
    </row>
    <row r="2292" spans="8:10">
      <c r="H2292" s="88">
        <v>0.55779380000000001</v>
      </c>
      <c r="I2292" s="77">
        <v>0.96416659999999998</v>
      </c>
      <c r="J2292" s="15">
        <v>65.295000000000002</v>
      </c>
    </row>
    <row r="2293" spans="8:10">
      <c r="H2293" s="88">
        <v>0.55796235999999999</v>
      </c>
      <c r="I2293" s="77">
        <v>0.96416789999999997</v>
      </c>
      <c r="J2293" s="15">
        <v>65.296000000000006</v>
      </c>
    </row>
    <row r="2294" spans="8:10">
      <c r="H2294" s="88">
        <v>0.55813109999999999</v>
      </c>
      <c r="I2294" s="77">
        <v>0.96416919999999995</v>
      </c>
      <c r="J2294" s="15">
        <v>65.296999999999997</v>
      </c>
    </row>
    <row r="2295" spans="8:10">
      <c r="H2295" s="88">
        <v>0.55830009999999997</v>
      </c>
      <c r="I2295" s="77">
        <v>0.96417045999999995</v>
      </c>
      <c r="J2295" s="15">
        <v>65.298000000000002</v>
      </c>
    </row>
    <row r="2296" spans="8:10">
      <c r="H2296" s="88">
        <v>0.55846923999999998</v>
      </c>
      <c r="I2296" s="77">
        <v>0.96417176999999998</v>
      </c>
      <c r="J2296" s="15">
        <v>65.299000000000007</v>
      </c>
    </row>
    <row r="2297" spans="8:10">
      <c r="H2297" s="88">
        <v>0.55863859999999999</v>
      </c>
      <c r="I2297" s="77">
        <v>0.96417310000000001</v>
      </c>
      <c r="J2297" s="15">
        <v>65.3</v>
      </c>
    </row>
    <row r="2298" spans="8:10">
      <c r="H2298" s="88">
        <v>0.55880814999999995</v>
      </c>
      <c r="I2298" s="77">
        <v>0.96417432999999997</v>
      </c>
      <c r="J2298" s="15">
        <v>65.301000000000002</v>
      </c>
    </row>
    <row r="2299" spans="8:10">
      <c r="H2299" s="88">
        <v>0.55897790000000003</v>
      </c>
      <c r="I2299" s="77">
        <v>0.96417564</v>
      </c>
      <c r="J2299" s="15">
        <v>65.302000000000007</v>
      </c>
    </row>
    <row r="2300" spans="8:10">
      <c r="H2300" s="88">
        <v>0.55914790000000003</v>
      </c>
      <c r="I2300" s="77">
        <v>0.96417695000000003</v>
      </c>
      <c r="J2300" s="15">
        <v>65.302999999999997</v>
      </c>
    </row>
    <row r="2301" spans="8:10">
      <c r="H2301" s="88">
        <v>0.55931810000000004</v>
      </c>
      <c r="I2301" s="77">
        <v>0.96417819999999999</v>
      </c>
      <c r="J2301" s="15">
        <v>65.304000000000002</v>
      </c>
    </row>
    <row r="2302" spans="8:10">
      <c r="H2302" s="88">
        <v>0.55948852999999998</v>
      </c>
      <c r="I2302" s="77">
        <v>0.96417949999999997</v>
      </c>
      <c r="J2302" s="15">
        <v>65.305000000000007</v>
      </c>
    </row>
    <row r="2303" spans="8:10">
      <c r="H2303" s="88">
        <v>0.55965909999999996</v>
      </c>
      <c r="I2303" s="77">
        <v>0.96418079999999995</v>
      </c>
      <c r="J2303" s="15">
        <v>65.305999999999997</v>
      </c>
    </row>
    <row r="2304" spans="8:10">
      <c r="H2304" s="88">
        <v>0.55982995000000002</v>
      </c>
      <c r="I2304" s="77">
        <v>0.96418214000000002</v>
      </c>
      <c r="J2304" s="15">
        <v>65.307000000000002</v>
      </c>
    </row>
    <row r="2305" spans="8:10">
      <c r="H2305" s="88">
        <v>0.56000095999999999</v>
      </c>
      <c r="I2305" s="77">
        <v>0.96418340000000002</v>
      </c>
      <c r="J2305" s="15">
        <v>65.308000000000007</v>
      </c>
    </row>
    <row r="2306" spans="8:10">
      <c r="H2306" s="88">
        <v>0.56017220000000001</v>
      </c>
      <c r="I2306" s="77">
        <v>0.96418470000000001</v>
      </c>
      <c r="J2306" s="15">
        <v>65.308999999999997</v>
      </c>
    </row>
    <row r="2307" spans="8:10">
      <c r="H2307" s="88">
        <v>0.5603437</v>
      </c>
      <c r="I2307" s="77">
        <v>0.96418599999999999</v>
      </c>
      <c r="J2307" s="15">
        <v>65.31</v>
      </c>
    </row>
    <row r="2308" spans="8:10">
      <c r="H2308" s="88">
        <v>0.56051534000000003</v>
      </c>
      <c r="I2308" s="77">
        <v>0.96418729999999997</v>
      </c>
      <c r="J2308" s="15">
        <v>65.311000000000007</v>
      </c>
    </row>
    <row r="2309" spans="8:10">
      <c r="H2309" s="88">
        <v>0.56068720000000005</v>
      </c>
      <c r="I2309" s="77">
        <v>0.96418859999999995</v>
      </c>
      <c r="J2309" s="15">
        <v>65.311999999999998</v>
      </c>
    </row>
    <row r="2310" spans="8:10">
      <c r="H2310" s="88">
        <v>0.56085925999999997</v>
      </c>
      <c r="I2310" s="77">
        <v>0.96418990000000004</v>
      </c>
      <c r="J2310" s="15">
        <v>65.313000000000002</v>
      </c>
    </row>
    <row r="2311" spans="8:10">
      <c r="H2311" s="88">
        <v>0.56103159999999996</v>
      </c>
      <c r="I2311" s="77">
        <v>0.96419120000000003</v>
      </c>
      <c r="J2311" s="15">
        <v>65.313999999999993</v>
      </c>
    </row>
    <row r="2312" spans="8:10">
      <c r="H2312" s="88">
        <v>0.56120409999999998</v>
      </c>
      <c r="I2312" s="77">
        <v>0.96419250000000001</v>
      </c>
      <c r="J2312" s="15">
        <v>65.314999999999998</v>
      </c>
    </row>
    <row r="2313" spans="8:10">
      <c r="H2313" s="88">
        <v>0.56137680000000001</v>
      </c>
      <c r="I2313" s="77">
        <v>0.96419379999999999</v>
      </c>
      <c r="J2313" s="15">
        <v>65.316000000000003</v>
      </c>
    </row>
    <row r="2314" spans="8:10">
      <c r="H2314" s="88">
        <v>0.56154970000000004</v>
      </c>
      <c r="I2314" s="77">
        <v>0.96419509999999997</v>
      </c>
      <c r="J2314" s="15">
        <v>65.316999999999993</v>
      </c>
    </row>
    <row r="2315" spans="8:10">
      <c r="H2315" s="88">
        <v>0.56172290000000002</v>
      </c>
      <c r="I2315" s="77">
        <v>0.96419639999999995</v>
      </c>
      <c r="J2315" s="15">
        <v>65.317999999999998</v>
      </c>
    </row>
    <row r="2316" spans="8:10">
      <c r="H2316" s="88">
        <v>0.56189626000000004</v>
      </c>
      <c r="I2316" s="77">
        <v>0.96419770000000005</v>
      </c>
      <c r="J2316" s="15">
        <v>65.319000000000003</v>
      </c>
    </row>
    <row r="2317" spans="8:10">
      <c r="H2317" s="88">
        <v>0.56206982999999999</v>
      </c>
      <c r="I2317" s="77">
        <v>0.96419900000000003</v>
      </c>
      <c r="J2317" s="15">
        <v>65.319999999999993</v>
      </c>
    </row>
    <row r="2318" spans="8:10">
      <c r="H2318" s="88">
        <v>0.56224364000000004</v>
      </c>
      <c r="I2318" s="77">
        <v>0.96420030000000001</v>
      </c>
      <c r="J2318" s="15">
        <v>65.320999999999998</v>
      </c>
    </row>
    <row r="2319" spans="8:10">
      <c r="H2319" s="88">
        <v>0.56241759999999996</v>
      </c>
      <c r="I2319" s="77">
        <v>0.96420159999999999</v>
      </c>
      <c r="J2319" s="15">
        <v>65.322000000000003</v>
      </c>
    </row>
    <row r="2320" spans="8:10">
      <c r="H2320" s="88">
        <v>0.56259185</v>
      </c>
      <c r="I2320" s="77">
        <v>0.96420289999999997</v>
      </c>
      <c r="J2320" s="15">
        <v>65.322999999999993</v>
      </c>
    </row>
    <row r="2321" spans="8:10">
      <c r="H2321" s="88">
        <v>0.56276630000000005</v>
      </c>
      <c r="I2321" s="77">
        <v>0.96420419999999996</v>
      </c>
      <c r="J2321" s="15">
        <v>65.323999999999998</v>
      </c>
    </row>
    <row r="2322" spans="8:10">
      <c r="H2322" s="88">
        <v>0.56294100000000002</v>
      </c>
      <c r="I2322" s="77">
        <v>0.96420550000000005</v>
      </c>
      <c r="J2322" s="15">
        <v>65.325000000000003</v>
      </c>
    </row>
    <row r="2323" spans="8:10">
      <c r="H2323" s="88">
        <v>0.5631159</v>
      </c>
      <c r="I2323" s="77">
        <v>0.96420680000000003</v>
      </c>
      <c r="J2323" s="15">
        <v>65.325999999999993</v>
      </c>
    </row>
    <row r="2324" spans="8:10">
      <c r="H2324" s="88">
        <v>0.56329094999999996</v>
      </c>
      <c r="I2324" s="77">
        <v>0.96420810000000001</v>
      </c>
      <c r="J2324" s="15">
        <v>65.326999999999998</v>
      </c>
    </row>
    <row r="2325" spans="8:10">
      <c r="H2325" s="88">
        <v>0.56346629999999998</v>
      </c>
      <c r="I2325" s="77">
        <v>0.96420943999999997</v>
      </c>
      <c r="J2325" s="15">
        <v>65.328000000000003</v>
      </c>
    </row>
    <row r="2326" spans="8:10">
      <c r="H2326" s="88">
        <v>0.56364185</v>
      </c>
      <c r="I2326" s="77">
        <v>0.96421075000000001</v>
      </c>
      <c r="J2326" s="15">
        <v>65.328999999999994</v>
      </c>
    </row>
    <row r="2327" spans="8:10">
      <c r="H2327" s="88">
        <v>0.56381760000000003</v>
      </c>
      <c r="I2327" s="77">
        <v>0.96421206000000004</v>
      </c>
      <c r="J2327" s="15">
        <v>65.33</v>
      </c>
    </row>
    <row r="2328" spans="8:10">
      <c r="H2328" s="88">
        <v>0.56399359999999998</v>
      </c>
      <c r="I2328" s="77">
        <v>0.9642134</v>
      </c>
      <c r="J2328" s="15">
        <v>65.331000000000003</v>
      </c>
    </row>
    <row r="2329" spans="8:10">
      <c r="H2329" s="88">
        <v>0.56416975999999996</v>
      </c>
      <c r="I2329" s="77">
        <v>0.96421469999999998</v>
      </c>
      <c r="J2329" s="15">
        <v>65.331999999999994</v>
      </c>
    </row>
    <row r="2330" spans="8:10">
      <c r="H2330" s="88">
        <v>0.56434620000000002</v>
      </c>
      <c r="I2330" s="77">
        <v>0.96421599999999996</v>
      </c>
      <c r="J2330" s="15">
        <v>65.332999999999998</v>
      </c>
    </row>
    <row r="2331" spans="8:10">
      <c r="H2331" s="88">
        <v>0.56452285999999996</v>
      </c>
      <c r="I2331" s="77">
        <v>0.96421730000000005</v>
      </c>
      <c r="J2331" s="15">
        <v>65.334000000000003</v>
      </c>
    </row>
    <row r="2332" spans="8:10">
      <c r="H2332" s="88">
        <v>0.56469977000000005</v>
      </c>
      <c r="I2332" s="77">
        <v>0.96421855999999995</v>
      </c>
      <c r="J2332" s="15">
        <v>65.334999999999994</v>
      </c>
    </row>
    <row r="2333" spans="8:10">
      <c r="H2333" s="88">
        <v>0.56487684999999999</v>
      </c>
      <c r="I2333" s="77">
        <v>0.96421986999999998</v>
      </c>
      <c r="J2333" s="15">
        <v>65.335999999999999</v>
      </c>
    </row>
    <row r="2334" spans="8:10">
      <c r="H2334" s="88">
        <v>0.56505419999999995</v>
      </c>
      <c r="I2334" s="77">
        <v>0.9642212</v>
      </c>
      <c r="J2334" s="15">
        <v>65.337000000000003</v>
      </c>
    </row>
    <row r="2335" spans="8:10">
      <c r="H2335" s="88">
        <v>0.5652317</v>
      </c>
      <c r="I2335" s="77">
        <v>0.96422249999999998</v>
      </c>
      <c r="J2335" s="15">
        <v>65.337999999999994</v>
      </c>
    </row>
    <row r="2336" spans="8:10">
      <c r="H2336" s="88">
        <v>0.56540950000000001</v>
      </c>
      <c r="I2336" s="77">
        <v>0.96422379999999996</v>
      </c>
      <c r="J2336" s="15">
        <v>65.338999999999999</v>
      </c>
    </row>
    <row r="2337" spans="8:10">
      <c r="H2337" s="88">
        <v>0.56558746000000004</v>
      </c>
      <c r="I2337" s="77">
        <v>0.96422509999999995</v>
      </c>
      <c r="J2337" s="15">
        <v>65.34</v>
      </c>
    </row>
    <row r="2338" spans="8:10">
      <c r="H2338" s="88">
        <v>0.56576570000000004</v>
      </c>
      <c r="I2338" s="77">
        <v>0.96422640000000004</v>
      </c>
      <c r="J2338" s="15">
        <v>65.340999999999994</v>
      </c>
    </row>
    <row r="2339" spans="8:10">
      <c r="H2339" s="88">
        <v>0.56594414000000004</v>
      </c>
      <c r="I2339" s="77">
        <v>0.96422774</v>
      </c>
      <c r="J2339" s="15">
        <v>65.341999999999999</v>
      </c>
    </row>
    <row r="2340" spans="8:10">
      <c r="H2340" s="88">
        <v>0.56612282999999997</v>
      </c>
      <c r="I2340" s="77">
        <v>0.96422905000000003</v>
      </c>
      <c r="J2340" s="15">
        <v>65.343000000000004</v>
      </c>
    </row>
    <row r="2341" spans="8:10">
      <c r="H2341" s="88">
        <v>0.56630170000000002</v>
      </c>
      <c r="I2341" s="77">
        <v>0.96423040000000004</v>
      </c>
      <c r="J2341" s="15">
        <v>65.343999999999994</v>
      </c>
    </row>
    <row r="2342" spans="8:10">
      <c r="H2342" s="88">
        <v>0.56648080000000001</v>
      </c>
      <c r="I2342" s="77">
        <v>0.96423170000000002</v>
      </c>
      <c r="J2342" s="15">
        <v>65.344999999999999</v>
      </c>
    </row>
    <row r="2343" spans="8:10">
      <c r="H2343" s="88">
        <v>0.56666017000000002</v>
      </c>
      <c r="I2343" s="77">
        <v>0.96423303999999999</v>
      </c>
      <c r="J2343" s="15">
        <v>65.346000000000004</v>
      </c>
    </row>
    <row r="2344" spans="8:10">
      <c r="H2344" s="88">
        <v>0.56683974999999998</v>
      </c>
      <c r="I2344" s="77">
        <v>0.96423435000000002</v>
      </c>
      <c r="J2344" s="15">
        <v>65.346999999999994</v>
      </c>
    </row>
    <row r="2345" spans="8:10">
      <c r="H2345" s="88">
        <v>0.56701959999999996</v>
      </c>
      <c r="I2345" s="77">
        <v>0.96423566000000005</v>
      </c>
      <c r="J2345" s="15">
        <v>65.347999999999999</v>
      </c>
    </row>
    <row r="2346" spans="8:10">
      <c r="H2346" s="88">
        <v>0.56719965000000006</v>
      </c>
      <c r="I2346" s="77">
        <v>0.96423700000000001</v>
      </c>
      <c r="J2346" s="15">
        <v>65.349000000000004</v>
      </c>
    </row>
    <row r="2347" spans="8:10">
      <c r="H2347" s="88">
        <v>0.56737990000000005</v>
      </c>
      <c r="I2347" s="77">
        <v>0.96423829999999999</v>
      </c>
      <c r="J2347" s="15">
        <v>65.349999999999994</v>
      </c>
    </row>
    <row r="2348" spans="8:10">
      <c r="H2348" s="88">
        <v>0.56756043</v>
      </c>
      <c r="I2348" s="77">
        <v>0.96423959999999997</v>
      </c>
      <c r="J2348" s="15">
        <v>65.350999999999999</v>
      </c>
    </row>
    <row r="2349" spans="8:10">
      <c r="H2349" s="88">
        <v>0.56774115999999997</v>
      </c>
      <c r="I2349" s="77">
        <v>0.96424089999999996</v>
      </c>
      <c r="J2349" s="15">
        <v>65.352000000000004</v>
      </c>
    </row>
    <row r="2350" spans="8:10">
      <c r="H2350" s="88">
        <v>0.56792209999999999</v>
      </c>
      <c r="I2350" s="77">
        <v>0.96424220000000005</v>
      </c>
      <c r="J2350" s="15">
        <v>65.352999999999994</v>
      </c>
    </row>
    <row r="2351" spans="8:10">
      <c r="H2351" s="88">
        <v>0.56810340000000004</v>
      </c>
      <c r="I2351" s="77">
        <v>0.96424352999999996</v>
      </c>
      <c r="J2351" s="15">
        <v>65.353999999999999</v>
      </c>
    </row>
    <row r="2352" spans="8:10">
      <c r="H2352" s="88">
        <v>0.56828480000000003</v>
      </c>
      <c r="I2352" s="77">
        <v>0.96424489999999996</v>
      </c>
      <c r="J2352" s="15">
        <v>65.355000000000004</v>
      </c>
    </row>
    <row r="2353" spans="8:10">
      <c r="H2353" s="88">
        <v>0.56846649999999999</v>
      </c>
      <c r="I2353" s="77">
        <v>0.96424620000000005</v>
      </c>
      <c r="J2353" s="15">
        <v>65.355999999999995</v>
      </c>
    </row>
    <row r="2354" spans="8:10">
      <c r="H2354" s="88">
        <v>0.56864840000000005</v>
      </c>
      <c r="I2354" s="77">
        <v>0.96424750000000004</v>
      </c>
      <c r="J2354" s="15">
        <v>65.356999999999999</v>
      </c>
    </row>
    <row r="2355" spans="8:10">
      <c r="H2355" s="88">
        <v>0.56883050000000002</v>
      </c>
      <c r="I2355" s="77">
        <v>0.96424884</v>
      </c>
      <c r="J2355" s="15">
        <v>65.358000000000004</v>
      </c>
    </row>
    <row r="2356" spans="8:10">
      <c r="H2356" s="88">
        <v>0.56901290000000004</v>
      </c>
      <c r="I2356" s="77">
        <v>0.96425015000000003</v>
      </c>
      <c r="J2356" s="15">
        <v>65.358999999999995</v>
      </c>
    </row>
    <row r="2357" spans="8:10">
      <c r="H2357" s="88">
        <v>0.56919549999999997</v>
      </c>
      <c r="I2357" s="77">
        <v>0.96425145999999995</v>
      </c>
      <c r="J2357" s="15">
        <v>65.36</v>
      </c>
    </row>
    <row r="2358" spans="8:10">
      <c r="H2358" s="88">
        <v>0.56937839999999995</v>
      </c>
      <c r="I2358" s="77">
        <v>0.96425280000000002</v>
      </c>
      <c r="J2358" s="15">
        <v>65.361000000000004</v>
      </c>
    </row>
    <row r="2359" spans="8:10">
      <c r="H2359" s="88">
        <v>0.56956150000000005</v>
      </c>
      <c r="I2359" s="77">
        <v>0.96425413999999998</v>
      </c>
      <c r="J2359" s="15">
        <v>65.361999999999995</v>
      </c>
    </row>
    <row r="2360" spans="8:10">
      <c r="H2360" s="88">
        <v>0.56974477000000001</v>
      </c>
      <c r="I2360" s="77">
        <v>0.96425545000000001</v>
      </c>
      <c r="J2360" s="15">
        <v>65.363</v>
      </c>
    </row>
    <row r="2361" spans="8:10">
      <c r="H2361" s="88">
        <v>0.56992834999999997</v>
      </c>
      <c r="I2361" s="77">
        <v>0.96425676000000005</v>
      </c>
      <c r="J2361" s="15">
        <v>65.364000000000004</v>
      </c>
    </row>
    <row r="2362" spans="8:10">
      <c r="H2362" s="88">
        <v>0.57011217000000003</v>
      </c>
      <c r="I2362" s="77">
        <v>0.96425810000000001</v>
      </c>
      <c r="J2362" s="15">
        <v>65.364999999999995</v>
      </c>
    </row>
    <row r="2363" spans="8:10">
      <c r="H2363" s="88">
        <v>0.57029620000000003</v>
      </c>
      <c r="I2363" s="77">
        <v>0.96425945000000002</v>
      </c>
      <c r="J2363" s="15">
        <v>65.366</v>
      </c>
    </row>
    <row r="2364" spans="8:10">
      <c r="H2364" s="88">
        <v>0.57048047000000002</v>
      </c>
      <c r="I2364" s="77">
        <v>0.96426076000000005</v>
      </c>
      <c r="J2364" s="15">
        <v>65.367000000000004</v>
      </c>
    </row>
    <row r="2365" spans="8:10">
      <c r="H2365" s="88">
        <v>0.57066499999999998</v>
      </c>
      <c r="I2365" s="77">
        <v>0.96426206999999997</v>
      </c>
      <c r="J2365" s="15">
        <v>65.367999999999995</v>
      </c>
    </row>
    <row r="2366" spans="8:10">
      <c r="H2366" s="88">
        <v>0.57084979999999996</v>
      </c>
      <c r="I2366" s="77">
        <v>0.96426339999999999</v>
      </c>
      <c r="J2366" s="15">
        <v>65.369</v>
      </c>
    </row>
    <row r="2367" spans="8:10">
      <c r="H2367" s="88">
        <v>0.57103479999999995</v>
      </c>
      <c r="I2367" s="77">
        <v>0.96426475</v>
      </c>
      <c r="J2367" s="15">
        <v>65.37</v>
      </c>
    </row>
    <row r="2368" spans="8:10">
      <c r="H2368" s="88">
        <v>0.57122004000000004</v>
      </c>
      <c r="I2368" s="77">
        <v>0.96426606000000004</v>
      </c>
      <c r="J2368" s="15">
        <v>65.370999999999995</v>
      </c>
    </row>
    <row r="2369" spans="8:10">
      <c r="H2369" s="88">
        <v>0.57140553000000005</v>
      </c>
      <c r="I2369" s="77">
        <v>0.9642674</v>
      </c>
      <c r="J2369" s="15">
        <v>65.372</v>
      </c>
    </row>
    <row r="2370" spans="8:10">
      <c r="H2370" s="88">
        <v>0.57159130000000002</v>
      </c>
      <c r="I2370" s="77">
        <v>0.96426873999999996</v>
      </c>
      <c r="J2370" s="15">
        <v>65.373000000000005</v>
      </c>
    </row>
    <row r="2371" spans="8:10">
      <c r="H2371" s="88">
        <v>0.57177730000000004</v>
      </c>
      <c r="I2371" s="77">
        <v>0.96427006000000004</v>
      </c>
      <c r="J2371" s="15">
        <v>65.373999999999995</v>
      </c>
    </row>
    <row r="2372" spans="8:10">
      <c r="H2372" s="88">
        <v>0.57196349999999996</v>
      </c>
      <c r="I2372" s="77">
        <v>0.96427136999999996</v>
      </c>
      <c r="J2372" s="15">
        <v>65.375</v>
      </c>
    </row>
    <row r="2373" spans="8:10">
      <c r="H2373" s="88">
        <v>0.57215000000000005</v>
      </c>
      <c r="I2373" s="77">
        <v>0.96427273999999996</v>
      </c>
      <c r="J2373" s="15">
        <v>65.376000000000005</v>
      </c>
    </row>
    <row r="2374" spans="8:10">
      <c r="H2374" s="88">
        <v>0.57233670000000003</v>
      </c>
      <c r="I2374" s="77">
        <v>0.96427404999999999</v>
      </c>
      <c r="J2374" s="15">
        <v>65.376999999999995</v>
      </c>
    </row>
    <row r="2375" spans="8:10">
      <c r="H2375" s="88">
        <v>0.57252365000000005</v>
      </c>
      <c r="I2375" s="77">
        <v>0.96427536000000003</v>
      </c>
      <c r="J2375" s="15">
        <v>65.378</v>
      </c>
    </row>
    <row r="2376" spans="8:10">
      <c r="H2376" s="88">
        <v>0.57271090000000002</v>
      </c>
      <c r="I2376" s="77">
        <v>0.96427673000000003</v>
      </c>
      <c r="J2376" s="15">
        <v>65.379000000000005</v>
      </c>
    </row>
    <row r="2377" spans="8:10">
      <c r="H2377" s="88">
        <v>0.57289829999999997</v>
      </c>
      <c r="I2377" s="77">
        <v>0.96427803999999995</v>
      </c>
      <c r="J2377" s="15">
        <v>65.38</v>
      </c>
    </row>
    <row r="2378" spans="8:10">
      <c r="H2378" s="88">
        <v>0.57308610000000004</v>
      </c>
      <c r="I2378" s="77">
        <v>0.96427934999999998</v>
      </c>
      <c r="J2378" s="15">
        <v>65.381</v>
      </c>
    </row>
    <row r="2379" spans="8:10">
      <c r="H2379" s="88">
        <v>0.57327399999999995</v>
      </c>
      <c r="I2379" s="77">
        <v>0.96428069999999999</v>
      </c>
      <c r="J2379" s="15">
        <v>65.382000000000005</v>
      </c>
    </row>
    <row r="2380" spans="8:10">
      <c r="H2380" s="88">
        <v>0.57346224999999995</v>
      </c>
      <c r="I2380" s="77">
        <v>0.96428203999999995</v>
      </c>
      <c r="J2380" s="15">
        <v>65.382999999999996</v>
      </c>
    </row>
    <row r="2381" spans="8:10">
      <c r="H2381" s="88">
        <v>0.57365065999999998</v>
      </c>
      <c r="I2381" s="77">
        <v>0.96428340000000001</v>
      </c>
      <c r="J2381" s="15">
        <v>65.384</v>
      </c>
    </row>
    <row r="2382" spans="8:10">
      <c r="H2382" s="88">
        <v>0.5738394</v>
      </c>
      <c r="I2382" s="77">
        <v>0.96428469999999999</v>
      </c>
      <c r="J2382" s="15">
        <v>65.385000000000005</v>
      </c>
    </row>
    <row r="2383" spans="8:10">
      <c r="H2383" s="88">
        <v>0.57402839999999999</v>
      </c>
      <c r="I2383" s="77">
        <v>0.96428599999999998</v>
      </c>
      <c r="J2383" s="15">
        <v>65.385999999999996</v>
      </c>
    </row>
    <row r="2384" spans="8:10">
      <c r="H2384" s="88">
        <v>0.57421756000000002</v>
      </c>
      <c r="I2384" s="77">
        <v>0.96428740000000002</v>
      </c>
      <c r="J2384" s="15">
        <v>65.387</v>
      </c>
    </row>
    <row r="2385" spans="8:10">
      <c r="H2385" s="88">
        <v>0.57440703999999998</v>
      </c>
      <c r="I2385" s="77">
        <v>0.9642887</v>
      </c>
      <c r="J2385" s="15">
        <v>65.388000000000005</v>
      </c>
    </row>
    <row r="2386" spans="8:10">
      <c r="H2386" s="88">
        <v>0.57459676000000004</v>
      </c>
      <c r="I2386" s="77">
        <v>0.96429010000000004</v>
      </c>
      <c r="J2386" s="15">
        <v>65.388999999999996</v>
      </c>
    </row>
    <row r="2387" spans="8:10">
      <c r="H2387" s="88">
        <v>0.57478669999999998</v>
      </c>
      <c r="I2387" s="77">
        <v>0.96429140000000002</v>
      </c>
      <c r="J2387" s="15">
        <v>65.39</v>
      </c>
    </row>
    <row r="2388" spans="8:10">
      <c r="H2388" s="88">
        <v>0.57497699999999996</v>
      </c>
      <c r="I2388" s="77">
        <v>0.96429275999999997</v>
      </c>
      <c r="J2388" s="15">
        <v>65.391000000000005</v>
      </c>
    </row>
    <row r="2389" spans="8:10">
      <c r="H2389" s="88">
        <v>0.57516750000000005</v>
      </c>
      <c r="I2389" s="77">
        <v>0.96429410000000004</v>
      </c>
      <c r="J2389" s="15">
        <v>65.391999999999996</v>
      </c>
    </row>
    <row r="2390" spans="8:10">
      <c r="H2390" s="88">
        <v>0.57535820000000004</v>
      </c>
      <c r="I2390" s="77">
        <v>0.96429545000000005</v>
      </c>
      <c r="J2390" s="15">
        <v>65.393000000000001</v>
      </c>
    </row>
    <row r="2391" spans="8:10">
      <c r="H2391" s="88">
        <v>0.57554919999999998</v>
      </c>
      <c r="I2391" s="77">
        <v>0.96429675999999998</v>
      </c>
      <c r="J2391" s="15">
        <v>65.394000000000005</v>
      </c>
    </row>
    <row r="2392" spans="8:10">
      <c r="H2392" s="88">
        <v>0.57574046000000001</v>
      </c>
      <c r="I2392" s="77">
        <v>0.96429810000000005</v>
      </c>
      <c r="J2392" s="15">
        <v>65.394999999999996</v>
      </c>
    </row>
    <row r="2393" spans="8:10">
      <c r="H2393" s="88">
        <v>0.57593196999999996</v>
      </c>
      <c r="I2393" s="77">
        <v>0.96429944000000001</v>
      </c>
      <c r="J2393" s="15">
        <v>65.396000000000001</v>
      </c>
    </row>
    <row r="2394" spans="8:10">
      <c r="H2394" s="88">
        <v>0.57612370000000002</v>
      </c>
      <c r="I2394" s="77">
        <v>0.96430079999999996</v>
      </c>
      <c r="J2394" s="15">
        <v>65.397000000000006</v>
      </c>
    </row>
    <row r="2395" spans="8:10">
      <c r="H2395" s="88">
        <v>0.57631575999999995</v>
      </c>
      <c r="I2395" s="77">
        <v>0.96430210000000005</v>
      </c>
      <c r="J2395" s="15">
        <v>65.397999999999996</v>
      </c>
    </row>
    <row r="2396" spans="8:10">
      <c r="H2396" s="88">
        <v>0.57650805000000005</v>
      </c>
      <c r="I2396" s="77">
        <v>0.96430349999999998</v>
      </c>
      <c r="J2396" s="15">
        <v>65.399000000000001</v>
      </c>
    </row>
    <row r="2397" spans="8:10">
      <c r="H2397" s="88">
        <v>0.57670056999999997</v>
      </c>
      <c r="I2397" s="77">
        <v>0.96430479999999996</v>
      </c>
      <c r="J2397" s="15">
        <v>65.400000000000006</v>
      </c>
    </row>
    <row r="2398" spans="8:10">
      <c r="H2398" s="88">
        <v>0.5768934</v>
      </c>
      <c r="I2398" s="77">
        <v>0.9643062</v>
      </c>
      <c r="J2398" s="15">
        <v>65.400999999999996</v>
      </c>
    </row>
    <row r="2399" spans="8:10">
      <c r="H2399" s="88">
        <v>0.57708645000000003</v>
      </c>
      <c r="I2399" s="77">
        <v>0.96430755000000001</v>
      </c>
      <c r="J2399" s="15">
        <v>65.402000000000001</v>
      </c>
    </row>
    <row r="2400" spans="8:10">
      <c r="H2400" s="88">
        <v>0.57727980000000001</v>
      </c>
      <c r="I2400" s="77">
        <v>0.96430886000000005</v>
      </c>
      <c r="J2400" s="15">
        <v>65.403000000000006</v>
      </c>
    </row>
    <row r="2401" spans="8:10">
      <c r="H2401" s="88">
        <v>0.57747340000000003</v>
      </c>
      <c r="I2401" s="77">
        <v>0.96431020000000001</v>
      </c>
      <c r="J2401" s="15">
        <v>65.403999999999996</v>
      </c>
    </row>
    <row r="2402" spans="8:10">
      <c r="H2402" s="88">
        <v>0.57766724000000003</v>
      </c>
      <c r="I2402" s="77">
        <v>0.96431153999999997</v>
      </c>
      <c r="J2402" s="15">
        <v>65.405000000000001</v>
      </c>
    </row>
    <row r="2403" spans="8:10">
      <c r="H2403" s="88">
        <v>0.57786137000000004</v>
      </c>
      <c r="I2403" s="77">
        <v>0.96431290000000003</v>
      </c>
      <c r="J2403" s="15">
        <v>65.406000000000006</v>
      </c>
    </row>
    <row r="2404" spans="8:10">
      <c r="H2404" s="88">
        <v>0.57805574000000004</v>
      </c>
      <c r="I2404" s="77">
        <v>0.96431429999999996</v>
      </c>
      <c r="J2404" s="15">
        <v>65.406999999999996</v>
      </c>
    </row>
    <row r="2405" spans="8:10">
      <c r="H2405" s="88">
        <v>0.57825040000000005</v>
      </c>
      <c r="I2405" s="77">
        <v>0.96431560000000005</v>
      </c>
      <c r="J2405" s="15">
        <v>65.408000000000001</v>
      </c>
    </row>
    <row r="2406" spans="8:10">
      <c r="H2406" s="88">
        <v>0.57844530000000005</v>
      </c>
      <c r="I2406" s="77">
        <v>0.96431696</v>
      </c>
      <c r="J2406" s="15">
        <v>65.409000000000006</v>
      </c>
    </row>
    <row r="2407" spans="8:10">
      <c r="H2407" s="88">
        <v>0.5786405</v>
      </c>
      <c r="I2407" s="77">
        <v>0.96431834000000005</v>
      </c>
      <c r="J2407" s="15">
        <v>65.41</v>
      </c>
    </row>
    <row r="2408" spans="8:10">
      <c r="H2408" s="88">
        <v>0.57883596000000004</v>
      </c>
      <c r="I2408" s="77">
        <v>0.96431964999999997</v>
      </c>
      <c r="J2408" s="15">
        <v>65.411000000000001</v>
      </c>
    </row>
    <row r="2409" spans="8:10">
      <c r="H2409" s="88">
        <v>0.57903165000000001</v>
      </c>
      <c r="I2409" s="77">
        <v>0.96432099999999998</v>
      </c>
      <c r="J2409" s="15">
        <v>65.412000000000006</v>
      </c>
    </row>
    <row r="2410" spans="8:10">
      <c r="H2410" s="88">
        <v>0.57922770000000001</v>
      </c>
      <c r="I2410" s="77">
        <v>0.96432240000000002</v>
      </c>
      <c r="J2410" s="15">
        <v>65.412999999999997</v>
      </c>
    </row>
    <row r="2411" spans="8:10">
      <c r="H2411" s="88">
        <v>0.57942389999999999</v>
      </c>
      <c r="I2411" s="77">
        <v>0.96432370000000001</v>
      </c>
      <c r="J2411" s="15">
        <v>65.414000000000001</v>
      </c>
    </row>
    <row r="2412" spans="8:10">
      <c r="H2412" s="88">
        <v>0.57962040000000004</v>
      </c>
      <c r="I2412" s="77">
        <v>0.96432510000000005</v>
      </c>
      <c r="J2412" s="15">
        <v>65.415000000000006</v>
      </c>
    </row>
    <row r="2413" spans="8:10">
      <c r="H2413" s="88">
        <v>0.57981724000000001</v>
      </c>
      <c r="I2413" s="77">
        <v>0.96432644000000001</v>
      </c>
      <c r="J2413" s="15">
        <v>65.415999999999997</v>
      </c>
    </row>
    <row r="2414" spans="8:10">
      <c r="H2414" s="88">
        <v>0.58001429999999998</v>
      </c>
      <c r="I2414" s="77">
        <v>0.96432779999999996</v>
      </c>
      <c r="J2414" s="15">
        <v>65.417000000000002</v>
      </c>
    </row>
    <row r="2415" spans="8:10">
      <c r="H2415" s="88">
        <v>0.58021164000000003</v>
      </c>
      <c r="I2415" s="77">
        <v>0.96432910000000005</v>
      </c>
      <c r="J2415" s="15">
        <v>65.418000000000006</v>
      </c>
    </row>
    <row r="2416" spans="8:10">
      <c r="H2416" s="88">
        <v>0.58040930000000002</v>
      </c>
      <c r="I2416" s="77">
        <v>0.96433049999999998</v>
      </c>
      <c r="J2416" s="15">
        <v>65.418999999999997</v>
      </c>
    </row>
    <row r="2417" spans="8:10">
      <c r="H2417" s="88">
        <v>0.58060719999999999</v>
      </c>
      <c r="I2417" s="77">
        <v>0.96433186999999998</v>
      </c>
      <c r="J2417" s="15">
        <v>65.42</v>
      </c>
    </row>
    <row r="2418" spans="8:10">
      <c r="H2418" s="88">
        <v>0.58080529999999997</v>
      </c>
      <c r="I2418" s="77">
        <v>0.96433323999999998</v>
      </c>
      <c r="J2418" s="15">
        <v>65.421000000000006</v>
      </c>
    </row>
    <row r="2419" spans="8:10">
      <c r="H2419" s="88">
        <v>0.58100370000000001</v>
      </c>
      <c r="I2419" s="77">
        <v>0.96433455000000001</v>
      </c>
      <c r="J2419" s="15">
        <v>65.421999999999997</v>
      </c>
    </row>
    <row r="2420" spans="8:10">
      <c r="H2420" s="88">
        <v>0.58120245000000004</v>
      </c>
      <c r="I2420" s="77">
        <v>0.96433590000000002</v>
      </c>
      <c r="J2420" s="15">
        <v>65.423000000000002</v>
      </c>
    </row>
    <row r="2421" spans="8:10">
      <c r="H2421" s="88">
        <v>0.58140146999999998</v>
      </c>
      <c r="I2421" s="77">
        <v>0.96433729999999995</v>
      </c>
      <c r="J2421" s="15">
        <v>65.424000000000007</v>
      </c>
    </row>
    <row r="2422" spans="8:10">
      <c r="H2422" s="88">
        <v>0.58160069999999997</v>
      </c>
      <c r="I2422" s="77">
        <v>0.96433866000000001</v>
      </c>
      <c r="J2422" s="15">
        <v>65.424999999999997</v>
      </c>
    </row>
    <row r="2423" spans="8:10">
      <c r="H2423" s="88">
        <v>0.58180030000000005</v>
      </c>
      <c r="I2423" s="77">
        <v>0.96434003000000001</v>
      </c>
      <c r="J2423" s="15">
        <v>65.426000000000002</v>
      </c>
    </row>
    <row r="2424" spans="8:10">
      <c r="H2424" s="88">
        <v>0.58200010000000002</v>
      </c>
      <c r="I2424" s="77">
        <v>0.96434134000000005</v>
      </c>
      <c r="J2424" s="15">
        <v>65.427000000000007</v>
      </c>
    </row>
    <row r="2425" spans="8:10">
      <c r="H2425" s="88">
        <v>0.58220017000000002</v>
      </c>
      <c r="I2425" s="77">
        <v>0.9643427</v>
      </c>
      <c r="J2425" s="15">
        <v>65.427999999999997</v>
      </c>
    </row>
    <row r="2426" spans="8:10">
      <c r="H2426" s="88">
        <v>0.58240055999999996</v>
      </c>
      <c r="I2426" s="77">
        <v>0.96434410000000004</v>
      </c>
      <c r="J2426" s="15">
        <v>65.429000000000002</v>
      </c>
    </row>
    <row r="2427" spans="8:10">
      <c r="H2427" s="88">
        <v>0.58260120000000004</v>
      </c>
      <c r="I2427" s="77">
        <v>0.96434545999999999</v>
      </c>
      <c r="J2427" s="15">
        <v>65.430000000000007</v>
      </c>
    </row>
    <row r="2428" spans="8:10">
      <c r="H2428" s="88">
        <v>0.58280220000000005</v>
      </c>
      <c r="I2428" s="77">
        <v>0.96434679999999995</v>
      </c>
      <c r="J2428" s="15">
        <v>65.430999999999997</v>
      </c>
    </row>
    <row r="2429" spans="8:10">
      <c r="H2429" s="88">
        <v>0.58300333999999998</v>
      </c>
      <c r="I2429" s="77">
        <v>0.96434819999999999</v>
      </c>
      <c r="J2429" s="15">
        <v>65.432000000000002</v>
      </c>
    </row>
    <row r="2430" spans="8:10">
      <c r="H2430" s="88">
        <v>0.58320486999999999</v>
      </c>
      <c r="I2430" s="77">
        <v>0.96434956999999999</v>
      </c>
      <c r="J2430" s="15">
        <v>65.433000000000007</v>
      </c>
    </row>
    <row r="2431" spans="8:10">
      <c r="H2431" s="88">
        <v>0.58340669999999994</v>
      </c>
      <c r="I2431" s="77">
        <v>0.96435093999999999</v>
      </c>
      <c r="J2431" s="15">
        <v>65.433999999999997</v>
      </c>
    </row>
    <row r="2432" spans="8:10">
      <c r="H2432" s="88">
        <v>0.58360875000000001</v>
      </c>
      <c r="I2432" s="77">
        <v>0.96435230000000005</v>
      </c>
      <c r="J2432" s="15">
        <v>65.435000000000002</v>
      </c>
    </row>
    <row r="2433" spans="8:10">
      <c r="H2433" s="88">
        <v>0.58381110000000003</v>
      </c>
      <c r="I2433" s="77">
        <v>0.96435369999999998</v>
      </c>
      <c r="J2433" s="15">
        <v>65.436000000000007</v>
      </c>
    </row>
    <row r="2434" spans="8:10">
      <c r="H2434" s="88">
        <v>0.58401369999999997</v>
      </c>
      <c r="I2434" s="77">
        <v>0.96435499999999996</v>
      </c>
      <c r="J2434" s="15">
        <v>65.436999999999998</v>
      </c>
    </row>
    <row r="2435" spans="8:10">
      <c r="H2435" s="88">
        <v>0.58421665</v>
      </c>
      <c r="I2435" s="77">
        <v>0.96435636000000002</v>
      </c>
      <c r="J2435" s="15">
        <v>65.438000000000002</v>
      </c>
    </row>
    <row r="2436" spans="8:10">
      <c r="H2436" s="88">
        <v>0.58441984999999996</v>
      </c>
      <c r="I2436" s="77">
        <v>0.96435773000000002</v>
      </c>
      <c r="J2436" s="15">
        <v>65.438999999999993</v>
      </c>
    </row>
    <row r="2437" spans="8:10">
      <c r="H2437" s="88">
        <v>0.58462334000000005</v>
      </c>
      <c r="I2437" s="77">
        <v>0.96435910000000002</v>
      </c>
      <c r="J2437" s="15">
        <v>65.44</v>
      </c>
    </row>
    <row r="2438" spans="8:10">
      <c r="H2438" s="88">
        <v>0.58482710000000004</v>
      </c>
      <c r="I2438" s="77">
        <v>0.96436049999999995</v>
      </c>
      <c r="J2438" s="15">
        <v>65.441000000000003</v>
      </c>
    </row>
    <row r="2439" spans="8:10">
      <c r="H2439" s="88">
        <v>0.58503119999999997</v>
      </c>
      <c r="I2439" s="77">
        <v>0.96436184999999996</v>
      </c>
      <c r="J2439" s="15">
        <v>65.441999999999993</v>
      </c>
    </row>
    <row r="2440" spans="8:10">
      <c r="H2440" s="88">
        <v>0.58523559999999997</v>
      </c>
      <c r="I2440" s="77">
        <v>0.96436319999999998</v>
      </c>
      <c r="J2440" s="15">
        <v>65.442999999999998</v>
      </c>
    </row>
    <row r="2441" spans="8:10">
      <c r="H2441" s="88">
        <v>0.58544019999999997</v>
      </c>
      <c r="I2441" s="77">
        <v>0.96436460000000002</v>
      </c>
      <c r="J2441" s="15">
        <v>65.444000000000003</v>
      </c>
    </row>
    <row r="2442" spans="8:10">
      <c r="H2442" s="88">
        <v>0.58564519999999998</v>
      </c>
      <c r="I2442" s="77">
        <v>0.96436595999999997</v>
      </c>
      <c r="J2442" s="15">
        <v>65.444999999999993</v>
      </c>
    </row>
    <row r="2443" spans="8:10">
      <c r="H2443" s="88">
        <v>0.58585039999999999</v>
      </c>
      <c r="I2443" s="77">
        <v>0.96436739999999999</v>
      </c>
      <c r="J2443" s="15">
        <v>65.445999999999998</v>
      </c>
    </row>
    <row r="2444" spans="8:10">
      <c r="H2444" s="88">
        <v>0.58605593</v>
      </c>
      <c r="I2444" s="77">
        <v>0.96436876000000005</v>
      </c>
      <c r="J2444" s="15">
        <v>65.447000000000003</v>
      </c>
    </row>
    <row r="2445" spans="8:10">
      <c r="H2445" s="88">
        <v>0.58626180000000006</v>
      </c>
      <c r="I2445" s="77">
        <v>0.96437013000000005</v>
      </c>
      <c r="J2445" s="15">
        <v>65.447999999999993</v>
      </c>
    </row>
    <row r="2446" spans="8:10">
      <c r="H2446" s="88">
        <v>0.58646790000000004</v>
      </c>
      <c r="I2446" s="77">
        <v>0.96437150000000005</v>
      </c>
      <c r="J2446" s="15">
        <v>65.448999999999998</v>
      </c>
    </row>
    <row r="2447" spans="8:10">
      <c r="H2447" s="88">
        <v>0.58667433000000002</v>
      </c>
      <c r="I2447" s="77">
        <v>0.96437289999999998</v>
      </c>
      <c r="J2447" s="15">
        <v>65.45</v>
      </c>
    </row>
    <row r="2448" spans="8:10">
      <c r="H2448" s="88">
        <v>0.58688103999999996</v>
      </c>
      <c r="I2448" s="77">
        <v>0.96437424000000005</v>
      </c>
      <c r="J2448" s="15">
        <v>65.450999999999993</v>
      </c>
    </row>
    <row r="2449" spans="8:10">
      <c r="H2449" s="88">
        <v>0.58708804999999997</v>
      </c>
      <c r="I2449" s="77">
        <v>0.9643756</v>
      </c>
      <c r="J2449" s="15">
        <v>65.451999999999998</v>
      </c>
    </row>
    <row r="2450" spans="8:10">
      <c r="H2450" s="88">
        <v>0.58729534999999999</v>
      </c>
      <c r="I2450" s="77">
        <v>0.96437700000000004</v>
      </c>
      <c r="J2450" s="15">
        <v>65.453000000000003</v>
      </c>
    </row>
    <row r="2451" spans="8:10">
      <c r="H2451" s="88">
        <v>0.58750296000000002</v>
      </c>
      <c r="I2451" s="77">
        <v>0.96437835999999999</v>
      </c>
      <c r="J2451" s="15">
        <v>65.453999999999994</v>
      </c>
    </row>
    <row r="2452" spans="8:10">
      <c r="H2452" s="88">
        <v>0.58771085999999995</v>
      </c>
      <c r="I2452" s="77">
        <v>0.96437969999999995</v>
      </c>
      <c r="J2452" s="15">
        <v>65.454999999999998</v>
      </c>
    </row>
    <row r="2453" spans="8:10">
      <c r="H2453" s="88">
        <v>0.58791906000000005</v>
      </c>
      <c r="I2453" s="77">
        <v>0.96438115999999996</v>
      </c>
      <c r="J2453" s="15">
        <v>65.456000000000003</v>
      </c>
    </row>
    <row r="2454" spans="8:10">
      <c r="H2454" s="88">
        <v>0.58812755000000005</v>
      </c>
      <c r="I2454" s="77">
        <v>0.96438250000000003</v>
      </c>
      <c r="J2454" s="15">
        <v>65.456999999999994</v>
      </c>
    </row>
    <row r="2455" spans="8:10">
      <c r="H2455" s="88">
        <v>0.58833634999999995</v>
      </c>
      <c r="I2455" s="77">
        <v>0.96438389999999996</v>
      </c>
      <c r="J2455" s="15">
        <v>65.457999999999998</v>
      </c>
    </row>
    <row r="2456" spans="8:10">
      <c r="H2456" s="88">
        <v>0.58854543999999998</v>
      </c>
      <c r="I2456" s="77">
        <v>0.9643853</v>
      </c>
      <c r="J2456" s="15">
        <v>65.459000000000003</v>
      </c>
    </row>
    <row r="2457" spans="8:10">
      <c r="H2457" s="88">
        <v>0.58875482999999995</v>
      </c>
      <c r="I2457" s="77">
        <v>0.96438663999999996</v>
      </c>
      <c r="J2457" s="15">
        <v>65.459999999999994</v>
      </c>
    </row>
    <row r="2458" spans="8:10">
      <c r="H2458" s="88">
        <v>0.5889645</v>
      </c>
      <c r="I2458" s="77">
        <v>0.96438809999999997</v>
      </c>
      <c r="J2458" s="15">
        <v>65.460999999999999</v>
      </c>
    </row>
    <row r="2459" spans="8:10">
      <c r="H2459" s="88">
        <v>0.58917456999999995</v>
      </c>
      <c r="I2459" s="77">
        <v>0.96438944000000004</v>
      </c>
      <c r="J2459" s="15">
        <v>65.462000000000003</v>
      </c>
    </row>
    <row r="2460" spans="8:10">
      <c r="H2460" s="88">
        <v>0.58938484999999996</v>
      </c>
      <c r="I2460" s="77">
        <v>0.96439079999999999</v>
      </c>
      <c r="J2460" s="15">
        <v>65.462999999999994</v>
      </c>
    </row>
    <row r="2461" spans="8:10">
      <c r="H2461" s="88">
        <v>0.58959550000000005</v>
      </c>
      <c r="I2461" s="77">
        <v>0.96439220000000003</v>
      </c>
      <c r="J2461" s="15">
        <v>65.463999999999999</v>
      </c>
    </row>
    <row r="2462" spans="8:10">
      <c r="H2462" s="88">
        <v>0.58980644000000004</v>
      </c>
      <c r="I2462" s="77">
        <v>0.96439359999999996</v>
      </c>
      <c r="J2462" s="15">
        <v>65.465000000000003</v>
      </c>
    </row>
    <row r="2463" spans="8:10">
      <c r="H2463" s="88">
        <v>0.59001760000000003</v>
      </c>
      <c r="I2463" s="77">
        <v>0.964395</v>
      </c>
      <c r="J2463" s="15">
        <v>65.465999999999994</v>
      </c>
    </row>
    <row r="2464" spans="8:10">
      <c r="H2464" s="88">
        <v>0.59022920000000001</v>
      </c>
      <c r="I2464" s="77">
        <v>0.96439635999999995</v>
      </c>
      <c r="J2464" s="15">
        <v>65.466999999999999</v>
      </c>
    </row>
    <row r="2465" spans="8:10">
      <c r="H2465" s="88">
        <v>0.59044105000000002</v>
      </c>
      <c r="I2465" s="77">
        <v>0.96439770000000002</v>
      </c>
      <c r="J2465" s="15">
        <v>65.468000000000004</v>
      </c>
    </row>
    <row r="2466" spans="8:10">
      <c r="H2466" s="88">
        <v>0.59065319999999999</v>
      </c>
      <c r="I2466" s="77">
        <v>0.96439916000000003</v>
      </c>
      <c r="J2466" s="15">
        <v>65.468999999999994</v>
      </c>
    </row>
    <row r="2467" spans="8:10">
      <c r="H2467" s="88">
        <v>0.59086570000000005</v>
      </c>
      <c r="I2467" s="77">
        <v>0.96440053000000003</v>
      </c>
      <c r="J2467" s="15">
        <v>65.47</v>
      </c>
    </row>
    <row r="2468" spans="8:10">
      <c r="H2468" s="88">
        <v>0.59107845999999997</v>
      </c>
      <c r="I2468" s="77">
        <v>0.96440190000000003</v>
      </c>
      <c r="J2468" s="15">
        <v>65.471000000000004</v>
      </c>
    </row>
    <row r="2469" spans="8:10">
      <c r="H2469" s="88">
        <v>0.59129155</v>
      </c>
      <c r="I2469" s="77">
        <v>0.96440333</v>
      </c>
      <c r="J2469" s="15">
        <v>65.471999999999994</v>
      </c>
    </row>
    <row r="2470" spans="8:10">
      <c r="H2470" s="88">
        <v>0.59150493000000004</v>
      </c>
      <c r="I2470" s="77">
        <v>0.9644047</v>
      </c>
      <c r="J2470" s="15">
        <v>65.472999999999999</v>
      </c>
    </row>
    <row r="2471" spans="8:10">
      <c r="H2471" s="88">
        <v>0.59171870000000004</v>
      </c>
      <c r="I2471" s="77">
        <v>0.96440612999999997</v>
      </c>
      <c r="J2471" s="15">
        <v>65.474000000000004</v>
      </c>
    </row>
    <row r="2472" spans="8:10">
      <c r="H2472" s="88">
        <v>0.59193269999999998</v>
      </c>
      <c r="I2472" s="77">
        <v>0.96440749999999997</v>
      </c>
      <c r="J2472" s="15">
        <v>65.474999999999994</v>
      </c>
    </row>
    <row r="2473" spans="8:10">
      <c r="H2473" s="88">
        <v>0.59214705000000001</v>
      </c>
      <c r="I2473" s="77">
        <v>0.96440890000000001</v>
      </c>
      <c r="J2473" s="15">
        <v>65.475999999999999</v>
      </c>
    </row>
    <row r="2474" spans="8:10">
      <c r="H2474" s="88">
        <v>0.59236169999999999</v>
      </c>
      <c r="I2474" s="77">
        <v>0.96441030000000005</v>
      </c>
      <c r="J2474" s="15">
        <v>65.477000000000004</v>
      </c>
    </row>
    <row r="2475" spans="8:10">
      <c r="H2475" s="88">
        <v>0.59257669999999996</v>
      </c>
      <c r="I2475" s="77">
        <v>0.96441169999999998</v>
      </c>
      <c r="J2475" s="15">
        <v>65.477999999999994</v>
      </c>
    </row>
    <row r="2476" spans="8:10">
      <c r="H2476" s="88">
        <v>0.59279199999999999</v>
      </c>
      <c r="I2476" s="77">
        <v>0.96441310000000002</v>
      </c>
      <c r="J2476" s="15">
        <v>65.478999999999999</v>
      </c>
    </row>
    <row r="2477" spans="8:10">
      <c r="H2477" s="88">
        <v>0.59300759999999997</v>
      </c>
      <c r="I2477" s="77">
        <v>0.96441449999999995</v>
      </c>
      <c r="J2477" s="15">
        <v>65.48</v>
      </c>
    </row>
    <row r="2478" spans="8:10">
      <c r="H2478" s="88">
        <v>0.59322359999999996</v>
      </c>
      <c r="I2478" s="77">
        <v>0.96441589999999999</v>
      </c>
      <c r="J2478" s="15">
        <v>65.480999999999995</v>
      </c>
    </row>
    <row r="2479" spans="8:10">
      <c r="H2479" s="88">
        <v>0.59343979999999996</v>
      </c>
      <c r="I2479" s="77">
        <v>0.96441730000000003</v>
      </c>
      <c r="J2479" s="15">
        <v>65.481999999999999</v>
      </c>
    </row>
    <row r="2480" spans="8:10">
      <c r="H2480" s="88">
        <v>0.59365635999999999</v>
      </c>
      <c r="I2480" s="77">
        <v>0.96441865000000004</v>
      </c>
      <c r="J2480" s="15">
        <v>65.483000000000004</v>
      </c>
    </row>
    <row r="2481" spans="8:10">
      <c r="H2481" s="88">
        <v>0.59387325999999996</v>
      </c>
      <c r="I2481" s="77">
        <v>0.9644201</v>
      </c>
      <c r="J2481" s="15">
        <v>65.483999999999995</v>
      </c>
    </row>
    <row r="2482" spans="8:10">
      <c r="H2482" s="88">
        <v>0.59409049999999997</v>
      </c>
      <c r="I2482" s="77">
        <v>0.96442145000000001</v>
      </c>
      <c r="J2482" s="15">
        <v>65.484999999999999</v>
      </c>
    </row>
    <row r="2483" spans="8:10">
      <c r="H2483" s="88">
        <v>0.59430810000000001</v>
      </c>
      <c r="I2483" s="77">
        <v>0.96442289999999997</v>
      </c>
      <c r="J2483" s="15">
        <v>65.486000000000004</v>
      </c>
    </row>
    <row r="2484" spans="8:10">
      <c r="H2484" s="88">
        <v>0.59452592999999998</v>
      </c>
      <c r="I2484" s="77">
        <v>0.96442430000000001</v>
      </c>
      <c r="J2484" s="15">
        <v>65.486999999999995</v>
      </c>
    </row>
    <row r="2485" spans="8:10">
      <c r="H2485" s="88">
        <v>0.59474415000000003</v>
      </c>
      <c r="I2485" s="77">
        <v>0.96442570000000005</v>
      </c>
      <c r="J2485" s="15">
        <v>65.488</v>
      </c>
    </row>
    <row r="2486" spans="8:10">
      <c r="H2486" s="88">
        <v>0.59496265999999998</v>
      </c>
      <c r="I2486" s="77">
        <v>0.96442709999999998</v>
      </c>
      <c r="J2486" s="15">
        <v>65.489000000000004</v>
      </c>
    </row>
    <row r="2487" spans="8:10">
      <c r="H2487" s="88">
        <v>0.59518150000000003</v>
      </c>
      <c r="I2487" s="77">
        <v>0.96442850000000002</v>
      </c>
      <c r="J2487" s="15">
        <v>65.489999999999995</v>
      </c>
    </row>
    <row r="2488" spans="8:10">
      <c r="H2488" s="88">
        <v>0.5954007</v>
      </c>
      <c r="I2488" s="77">
        <v>0.96442989999999995</v>
      </c>
      <c r="J2488" s="15">
        <v>65.491</v>
      </c>
    </row>
    <row r="2489" spans="8:10">
      <c r="H2489" s="88">
        <v>0.59562020000000004</v>
      </c>
      <c r="I2489" s="77">
        <v>0.96443129999999999</v>
      </c>
      <c r="J2489" s="15">
        <v>65.492000000000004</v>
      </c>
    </row>
    <row r="2490" spans="8:10">
      <c r="H2490" s="88">
        <v>0.59584004000000002</v>
      </c>
      <c r="I2490" s="77">
        <v>0.96443270000000003</v>
      </c>
      <c r="J2490" s="15">
        <v>65.492999999999995</v>
      </c>
    </row>
    <row r="2491" spans="8:10">
      <c r="H2491" s="88">
        <v>0.59606020000000004</v>
      </c>
      <c r="I2491" s="77">
        <v>0.96443414999999999</v>
      </c>
      <c r="J2491" s="15">
        <v>65.494</v>
      </c>
    </row>
    <row r="2492" spans="8:10">
      <c r="H2492" s="88">
        <v>0.5962807</v>
      </c>
      <c r="I2492" s="77">
        <v>0.9644355</v>
      </c>
      <c r="J2492" s="15">
        <v>65.495000000000005</v>
      </c>
    </row>
    <row r="2493" spans="8:10">
      <c r="H2493" s="88">
        <v>0.59650150000000002</v>
      </c>
      <c r="I2493" s="77">
        <v>0.96443694999999996</v>
      </c>
      <c r="J2493" s="15">
        <v>65.495999999999995</v>
      </c>
    </row>
    <row r="2494" spans="8:10">
      <c r="H2494" s="88">
        <v>0.59672265999999996</v>
      </c>
      <c r="I2494" s="77">
        <v>0.96443840000000003</v>
      </c>
      <c r="J2494" s="15">
        <v>65.497</v>
      </c>
    </row>
    <row r="2495" spans="8:10">
      <c r="H2495" s="88">
        <v>0.59694415000000001</v>
      </c>
      <c r="I2495" s="77">
        <v>0.96443975000000004</v>
      </c>
      <c r="J2495" s="15">
        <v>65.498000000000005</v>
      </c>
    </row>
    <row r="2496" spans="8:10">
      <c r="H2496" s="88">
        <v>0.59716599999999997</v>
      </c>
      <c r="I2496" s="77">
        <v>0.9644412</v>
      </c>
      <c r="J2496" s="15">
        <v>65.498999999999995</v>
      </c>
    </row>
    <row r="2497" spans="8:10">
      <c r="H2497" s="88">
        <v>0.59738815000000001</v>
      </c>
      <c r="I2497" s="77">
        <v>0.96444260000000004</v>
      </c>
      <c r="J2497" s="15">
        <v>65.5</v>
      </c>
    </row>
    <row r="2498" spans="8:10">
      <c r="H2498" s="88">
        <v>0.59761065000000002</v>
      </c>
      <c r="I2498" s="77">
        <v>0.96444399999999997</v>
      </c>
      <c r="J2498" s="15">
        <v>65.501000000000005</v>
      </c>
    </row>
    <row r="2499" spans="8:10">
      <c r="H2499" s="88">
        <v>0.59783350000000002</v>
      </c>
      <c r="I2499" s="77">
        <v>0.96444540000000001</v>
      </c>
      <c r="J2499" s="15">
        <v>65.501999999999995</v>
      </c>
    </row>
    <row r="2500" spans="8:10">
      <c r="H2500" s="88">
        <v>0.59805673000000004</v>
      </c>
      <c r="I2500" s="77">
        <v>0.96444684000000003</v>
      </c>
      <c r="J2500" s="15">
        <v>65.503</v>
      </c>
    </row>
    <row r="2501" spans="8:10">
      <c r="H2501" s="88">
        <v>0.59828024999999996</v>
      </c>
      <c r="I2501" s="77">
        <v>0.96444830000000004</v>
      </c>
      <c r="J2501" s="15">
        <v>65.504000000000005</v>
      </c>
    </row>
    <row r="2502" spans="8:10">
      <c r="H2502" s="88">
        <v>0.59850407000000005</v>
      </c>
      <c r="I2502" s="77">
        <v>0.96444964</v>
      </c>
      <c r="J2502" s="15">
        <v>65.504999999999995</v>
      </c>
    </row>
    <row r="2503" spans="8:10">
      <c r="H2503" s="88">
        <v>0.59872829999999999</v>
      </c>
      <c r="I2503" s="77">
        <v>0.96445110000000001</v>
      </c>
      <c r="J2503" s="15">
        <v>65.506</v>
      </c>
    </row>
    <row r="2504" spans="8:10">
      <c r="H2504" s="88">
        <v>0.59895282999999999</v>
      </c>
      <c r="I2504" s="77">
        <v>0.96445250000000005</v>
      </c>
      <c r="J2504" s="15">
        <v>65.507000000000005</v>
      </c>
    </row>
    <row r="2505" spans="8:10">
      <c r="H2505" s="88">
        <v>0.59917770000000004</v>
      </c>
      <c r="I2505" s="77">
        <v>0.96445393999999995</v>
      </c>
      <c r="J2505" s="15">
        <v>65.507999999999996</v>
      </c>
    </row>
    <row r="2506" spans="8:10">
      <c r="H2506" s="88">
        <v>0.59940296000000004</v>
      </c>
      <c r="I2506" s="77">
        <v>0.96445537000000003</v>
      </c>
      <c r="J2506" s="15">
        <v>65.509</v>
      </c>
    </row>
    <row r="2507" spans="8:10">
      <c r="H2507" s="88">
        <v>0.59962850000000001</v>
      </c>
      <c r="I2507" s="77">
        <v>0.96445674000000003</v>
      </c>
      <c r="J2507" s="15">
        <v>65.510000000000005</v>
      </c>
    </row>
    <row r="2508" spans="8:10">
      <c r="H2508" s="88">
        <v>0.59985447000000003</v>
      </c>
      <c r="I2508" s="77">
        <v>0.96445817</v>
      </c>
      <c r="J2508" s="15">
        <v>65.510999999999996</v>
      </c>
    </row>
    <row r="2509" spans="8:10">
      <c r="H2509" s="88">
        <v>0.60008070000000002</v>
      </c>
      <c r="I2509" s="77">
        <v>0.96445959999999997</v>
      </c>
      <c r="J2509" s="15">
        <v>65.512</v>
      </c>
    </row>
    <row r="2510" spans="8:10">
      <c r="H2510" s="88">
        <v>0.60030735000000002</v>
      </c>
      <c r="I2510" s="77">
        <v>0.96446100000000001</v>
      </c>
      <c r="J2510" s="15">
        <v>65.513000000000005</v>
      </c>
    </row>
    <row r="2511" spans="8:10">
      <c r="H2511" s="88">
        <v>0.60053425999999999</v>
      </c>
      <c r="I2511" s="77">
        <v>0.96446246000000002</v>
      </c>
      <c r="J2511" s="15">
        <v>65.513999999999996</v>
      </c>
    </row>
    <row r="2512" spans="8:10">
      <c r="H2512" s="88">
        <v>0.60076160000000001</v>
      </c>
      <c r="I2512" s="77">
        <v>0.96446390000000004</v>
      </c>
      <c r="J2512" s="15">
        <v>65.515000000000001</v>
      </c>
    </row>
    <row r="2513" spans="8:10">
      <c r="H2513" s="88">
        <v>0.60098929999999995</v>
      </c>
      <c r="I2513" s="77">
        <v>0.96446529999999997</v>
      </c>
      <c r="J2513" s="15">
        <v>65.516000000000005</v>
      </c>
    </row>
    <row r="2514" spans="8:10">
      <c r="H2514" s="88">
        <v>0.60121727000000003</v>
      </c>
      <c r="I2514" s="77">
        <v>0.96446675000000004</v>
      </c>
      <c r="J2514" s="15">
        <v>65.516999999999996</v>
      </c>
    </row>
    <row r="2515" spans="8:10">
      <c r="H2515" s="88">
        <v>0.60144569999999997</v>
      </c>
      <c r="I2515" s="77">
        <v>0.9644682</v>
      </c>
      <c r="J2515" s="15">
        <v>65.518000000000001</v>
      </c>
    </row>
    <row r="2516" spans="8:10">
      <c r="H2516" s="88">
        <v>0.60167440000000005</v>
      </c>
      <c r="I2516" s="77">
        <v>0.96446955000000001</v>
      </c>
      <c r="J2516" s="15">
        <v>65.519000000000005</v>
      </c>
    </row>
    <row r="2517" spans="8:10">
      <c r="H2517" s="88">
        <v>0.60190343999999996</v>
      </c>
      <c r="I2517" s="77">
        <v>0.96447099999999997</v>
      </c>
      <c r="J2517" s="15">
        <v>65.52</v>
      </c>
    </row>
    <row r="2518" spans="8:10">
      <c r="H2518" s="88">
        <v>0.60213285999999999</v>
      </c>
      <c r="I2518" s="77">
        <v>0.96447240000000001</v>
      </c>
      <c r="J2518" s="15">
        <v>65.521000000000001</v>
      </c>
    </row>
    <row r="2519" spans="8:10">
      <c r="H2519" s="88">
        <v>0.60236270000000003</v>
      </c>
      <c r="I2519" s="77">
        <v>0.96447384000000003</v>
      </c>
      <c r="J2519" s="15">
        <v>65.522000000000006</v>
      </c>
    </row>
    <row r="2520" spans="8:10">
      <c r="H2520" s="88">
        <v>0.60259280000000004</v>
      </c>
      <c r="I2520" s="77">
        <v>0.96447530000000004</v>
      </c>
      <c r="J2520" s="15">
        <v>65.522999999999996</v>
      </c>
    </row>
    <row r="2521" spans="8:10">
      <c r="H2521" s="88">
        <v>0.60282329999999995</v>
      </c>
      <c r="I2521" s="77">
        <v>0.96447669999999996</v>
      </c>
      <c r="J2521" s="15">
        <v>65.524000000000001</v>
      </c>
    </row>
    <row r="2522" spans="8:10">
      <c r="H2522" s="88">
        <v>0.60305416999999994</v>
      </c>
      <c r="I2522" s="77">
        <v>0.96447819999999995</v>
      </c>
      <c r="J2522" s="15">
        <v>65.525000000000006</v>
      </c>
    </row>
    <row r="2523" spans="8:10">
      <c r="H2523" s="88">
        <v>0.60328539999999997</v>
      </c>
      <c r="I2523" s="77">
        <v>0.96447959999999999</v>
      </c>
      <c r="J2523" s="15">
        <v>65.525999999999996</v>
      </c>
    </row>
    <row r="2524" spans="8:10">
      <c r="H2524" s="88">
        <v>0.60351699999999997</v>
      </c>
      <c r="I2524" s="77">
        <v>0.96448106</v>
      </c>
      <c r="J2524" s="15">
        <v>65.527000000000001</v>
      </c>
    </row>
    <row r="2525" spans="8:10">
      <c r="H2525" s="88">
        <v>0.60374890000000003</v>
      </c>
      <c r="I2525" s="77">
        <v>0.96448250000000002</v>
      </c>
      <c r="J2525" s="15">
        <v>65.528000000000006</v>
      </c>
    </row>
    <row r="2526" spans="8:10">
      <c r="H2526" s="88">
        <v>0.6039812</v>
      </c>
      <c r="I2526" s="77">
        <v>0.96448389999999995</v>
      </c>
      <c r="J2526" s="15">
        <v>65.528999999999996</v>
      </c>
    </row>
    <row r="2527" spans="8:10">
      <c r="H2527" s="88">
        <v>0.60421389999999997</v>
      </c>
      <c r="I2527" s="77">
        <v>0.96448535000000002</v>
      </c>
      <c r="J2527" s="15">
        <v>65.53</v>
      </c>
    </row>
    <row r="2528" spans="8:10">
      <c r="H2528" s="88">
        <v>0.60444695000000004</v>
      </c>
      <c r="I2528" s="77">
        <v>0.96448679999999998</v>
      </c>
      <c r="J2528" s="15">
        <v>65.531000000000006</v>
      </c>
    </row>
    <row r="2529" spans="8:10">
      <c r="H2529" s="88">
        <v>0.60468036000000003</v>
      </c>
      <c r="I2529" s="77">
        <v>0.96448820000000002</v>
      </c>
      <c r="J2529" s="15">
        <v>65.531999999999996</v>
      </c>
    </row>
    <row r="2530" spans="8:10">
      <c r="H2530" s="88">
        <v>0.60491410000000001</v>
      </c>
      <c r="I2530" s="77">
        <v>0.96448964000000004</v>
      </c>
      <c r="J2530" s="15">
        <v>65.533000000000001</v>
      </c>
    </row>
    <row r="2531" spans="8:10">
      <c r="H2531" s="88">
        <v>0.60514825999999999</v>
      </c>
      <c r="I2531" s="77">
        <v>0.96449107000000001</v>
      </c>
      <c r="J2531" s="15">
        <v>65.534000000000006</v>
      </c>
    </row>
    <row r="2532" spans="8:10">
      <c r="H2532" s="88">
        <v>0.60538274000000003</v>
      </c>
      <c r="I2532" s="77">
        <v>0.96449256000000005</v>
      </c>
      <c r="J2532" s="15">
        <v>65.534999999999997</v>
      </c>
    </row>
    <row r="2533" spans="8:10">
      <c r="H2533" s="88">
        <v>0.60561763999999996</v>
      </c>
      <c r="I2533" s="77">
        <v>0.96449399999999996</v>
      </c>
      <c r="J2533" s="15">
        <v>65.536000000000001</v>
      </c>
    </row>
    <row r="2534" spans="8:10">
      <c r="H2534" s="88">
        <v>0.60585283999999995</v>
      </c>
      <c r="I2534" s="77">
        <v>0.9644954</v>
      </c>
      <c r="J2534" s="15">
        <v>65.537000000000006</v>
      </c>
    </row>
    <row r="2535" spans="8:10">
      <c r="H2535" s="88">
        <v>0.60608846000000005</v>
      </c>
      <c r="I2535" s="77">
        <v>0.96449684999999996</v>
      </c>
      <c r="J2535" s="15">
        <v>65.537999999999997</v>
      </c>
    </row>
    <row r="2536" spans="8:10">
      <c r="H2536" s="88">
        <v>0.60632450000000004</v>
      </c>
      <c r="I2536" s="77">
        <v>0.96449834000000001</v>
      </c>
      <c r="J2536" s="15">
        <v>65.539000000000001</v>
      </c>
    </row>
    <row r="2537" spans="8:10">
      <c r="H2537" s="88">
        <v>0.60656080000000001</v>
      </c>
      <c r="I2537" s="77">
        <v>0.96449980000000002</v>
      </c>
      <c r="J2537" s="15">
        <v>65.540000000000006</v>
      </c>
    </row>
    <row r="2538" spans="8:10">
      <c r="H2538" s="88">
        <v>0.60679760000000005</v>
      </c>
      <c r="I2538" s="77">
        <v>0.96450119999999995</v>
      </c>
      <c r="J2538" s="15">
        <v>65.540999999999997</v>
      </c>
    </row>
    <row r="2539" spans="8:10">
      <c r="H2539" s="88">
        <v>0.60703470000000004</v>
      </c>
      <c r="I2539" s="77">
        <v>0.96450263000000003</v>
      </c>
      <c r="J2539" s="15">
        <v>65.542000000000002</v>
      </c>
    </row>
    <row r="2540" spans="8:10">
      <c r="H2540" s="88">
        <v>0.60727220000000004</v>
      </c>
      <c r="I2540" s="77">
        <v>0.96450409999999998</v>
      </c>
      <c r="J2540" s="15">
        <v>65.543000000000006</v>
      </c>
    </row>
    <row r="2541" spans="8:10">
      <c r="H2541" s="88">
        <v>0.60751010000000005</v>
      </c>
      <c r="I2541" s="77">
        <v>0.96450555000000004</v>
      </c>
      <c r="J2541" s="15">
        <v>65.543999999999997</v>
      </c>
    </row>
    <row r="2542" spans="8:10">
      <c r="H2542" s="88">
        <v>0.60774830000000002</v>
      </c>
      <c r="I2542" s="77">
        <v>0.964507</v>
      </c>
      <c r="J2542" s="15">
        <v>65.545000000000002</v>
      </c>
    </row>
    <row r="2543" spans="8:10">
      <c r="H2543" s="88">
        <v>0.60798700000000006</v>
      </c>
      <c r="I2543" s="77">
        <v>0.96450849999999999</v>
      </c>
      <c r="J2543" s="15">
        <v>65.546000000000006</v>
      </c>
    </row>
    <row r="2544" spans="8:10">
      <c r="H2544" s="88">
        <v>0.60822600000000004</v>
      </c>
      <c r="I2544" s="77">
        <v>0.96450990000000003</v>
      </c>
      <c r="J2544" s="15">
        <v>65.546999999999997</v>
      </c>
    </row>
    <row r="2545" spans="8:10">
      <c r="H2545" s="88">
        <v>0.60846540000000005</v>
      </c>
      <c r="I2545" s="77">
        <v>0.96451133</v>
      </c>
      <c r="J2545" s="15">
        <v>65.548000000000002</v>
      </c>
    </row>
    <row r="2546" spans="8:10">
      <c r="H2546" s="88">
        <v>0.60870515999999997</v>
      </c>
      <c r="I2546" s="77">
        <v>0.96451279999999995</v>
      </c>
      <c r="J2546" s="15">
        <v>65.549000000000007</v>
      </c>
    </row>
    <row r="2547" spans="8:10">
      <c r="H2547" s="88">
        <v>0.60894530000000002</v>
      </c>
      <c r="I2547" s="77">
        <v>0.96451425999999996</v>
      </c>
      <c r="J2547" s="15">
        <v>65.55</v>
      </c>
    </row>
    <row r="2548" spans="8:10">
      <c r="H2548" s="88">
        <v>0.60918589999999995</v>
      </c>
      <c r="I2548" s="77">
        <v>0.96451575000000001</v>
      </c>
      <c r="J2548" s="15">
        <v>65.551000000000002</v>
      </c>
    </row>
    <row r="2549" spans="8:10">
      <c r="H2549" s="88">
        <v>0.60942680000000005</v>
      </c>
      <c r="I2549" s="77">
        <v>0.96451719999999996</v>
      </c>
      <c r="J2549" s="15">
        <v>65.552000000000007</v>
      </c>
    </row>
    <row r="2550" spans="8:10">
      <c r="H2550" s="88">
        <v>0.60966814000000003</v>
      </c>
      <c r="I2550" s="77">
        <v>0.9645186</v>
      </c>
      <c r="J2550" s="15">
        <v>65.552999999999997</v>
      </c>
    </row>
    <row r="2551" spans="8:10">
      <c r="H2551" s="88">
        <v>0.60990982999999999</v>
      </c>
      <c r="I2551" s="77">
        <v>0.96452009999999999</v>
      </c>
      <c r="J2551" s="15">
        <v>65.554000000000002</v>
      </c>
    </row>
    <row r="2552" spans="8:10">
      <c r="H2552" s="88">
        <v>0.61015195</v>
      </c>
      <c r="I2552" s="77">
        <v>0.96452150000000003</v>
      </c>
      <c r="J2552" s="15">
        <v>65.555000000000007</v>
      </c>
    </row>
    <row r="2553" spans="8:10">
      <c r="H2553" s="88">
        <v>0.6103944</v>
      </c>
      <c r="I2553" s="77">
        <v>0.96452300000000002</v>
      </c>
      <c r="J2553" s="15">
        <v>65.555999999999997</v>
      </c>
    </row>
    <row r="2554" spans="8:10">
      <c r="H2554" s="88">
        <v>0.61063730000000005</v>
      </c>
      <c r="I2554" s="77">
        <v>0.96452444999999998</v>
      </c>
      <c r="J2554" s="15">
        <v>65.557000000000002</v>
      </c>
    </row>
    <row r="2555" spans="8:10">
      <c r="H2555" s="88">
        <v>0.6108806</v>
      </c>
      <c r="I2555" s="77">
        <v>0.96452594000000003</v>
      </c>
      <c r="J2555" s="15">
        <v>65.558000000000007</v>
      </c>
    </row>
    <row r="2556" spans="8:10">
      <c r="H2556" s="88">
        <v>0.61112429999999995</v>
      </c>
      <c r="I2556" s="77">
        <v>0.96452737</v>
      </c>
      <c r="J2556" s="15">
        <v>65.558999999999997</v>
      </c>
    </row>
    <row r="2557" spans="8:10">
      <c r="H2557" s="88">
        <v>0.61136836000000006</v>
      </c>
      <c r="I2557" s="77">
        <v>0.96452886000000004</v>
      </c>
      <c r="J2557" s="15">
        <v>65.56</v>
      </c>
    </row>
    <row r="2558" spans="8:10">
      <c r="H2558" s="88">
        <v>0.61161279999999996</v>
      </c>
      <c r="I2558" s="77">
        <v>0.96453029999999995</v>
      </c>
      <c r="J2558" s="15">
        <v>65.561000000000007</v>
      </c>
    </row>
    <row r="2559" spans="8:10">
      <c r="H2559" s="88">
        <v>0.61185765000000003</v>
      </c>
      <c r="I2559" s="77">
        <v>0.96453180000000005</v>
      </c>
      <c r="J2559" s="15">
        <v>65.561999999999998</v>
      </c>
    </row>
    <row r="2560" spans="8:10">
      <c r="H2560" s="88">
        <v>0.61210290000000001</v>
      </c>
      <c r="I2560" s="77">
        <v>0.96453327</v>
      </c>
      <c r="J2560" s="15">
        <v>65.563000000000002</v>
      </c>
    </row>
    <row r="2561" spans="8:10">
      <c r="H2561" s="88">
        <v>0.61234860000000002</v>
      </c>
      <c r="I2561" s="77">
        <v>0.96453469999999997</v>
      </c>
      <c r="J2561" s="15">
        <v>65.563999999999993</v>
      </c>
    </row>
    <row r="2562" spans="8:10">
      <c r="H2562" s="88">
        <v>0.61259465999999996</v>
      </c>
      <c r="I2562" s="77">
        <v>0.96453619999999995</v>
      </c>
      <c r="J2562" s="15">
        <v>65.564999999999998</v>
      </c>
    </row>
    <row r="2563" spans="8:10">
      <c r="H2563" s="88">
        <v>0.61284110000000003</v>
      </c>
      <c r="I2563" s="77">
        <v>0.96453770000000005</v>
      </c>
      <c r="J2563" s="15">
        <v>65.566000000000003</v>
      </c>
    </row>
    <row r="2564" spans="8:10">
      <c r="H2564" s="88">
        <v>0.61308799999999997</v>
      </c>
      <c r="I2564" s="77">
        <v>0.96453909999999998</v>
      </c>
      <c r="J2564" s="15">
        <v>65.566999999999993</v>
      </c>
    </row>
    <row r="2565" spans="8:10">
      <c r="H2565" s="88">
        <v>0.61333525</v>
      </c>
      <c r="I2565" s="77">
        <v>0.96454059999999997</v>
      </c>
      <c r="J2565" s="15">
        <v>65.567999999999998</v>
      </c>
    </row>
    <row r="2566" spans="8:10">
      <c r="H2566" s="88">
        <v>0.61358290000000004</v>
      </c>
      <c r="I2566" s="77">
        <v>0.96454209999999996</v>
      </c>
      <c r="J2566" s="15">
        <v>65.569000000000003</v>
      </c>
    </row>
    <row r="2567" spans="8:10">
      <c r="H2567" s="88">
        <v>0.61383103999999999</v>
      </c>
      <c r="I2567" s="77">
        <v>0.9645435</v>
      </c>
      <c r="J2567" s="15">
        <v>65.569999999999993</v>
      </c>
    </row>
    <row r="2568" spans="8:10">
      <c r="H2568" s="88">
        <v>0.61407953999999998</v>
      </c>
      <c r="I2568" s="77">
        <v>0.96454499999999999</v>
      </c>
      <c r="J2568" s="15">
        <v>65.570999999999998</v>
      </c>
    </row>
    <row r="2569" spans="8:10">
      <c r="H2569" s="88">
        <v>0.6143284</v>
      </c>
      <c r="I2569" s="77">
        <v>0.96454649999999997</v>
      </c>
      <c r="J2569" s="15">
        <v>65.572000000000003</v>
      </c>
    </row>
    <row r="2570" spans="8:10">
      <c r="H2570" s="88">
        <v>0.6145777</v>
      </c>
      <c r="I2570" s="77">
        <v>0.96454799999999996</v>
      </c>
      <c r="J2570" s="15">
        <v>65.572999999999993</v>
      </c>
    </row>
    <row r="2571" spans="8:10">
      <c r="H2571" s="88">
        <v>0.61482745000000005</v>
      </c>
      <c r="I2571" s="77">
        <v>0.9645494</v>
      </c>
      <c r="J2571" s="15">
        <v>65.573999999999998</v>
      </c>
    </row>
    <row r="2572" spans="8:10">
      <c r="H2572" s="88">
        <v>0.61507756000000002</v>
      </c>
      <c r="I2572" s="77">
        <v>0.96455089999999999</v>
      </c>
      <c r="J2572" s="15">
        <v>65.575000000000003</v>
      </c>
    </row>
    <row r="2573" spans="8:10">
      <c r="H2573" s="88">
        <v>0.61532812999999997</v>
      </c>
      <c r="I2573" s="77">
        <v>0.96455239999999998</v>
      </c>
      <c r="J2573" s="15">
        <v>65.575999999999993</v>
      </c>
    </row>
    <row r="2574" spans="8:10">
      <c r="H2574" s="88">
        <v>0.61557907000000001</v>
      </c>
      <c r="I2574" s="77">
        <v>0.96455389999999996</v>
      </c>
      <c r="J2574" s="15">
        <v>65.576999999999998</v>
      </c>
    </row>
    <row r="2575" spans="8:10">
      <c r="H2575" s="88">
        <v>0.61583049999999995</v>
      </c>
      <c r="I2575" s="77">
        <v>0.96455539999999995</v>
      </c>
      <c r="J2575" s="15">
        <v>65.578000000000003</v>
      </c>
    </row>
    <row r="2576" spans="8:10">
      <c r="H2576" s="88">
        <v>0.61608225000000005</v>
      </c>
      <c r="I2576" s="77">
        <v>0.96455679999999999</v>
      </c>
      <c r="J2576" s="15">
        <v>65.578999999999994</v>
      </c>
    </row>
    <row r="2577" spans="8:10">
      <c r="H2577" s="88">
        <v>0.61633444000000004</v>
      </c>
      <c r="I2577" s="77">
        <v>0.96455829999999998</v>
      </c>
      <c r="J2577" s="15">
        <v>65.58</v>
      </c>
    </row>
    <row r="2578" spans="8:10">
      <c r="H2578" s="88">
        <v>0.61658710000000005</v>
      </c>
      <c r="I2578" s="77">
        <v>0.96455979999999997</v>
      </c>
      <c r="J2578" s="15">
        <v>65.581000000000003</v>
      </c>
    </row>
    <row r="2579" spans="8:10">
      <c r="H2579" s="88">
        <v>0.6168401</v>
      </c>
      <c r="I2579" s="77">
        <v>0.96456129999999995</v>
      </c>
      <c r="J2579" s="15">
        <v>65.581999999999994</v>
      </c>
    </row>
    <row r="2580" spans="8:10">
      <c r="H2580" s="88">
        <v>0.61709360000000002</v>
      </c>
      <c r="I2580" s="77">
        <v>0.96456280000000005</v>
      </c>
      <c r="J2580" s="15">
        <v>65.582999999999998</v>
      </c>
    </row>
    <row r="2581" spans="8:10">
      <c r="H2581" s="88">
        <v>0.61734754000000003</v>
      </c>
      <c r="I2581" s="77">
        <v>0.96456425999999995</v>
      </c>
      <c r="J2581" s="15">
        <v>65.584000000000003</v>
      </c>
    </row>
    <row r="2582" spans="8:10">
      <c r="H2582" s="88">
        <v>0.61760179999999998</v>
      </c>
      <c r="I2582" s="77">
        <v>0.96456575</v>
      </c>
      <c r="J2582" s="15">
        <v>65.584999999999994</v>
      </c>
    </row>
    <row r="2583" spans="8:10">
      <c r="H2583" s="88">
        <v>0.61785656</v>
      </c>
      <c r="I2583" s="77">
        <v>0.96456724000000005</v>
      </c>
      <c r="J2583" s="15">
        <v>65.585999999999999</v>
      </c>
    </row>
    <row r="2584" spans="8:10">
      <c r="H2584" s="88">
        <v>0.61811179999999999</v>
      </c>
      <c r="I2584" s="77">
        <v>0.96456872999999999</v>
      </c>
      <c r="J2584" s="15">
        <v>65.587000000000003</v>
      </c>
    </row>
    <row r="2585" spans="8:10">
      <c r="H2585" s="88">
        <v>0.61836740000000001</v>
      </c>
      <c r="I2585" s="77">
        <v>0.96457020000000004</v>
      </c>
      <c r="J2585" s="15">
        <v>65.587999999999994</v>
      </c>
    </row>
    <row r="2586" spans="8:10">
      <c r="H2586" s="88">
        <v>0.61862340000000005</v>
      </c>
      <c r="I2586" s="77">
        <v>0.96457170000000003</v>
      </c>
      <c r="J2586" s="15">
        <v>65.588999999999999</v>
      </c>
    </row>
    <row r="2587" spans="8:10">
      <c r="H2587" s="88">
        <v>0.61887985000000001</v>
      </c>
      <c r="I2587" s="77">
        <v>0.96457320000000002</v>
      </c>
      <c r="J2587" s="15">
        <v>65.59</v>
      </c>
    </row>
    <row r="2588" spans="8:10">
      <c r="H2588" s="88">
        <v>0.61913675000000001</v>
      </c>
      <c r="I2588" s="77">
        <v>0.96457470000000001</v>
      </c>
      <c r="J2588" s="15">
        <v>65.590999999999994</v>
      </c>
    </row>
    <row r="2589" spans="8:10">
      <c r="H2589" s="88">
        <v>0.61939405999999997</v>
      </c>
      <c r="I2589" s="77">
        <v>0.96457619999999999</v>
      </c>
      <c r="J2589" s="15">
        <v>65.591999999999999</v>
      </c>
    </row>
    <row r="2590" spans="8:10">
      <c r="H2590" s="88">
        <v>0.61965179999999997</v>
      </c>
      <c r="I2590" s="77">
        <v>0.96457769999999998</v>
      </c>
      <c r="J2590" s="15">
        <v>65.593000000000004</v>
      </c>
    </row>
    <row r="2591" spans="8:10">
      <c r="H2591" s="88">
        <v>0.61990999999999996</v>
      </c>
      <c r="I2591" s="77">
        <v>0.96457915999999999</v>
      </c>
      <c r="J2591" s="15">
        <v>65.593999999999994</v>
      </c>
    </row>
    <row r="2592" spans="8:10">
      <c r="H2592" s="88">
        <v>0.62016859999999996</v>
      </c>
      <c r="I2592" s="77">
        <v>0.96458065999999998</v>
      </c>
      <c r="J2592" s="15">
        <v>65.594999999999999</v>
      </c>
    </row>
    <row r="2593" spans="8:10">
      <c r="H2593" s="88">
        <v>0.62042770000000003</v>
      </c>
      <c r="I2593" s="77">
        <v>0.96458219999999995</v>
      </c>
      <c r="J2593" s="15">
        <v>65.596000000000004</v>
      </c>
    </row>
    <row r="2594" spans="8:10">
      <c r="H2594" s="88">
        <v>0.62068719999999999</v>
      </c>
      <c r="I2594" s="77">
        <v>0.96458370000000004</v>
      </c>
      <c r="J2594" s="15">
        <v>65.596999999999994</v>
      </c>
    </row>
    <row r="2595" spans="8:10">
      <c r="H2595" s="88">
        <v>0.62094720000000003</v>
      </c>
      <c r="I2595" s="77">
        <v>0.96458520000000003</v>
      </c>
      <c r="J2595" s="15">
        <v>65.597999999999999</v>
      </c>
    </row>
    <row r="2596" spans="8:10">
      <c r="H2596" s="88">
        <v>0.62120754</v>
      </c>
      <c r="I2596" s="77">
        <v>0.96458670000000002</v>
      </c>
      <c r="J2596" s="15">
        <v>65.599000000000004</v>
      </c>
    </row>
    <row r="2597" spans="8:10">
      <c r="H2597" s="88">
        <v>0.62146836999999999</v>
      </c>
      <c r="I2597" s="77">
        <v>0.96458816999999997</v>
      </c>
      <c r="J2597" s="15">
        <v>65.599999999999994</v>
      </c>
    </row>
    <row r="2598" spans="8:10">
      <c r="H2598" s="88">
        <v>0.62172970000000005</v>
      </c>
      <c r="I2598" s="77">
        <v>0.96458969999999999</v>
      </c>
      <c r="J2598" s="15">
        <v>65.600999999999999</v>
      </c>
    </row>
    <row r="2599" spans="8:10">
      <c r="H2599" s="88">
        <v>0.62199139999999997</v>
      </c>
      <c r="I2599" s="77">
        <v>0.96459119999999998</v>
      </c>
      <c r="J2599" s="15">
        <v>65.602000000000004</v>
      </c>
    </row>
    <row r="2600" spans="8:10">
      <c r="H2600" s="88">
        <v>0.62225353999999999</v>
      </c>
      <c r="I2600" s="77">
        <v>0.96459269999999997</v>
      </c>
      <c r="J2600" s="15">
        <v>65.602999999999994</v>
      </c>
    </row>
    <row r="2601" spans="8:10">
      <c r="H2601" s="88">
        <v>0.62251615999999999</v>
      </c>
      <c r="I2601" s="77">
        <v>0.96459419999999996</v>
      </c>
      <c r="J2601" s="15">
        <v>65.603999999999999</v>
      </c>
    </row>
    <row r="2602" spans="8:10">
      <c r="H2602" s="88">
        <v>0.62277919999999998</v>
      </c>
      <c r="I2602" s="77">
        <v>0.96459574000000003</v>
      </c>
      <c r="J2602" s="15">
        <v>65.605000000000004</v>
      </c>
    </row>
    <row r="2603" spans="8:10">
      <c r="H2603" s="88">
        <v>0.62304269999999995</v>
      </c>
      <c r="I2603" s="77">
        <v>0.96459720000000004</v>
      </c>
      <c r="J2603" s="15">
        <v>65.605999999999995</v>
      </c>
    </row>
    <row r="2604" spans="8:10">
      <c r="H2604" s="88">
        <v>0.62330669999999999</v>
      </c>
      <c r="I2604" s="77">
        <v>0.96459870000000003</v>
      </c>
      <c r="J2604" s="15">
        <v>65.606999999999999</v>
      </c>
    </row>
    <row r="2605" spans="8:10">
      <c r="H2605" s="88">
        <v>0.62357110000000004</v>
      </c>
      <c r="I2605" s="77">
        <v>0.96460027000000004</v>
      </c>
      <c r="J2605" s="15">
        <v>65.608000000000004</v>
      </c>
    </row>
    <row r="2606" spans="8:10">
      <c r="H2606" s="88">
        <v>0.62383599999999995</v>
      </c>
      <c r="I2606" s="77">
        <v>0.96460175999999997</v>
      </c>
      <c r="J2606" s="15">
        <v>65.608999999999995</v>
      </c>
    </row>
    <row r="2607" spans="8:10">
      <c r="H2607" s="88">
        <v>0.62410129999999997</v>
      </c>
      <c r="I2607" s="77">
        <v>0.96460325000000002</v>
      </c>
      <c r="J2607" s="15">
        <v>65.61</v>
      </c>
    </row>
    <row r="2608" spans="8:10">
      <c r="H2608" s="88">
        <v>0.62436705999999997</v>
      </c>
      <c r="I2608" s="77">
        <v>0.96460480000000004</v>
      </c>
      <c r="J2608" s="15">
        <v>65.611000000000004</v>
      </c>
    </row>
    <row r="2609" spans="8:10">
      <c r="H2609" s="88">
        <v>0.62463329999999995</v>
      </c>
      <c r="I2609" s="77">
        <v>0.96460630000000003</v>
      </c>
      <c r="J2609" s="15">
        <v>65.611999999999995</v>
      </c>
    </row>
    <row r="2610" spans="8:10">
      <c r="H2610" s="88">
        <v>0.62490003999999999</v>
      </c>
      <c r="I2610" s="77">
        <v>0.96460783000000005</v>
      </c>
      <c r="J2610" s="15">
        <v>65.613</v>
      </c>
    </row>
    <row r="2611" spans="8:10">
      <c r="H2611" s="88">
        <v>0.62516720000000003</v>
      </c>
      <c r="I2611" s="77">
        <v>0.9646093</v>
      </c>
      <c r="J2611" s="15">
        <v>65.614000000000004</v>
      </c>
    </row>
    <row r="2612" spans="8:10">
      <c r="H2612" s="88">
        <v>0.62543479999999996</v>
      </c>
      <c r="I2612" s="77">
        <v>0.96461090000000005</v>
      </c>
      <c r="J2612" s="15">
        <v>65.614999999999995</v>
      </c>
    </row>
    <row r="2613" spans="8:10">
      <c r="H2613" s="88">
        <v>0.62570289999999995</v>
      </c>
      <c r="I2613" s="77">
        <v>0.96461235999999995</v>
      </c>
      <c r="J2613" s="15">
        <v>65.616</v>
      </c>
    </row>
    <row r="2614" spans="8:10">
      <c r="H2614" s="88">
        <v>0.62597144000000005</v>
      </c>
      <c r="I2614" s="77">
        <v>0.96461390000000002</v>
      </c>
      <c r="J2614" s="15">
        <v>65.617000000000004</v>
      </c>
    </row>
    <row r="2615" spans="8:10">
      <c r="H2615" s="88">
        <v>0.62624042999999996</v>
      </c>
      <c r="I2615" s="77">
        <v>0.96461540000000001</v>
      </c>
      <c r="J2615" s="15">
        <v>65.617999999999995</v>
      </c>
    </row>
    <row r="2616" spans="8:10">
      <c r="H2616" s="88">
        <v>0.62650996000000003</v>
      </c>
      <c r="I2616" s="77">
        <v>0.96461695000000003</v>
      </c>
      <c r="J2616" s="15">
        <v>65.619</v>
      </c>
    </row>
    <row r="2617" spans="8:10">
      <c r="H2617" s="88">
        <v>0.62677989999999995</v>
      </c>
      <c r="I2617" s="77">
        <v>0.96461843999999997</v>
      </c>
      <c r="J2617" s="15">
        <v>65.62</v>
      </c>
    </row>
    <row r="2618" spans="8:10">
      <c r="H2618" s="88">
        <v>0.62705034000000004</v>
      </c>
      <c r="I2618" s="77">
        <v>0.96462000000000003</v>
      </c>
      <c r="J2618" s="15">
        <v>65.620999999999995</v>
      </c>
    </row>
    <row r="2619" spans="8:10">
      <c r="H2619" s="88">
        <v>0.62732124</v>
      </c>
      <c r="I2619" s="77">
        <v>0.96462154</v>
      </c>
      <c r="J2619" s="15">
        <v>65.622</v>
      </c>
    </row>
    <row r="2620" spans="8:10">
      <c r="H2620" s="88">
        <v>0.62759255999999997</v>
      </c>
      <c r="I2620" s="77">
        <v>0.96462303000000005</v>
      </c>
      <c r="J2620" s="15">
        <v>65.623000000000005</v>
      </c>
    </row>
    <row r="2621" spans="8:10">
      <c r="H2621" s="88">
        <v>0.62786439999999999</v>
      </c>
      <c r="I2621" s="77">
        <v>0.96462460000000005</v>
      </c>
      <c r="J2621" s="15">
        <v>65.623999999999995</v>
      </c>
    </row>
    <row r="2622" spans="8:10">
      <c r="H2622" s="88">
        <v>0.62813675000000002</v>
      </c>
      <c r="I2622" s="77">
        <v>0.96462612999999997</v>
      </c>
      <c r="J2622" s="15">
        <v>65.625</v>
      </c>
    </row>
    <row r="2623" spans="8:10">
      <c r="H2623" s="88">
        <v>0.62840956000000003</v>
      </c>
      <c r="I2623" s="77">
        <v>0.96462760000000003</v>
      </c>
      <c r="J2623" s="15">
        <v>65.626000000000005</v>
      </c>
    </row>
    <row r="2624" spans="8:10">
      <c r="H2624" s="88">
        <v>0.62868279999999999</v>
      </c>
      <c r="I2624" s="77">
        <v>0.96462919999999996</v>
      </c>
      <c r="J2624" s="15">
        <v>65.626999999999995</v>
      </c>
    </row>
    <row r="2625" spans="8:10">
      <c r="H2625" s="88">
        <v>0.62895656</v>
      </c>
      <c r="I2625" s="77">
        <v>0.96463069999999995</v>
      </c>
      <c r="J2625" s="15">
        <v>65.628</v>
      </c>
    </row>
    <row r="2626" spans="8:10">
      <c r="H2626" s="88">
        <v>0.62923079999999998</v>
      </c>
      <c r="I2626" s="77">
        <v>0.96463220000000005</v>
      </c>
      <c r="J2626" s="15">
        <v>65.629000000000005</v>
      </c>
    </row>
    <row r="2627" spans="8:10">
      <c r="H2627" s="88">
        <v>0.62950550000000005</v>
      </c>
      <c r="I2627" s="77">
        <v>0.96463376000000001</v>
      </c>
      <c r="J2627" s="15">
        <v>65.63</v>
      </c>
    </row>
    <row r="2628" spans="8:10">
      <c r="H2628" s="88">
        <v>0.62978069999999997</v>
      </c>
      <c r="I2628" s="77">
        <v>0.96463529999999997</v>
      </c>
      <c r="J2628" s="15">
        <v>65.631</v>
      </c>
    </row>
    <row r="2629" spans="8:10">
      <c r="H2629" s="88">
        <v>0.63005639999999996</v>
      </c>
      <c r="I2629" s="77">
        <v>0.96463686000000004</v>
      </c>
      <c r="J2629" s="15">
        <v>65.632000000000005</v>
      </c>
    </row>
    <row r="2630" spans="8:10">
      <c r="H2630" s="88">
        <v>0.63033260000000002</v>
      </c>
      <c r="I2630" s="77">
        <v>0.96463840000000001</v>
      </c>
      <c r="J2630" s="15">
        <v>65.632999999999996</v>
      </c>
    </row>
    <row r="2631" spans="8:10">
      <c r="H2631" s="88">
        <v>0.63060919999999998</v>
      </c>
      <c r="I2631" s="77">
        <v>0.96463989999999999</v>
      </c>
      <c r="J2631" s="15">
        <v>65.634</v>
      </c>
    </row>
    <row r="2632" spans="8:10">
      <c r="H2632" s="88">
        <v>0.63088639999999996</v>
      </c>
      <c r="I2632" s="77">
        <v>0.96464145000000001</v>
      </c>
      <c r="J2632" s="15">
        <v>65.635000000000005</v>
      </c>
    </row>
    <row r="2633" spans="8:10">
      <c r="H2633" s="88">
        <v>0.63116399999999995</v>
      </c>
      <c r="I2633" s="77">
        <v>0.96464300000000003</v>
      </c>
      <c r="J2633" s="15">
        <v>65.635999999999996</v>
      </c>
    </row>
    <row r="2634" spans="8:10">
      <c r="H2634" s="88">
        <v>0.63144219999999995</v>
      </c>
      <c r="I2634" s="77">
        <v>0.96464455000000005</v>
      </c>
      <c r="J2634" s="15">
        <v>65.637</v>
      </c>
    </row>
    <row r="2635" spans="8:10">
      <c r="H2635" s="88">
        <v>0.63172079999999997</v>
      </c>
      <c r="I2635" s="77">
        <v>0.96464609999999995</v>
      </c>
      <c r="J2635" s="15">
        <v>65.638000000000005</v>
      </c>
    </row>
    <row r="2636" spans="8:10">
      <c r="H2636" s="88">
        <v>0.63199989999999995</v>
      </c>
      <c r="I2636" s="77">
        <v>0.96464764999999997</v>
      </c>
      <c r="J2636" s="15">
        <v>65.638999999999996</v>
      </c>
    </row>
    <row r="2637" spans="8:10">
      <c r="H2637" s="88">
        <v>0.63227960000000005</v>
      </c>
      <c r="I2637" s="77">
        <v>0.96464919999999998</v>
      </c>
      <c r="J2637" s="15">
        <v>65.64</v>
      </c>
    </row>
    <row r="2638" spans="8:10">
      <c r="H2638" s="88">
        <v>0.63255965999999997</v>
      </c>
      <c r="I2638" s="77">
        <v>0.96465075</v>
      </c>
      <c r="J2638" s="15">
        <v>65.641000000000005</v>
      </c>
    </row>
    <row r="2639" spans="8:10">
      <c r="H2639" s="88">
        <v>0.63284030000000002</v>
      </c>
      <c r="I2639" s="77">
        <v>0.96465230000000002</v>
      </c>
      <c r="J2639" s="15">
        <v>65.641999999999996</v>
      </c>
    </row>
    <row r="2640" spans="8:10">
      <c r="H2640" s="88">
        <v>0.63312142999999999</v>
      </c>
      <c r="I2640" s="77">
        <v>0.96465385000000003</v>
      </c>
      <c r="J2640" s="15">
        <v>65.643000000000001</v>
      </c>
    </row>
    <row r="2641" spans="8:10">
      <c r="H2641" s="88">
        <v>0.63340300000000005</v>
      </c>
      <c r="I2641" s="77">
        <v>0.96465540000000005</v>
      </c>
      <c r="J2641" s="15">
        <v>65.644000000000005</v>
      </c>
    </row>
    <row r="2642" spans="8:10">
      <c r="H2642" s="88">
        <v>0.63368519999999995</v>
      </c>
      <c r="I2642" s="77">
        <v>0.96465694999999996</v>
      </c>
      <c r="J2642" s="15">
        <v>65.644999999999996</v>
      </c>
    </row>
    <row r="2643" spans="8:10">
      <c r="H2643" s="88">
        <v>0.63396779999999997</v>
      </c>
      <c r="I2643" s="77">
        <v>0.96465849999999997</v>
      </c>
      <c r="J2643" s="15">
        <v>65.646000000000001</v>
      </c>
    </row>
    <row r="2644" spans="8:10">
      <c r="H2644" s="88">
        <v>0.63425094000000004</v>
      </c>
      <c r="I2644" s="77">
        <v>0.96466004999999999</v>
      </c>
      <c r="J2644" s="15">
        <v>65.647000000000006</v>
      </c>
    </row>
    <row r="2645" spans="8:10">
      <c r="H2645" s="88">
        <v>0.63453459999999995</v>
      </c>
      <c r="I2645" s="77">
        <v>0.96466165999999998</v>
      </c>
      <c r="J2645" s="15">
        <v>65.647999999999996</v>
      </c>
    </row>
    <row r="2646" spans="8:10">
      <c r="H2646" s="88">
        <v>0.63481873</v>
      </c>
      <c r="I2646" s="77">
        <v>0.96466320000000005</v>
      </c>
      <c r="J2646" s="15">
        <v>65.649000000000001</v>
      </c>
    </row>
    <row r="2647" spans="8:10">
      <c r="H2647" s="88">
        <v>0.63510339999999998</v>
      </c>
      <c r="I2647" s="77">
        <v>0.96466476000000001</v>
      </c>
      <c r="J2647" s="15">
        <v>65.650000000000006</v>
      </c>
    </row>
    <row r="2648" spans="8:10">
      <c r="H2648" s="88">
        <v>0.63538859999999997</v>
      </c>
      <c r="I2648" s="77">
        <v>0.96466629999999998</v>
      </c>
      <c r="J2648" s="15">
        <v>65.650999999999996</v>
      </c>
    </row>
    <row r="2649" spans="8:10">
      <c r="H2649" s="88">
        <v>0.63567430000000003</v>
      </c>
      <c r="I2649" s="77">
        <v>0.96466786000000004</v>
      </c>
      <c r="J2649" s="15">
        <v>65.652000000000001</v>
      </c>
    </row>
    <row r="2650" spans="8:10">
      <c r="H2650" s="88">
        <v>0.63596050000000004</v>
      </c>
      <c r="I2650" s="77">
        <v>0.96466940000000001</v>
      </c>
      <c r="J2650" s="15">
        <v>65.653000000000006</v>
      </c>
    </row>
    <row r="2651" spans="8:10">
      <c r="H2651" s="88">
        <v>0.63624720000000001</v>
      </c>
      <c r="I2651" s="77">
        <v>0.96467099999999995</v>
      </c>
      <c r="J2651" s="15">
        <v>65.653999999999996</v>
      </c>
    </row>
    <row r="2652" spans="8:10">
      <c r="H2652" s="88">
        <v>0.6365345</v>
      </c>
      <c r="I2652" s="77">
        <v>0.96467256999999995</v>
      </c>
      <c r="J2652" s="15">
        <v>65.655000000000001</v>
      </c>
    </row>
    <row r="2653" spans="8:10">
      <c r="H2653" s="88">
        <v>0.63682229999999995</v>
      </c>
      <c r="I2653" s="77">
        <v>0.96467409999999998</v>
      </c>
      <c r="J2653" s="15">
        <v>65.656000000000006</v>
      </c>
    </row>
    <row r="2654" spans="8:10">
      <c r="H2654" s="88">
        <v>0.63711059999999997</v>
      </c>
      <c r="I2654" s="77">
        <v>0.96467570000000002</v>
      </c>
      <c r="J2654" s="15">
        <v>65.656999999999996</v>
      </c>
    </row>
    <row r="2655" spans="8:10">
      <c r="H2655" s="88">
        <v>0.63739939999999995</v>
      </c>
      <c r="I2655" s="77">
        <v>0.96467729999999996</v>
      </c>
      <c r="J2655" s="15">
        <v>65.658000000000001</v>
      </c>
    </row>
    <row r="2656" spans="8:10">
      <c r="H2656" s="88">
        <v>0.63768875999999997</v>
      </c>
      <c r="I2656" s="77">
        <v>0.96467879999999995</v>
      </c>
      <c r="J2656" s="15">
        <v>65.659000000000006</v>
      </c>
    </row>
    <row r="2657" spans="8:10">
      <c r="H2657" s="88">
        <v>0.63797859999999995</v>
      </c>
      <c r="I2657" s="77">
        <v>0.96468043000000003</v>
      </c>
      <c r="J2657" s="15">
        <v>65.66</v>
      </c>
    </row>
    <row r="2658" spans="8:10">
      <c r="H2658" s="88">
        <v>0.63826899999999998</v>
      </c>
      <c r="I2658" s="77">
        <v>0.96468200000000004</v>
      </c>
      <c r="J2658" s="15">
        <v>65.661000000000001</v>
      </c>
    </row>
    <row r="2659" spans="8:10">
      <c r="H2659" s="88">
        <v>0.63855994000000005</v>
      </c>
      <c r="I2659" s="77">
        <v>0.96468359999999997</v>
      </c>
      <c r="J2659" s="15">
        <v>65.662000000000006</v>
      </c>
    </row>
    <row r="2660" spans="8:10">
      <c r="H2660" s="88">
        <v>0.63885139999999996</v>
      </c>
      <c r="I2660" s="77">
        <v>0.96468514000000005</v>
      </c>
      <c r="J2660" s="15">
        <v>65.662999999999997</v>
      </c>
    </row>
    <row r="2661" spans="8:10">
      <c r="H2661" s="88">
        <v>0.63914340000000003</v>
      </c>
      <c r="I2661" s="77">
        <v>0.96468675000000004</v>
      </c>
      <c r="J2661" s="15">
        <v>65.664000000000001</v>
      </c>
    </row>
    <row r="2662" spans="8:10">
      <c r="H2662" s="88">
        <v>0.63943589999999995</v>
      </c>
      <c r="I2662" s="77">
        <v>0.96468830000000005</v>
      </c>
      <c r="J2662" s="15">
        <v>65.665000000000006</v>
      </c>
    </row>
    <row r="2663" spans="8:10">
      <c r="H2663" s="88">
        <v>0.63972896000000001</v>
      </c>
      <c r="I2663" s="77">
        <v>0.96468989999999999</v>
      </c>
      <c r="J2663" s="15">
        <v>65.665999999999997</v>
      </c>
    </row>
    <row r="2664" spans="8:10">
      <c r="H2664" s="88">
        <v>0.6400226</v>
      </c>
      <c r="I2664" s="77">
        <v>0.96469145999999995</v>
      </c>
      <c r="J2664" s="15">
        <v>65.667000000000002</v>
      </c>
    </row>
    <row r="2665" spans="8:10">
      <c r="H2665" s="88">
        <v>0.64031669999999996</v>
      </c>
      <c r="I2665" s="77">
        <v>0.96469307000000004</v>
      </c>
      <c r="J2665" s="15">
        <v>65.668000000000006</v>
      </c>
    </row>
    <row r="2666" spans="8:10">
      <c r="H2666" s="88">
        <v>0.64061140000000005</v>
      </c>
      <c r="I2666" s="77">
        <v>0.96469459999999996</v>
      </c>
      <c r="J2666" s="15">
        <v>65.668999999999997</v>
      </c>
    </row>
    <row r="2667" spans="8:10">
      <c r="H2667" s="88">
        <v>0.64090663000000003</v>
      </c>
      <c r="I2667" s="77">
        <v>0.9646962</v>
      </c>
      <c r="J2667" s="15">
        <v>65.67</v>
      </c>
    </row>
    <row r="2668" spans="8:10">
      <c r="H2668" s="88">
        <v>0.64120239999999995</v>
      </c>
      <c r="I2668" s="77">
        <v>0.96469784000000003</v>
      </c>
      <c r="J2668" s="15">
        <v>65.671000000000006</v>
      </c>
    </row>
    <row r="2669" spans="8:10">
      <c r="H2669" s="88">
        <v>0.64149873999999996</v>
      </c>
      <c r="I2669" s="77">
        <v>0.96469939999999998</v>
      </c>
      <c r="J2669" s="15">
        <v>65.671999999999997</v>
      </c>
    </row>
    <row r="2670" spans="8:10">
      <c r="H2670" s="88">
        <v>0.64179560000000002</v>
      </c>
      <c r="I2670" s="77">
        <v>0.96470100000000003</v>
      </c>
      <c r="J2670" s="15">
        <v>65.673000000000002</v>
      </c>
    </row>
    <row r="2671" spans="8:10">
      <c r="H2671" s="88">
        <v>0.64209300000000002</v>
      </c>
      <c r="I2671" s="77">
        <v>0.96470259999999997</v>
      </c>
      <c r="J2671" s="15">
        <v>65.674000000000007</v>
      </c>
    </row>
    <row r="2672" spans="8:10">
      <c r="H2672" s="88">
        <v>0.64239097000000001</v>
      </c>
      <c r="I2672" s="77">
        <v>0.96470416000000003</v>
      </c>
      <c r="J2672" s="15">
        <v>65.674999999999997</v>
      </c>
    </row>
    <row r="2673" spans="8:10">
      <c r="H2673" s="88">
        <v>0.64268946999999998</v>
      </c>
      <c r="I2673" s="77">
        <v>0.96470577000000002</v>
      </c>
      <c r="J2673" s="15">
        <v>65.676000000000002</v>
      </c>
    </row>
    <row r="2674" spans="8:10">
      <c r="H2674" s="88">
        <v>0.64298856000000004</v>
      </c>
      <c r="I2674" s="77">
        <v>0.96470739999999999</v>
      </c>
      <c r="J2674" s="15">
        <v>65.677000000000007</v>
      </c>
    </row>
    <row r="2675" spans="8:10">
      <c r="H2675" s="88">
        <v>0.64328819999999998</v>
      </c>
      <c r="I2675" s="77">
        <v>0.96470900000000004</v>
      </c>
      <c r="J2675" s="15">
        <v>65.677999999999997</v>
      </c>
    </row>
    <row r="2676" spans="8:10">
      <c r="H2676" s="88">
        <v>0.64358835999999997</v>
      </c>
      <c r="I2676" s="77">
        <v>0.96471052999999996</v>
      </c>
      <c r="J2676" s="15">
        <v>65.679000000000002</v>
      </c>
    </row>
    <row r="2677" spans="8:10">
      <c r="H2677" s="88">
        <v>0.64388909999999999</v>
      </c>
      <c r="I2677" s="77">
        <v>0.96471214000000005</v>
      </c>
      <c r="J2677" s="15">
        <v>65.680000000000007</v>
      </c>
    </row>
    <row r="2678" spans="8:10">
      <c r="H2678" s="88">
        <v>0.64419042999999998</v>
      </c>
      <c r="I2678" s="77">
        <v>0.96471375000000004</v>
      </c>
      <c r="J2678" s="15">
        <v>65.680999999999997</v>
      </c>
    </row>
    <row r="2679" spans="8:10">
      <c r="H2679" s="88">
        <v>0.64449226999999998</v>
      </c>
      <c r="I2679" s="77">
        <v>0.96471536000000002</v>
      </c>
      <c r="J2679" s="15">
        <v>65.682000000000002</v>
      </c>
    </row>
    <row r="2680" spans="8:10">
      <c r="H2680" s="88">
        <v>0.64479470000000005</v>
      </c>
      <c r="I2680" s="77">
        <v>0.96471700000000005</v>
      </c>
      <c r="J2680" s="15">
        <v>65.683000000000007</v>
      </c>
    </row>
    <row r="2681" spans="8:10">
      <c r="H2681" s="88">
        <v>0.64509773000000004</v>
      </c>
      <c r="I2681" s="77">
        <v>0.96471859999999998</v>
      </c>
      <c r="J2681" s="15">
        <v>65.683999999999997</v>
      </c>
    </row>
    <row r="2682" spans="8:10">
      <c r="H2682" s="88">
        <v>0.64540129999999996</v>
      </c>
      <c r="I2682" s="77">
        <v>0.96472020000000003</v>
      </c>
      <c r="J2682" s="15">
        <v>65.685000000000002</v>
      </c>
    </row>
    <row r="2683" spans="8:10">
      <c r="H2683" s="88">
        <v>0.64570539999999998</v>
      </c>
      <c r="I2683" s="77">
        <v>0.96472179999999996</v>
      </c>
      <c r="J2683" s="15">
        <v>65.686000000000007</v>
      </c>
    </row>
    <row r="2684" spans="8:10">
      <c r="H2684" s="88">
        <v>0.64601010000000003</v>
      </c>
      <c r="I2684" s="77">
        <v>0.96472340000000001</v>
      </c>
      <c r="J2684" s="15">
        <v>65.686999999999998</v>
      </c>
    </row>
    <row r="2685" spans="8:10">
      <c r="H2685" s="88">
        <v>0.64631539999999998</v>
      </c>
      <c r="I2685" s="77">
        <v>0.96472500000000005</v>
      </c>
      <c r="J2685" s="15">
        <v>65.688000000000002</v>
      </c>
    </row>
    <row r="2686" spans="8:10">
      <c r="H2686" s="88">
        <v>0.64662120000000001</v>
      </c>
      <c r="I2686" s="77">
        <v>0.96472659999999999</v>
      </c>
      <c r="J2686" s="15">
        <v>65.688999999999993</v>
      </c>
    </row>
    <row r="2687" spans="8:10">
      <c r="H2687" s="88">
        <v>0.64692764999999997</v>
      </c>
      <c r="I2687" s="77">
        <v>0.96472824000000001</v>
      </c>
      <c r="J2687" s="15">
        <v>65.69</v>
      </c>
    </row>
    <row r="2688" spans="8:10">
      <c r="H2688" s="88">
        <v>0.64723470000000005</v>
      </c>
      <c r="I2688" s="77">
        <v>0.96472985</v>
      </c>
      <c r="J2688" s="15">
        <v>65.691000000000003</v>
      </c>
    </row>
    <row r="2689" spans="8:10">
      <c r="H2689" s="88">
        <v>0.64754224000000005</v>
      </c>
      <c r="I2689" s="77">
        <v>0.96473145000000005</v>
      </c>
      <c r="J2689" s="15">
        <v>65.691999999999993</v>
      </c>
    </row>
    <row r="2690" spans="8:10">
      <c r="H2690" s="88">
        <v>0.64785040000000005</v>
      </c>
      <c r="I2690" s="77">
        <v>0.96473306000000003</v>
      </c>
      <c r="J2690" s="15">
        <v>65.692999999999998</v>
      </c>
    </row>
    <row r="2691" spans="8:10">
      <c r="H2691" s="88">
        <v>0.64815915000000002</v>
      </c>
      <c r="I2691" s="77">
        <v>0.96473472999999998</v>
      </c>
      <c r="J2691" s="15">
        <v>65.694000000000003</v>
      </c>
    </row>
    <row r="2692" spans="8:10">
      <c r="H2692" s="88">
        <v>0.6484685</v>
      </c>
      <c r="I2692" s="77">
        <v>0.96473633999999997</v>
      </c>
      <c r="J2692" s="15">
        <v>65.694999999999993</v>
      </c>
    </row>
    <row r="2693" spans="8:10">
      <c r="H2693" s="88">
        <v>0.64877843999999996</v>
      </c>
      <c r="I2693" s="77">
        <v>0.96473794999999996</v>
      </c>
      <c r="J2693" s="15">
        <v>65.695999999999998</v>
      </c>
    </row>
    <row r="2694" spans="8:10">
      <c r="H2694" s="88">
        <v>0.64908889999999997</v>
      </c>
      <c r="I2694" s="77">
        <v>0.96473956000000005</v>
      </c>
      <c r="J2694" s="15">
        <v>65.697000000000003</v>
      </c>
    </row>
    <row r="2695" spans="8:10">
      <c r="H2695" s="88">
        <v>0.64939999999999998</v>
      </c>
      <c r="I2695" s="77">
        <v>0.96474119999999997</v>
      </c>
      <c r="J2695" s="15">
        <v>65.697999999999993</v>
      </c>
    </row>
    <row r="2696" spans="8:10">
      <c r="H2696" s="88">
        <v>0.6497117</v>
      </c>
      <c r="I2696" s="77">
        <v>0.96474283999999999</v>
      </c>
      <c r="J2696" s="15">
        <v>65.698999999999998</v>
      </c>
    </row>
    <row r="2697" spans="8:10">
      <c r="H2697" s="88">
        <v>0.65002400000000005</v>
      </c>
      <c r="I2697" s="77">
        <v>0.96474444999999998</v>
      </c>
      <c r="J2697" s="15">
        <v>65.7</v>
      </c>
    </row>
    <row r="2698" spans="8:10">
      <c r="H2698" s="88">
        <v>0.65033686000000002</v>
      </c>
      <c r="I2698" s="77">
        <v>0.96474605999999996</v>
      </c>
      <c r="J2698" s="15">
        <v>65.700999999999993</v>
      </c>
    </row>
    <row r="2699" spans="8:10">
      <c r="H2699" s="88">
        <v>0.65065030000000001</v>
      </c>
      <c r="I2699" s="77">
        <v>0.96474769999999999</v>
      </c>
      <c r="J2699" s="15">
        <v>65.701999999999998</v>
      </c>
    </row>
    <row r="2700" spans="8:10">
      <c r="H2700" s="88">
        <v>0.6509644</v>
      </c>
      <c r="I2700" s="77">
        <v>0.96474934000000001</v>
      </c>
      <c r="J2700" s="15">
        <v>65.703000000000003</v>
      </c>
    </row>
    <row r="2701" spans="8:10">
      <c r="H2701" s="88">
        <v>0.6512791</v>
      </c>
      <c r="I2701" s="77">
        <v>0.96475100000000003</v>
      </c>
      <c r="J2701" s="15">
        <v>65.703999999999994</v>
      </c>
    </row>
    <row r="2702" spans="8:10">
      <c r="H2702" s="88">
        <v>0.65159434000000005</v>
      </c>
      <c r="I2702" s="77">
        <v>0.96475259999999996</v>
      </c>
      <c r="J2702" s="15">
        <v>65.704999999999998</v>
      </c>
    </row>
    <row r="2703" spans="8:10">
      <c r="H2703" s="88">
        <v>0.65191025000000002</v>
      </c>
      <c r="I2703" s="77">
        <v>0.96475429999999995</v>
      </c>
      <c r="J2703" s="15">
        <v>65.706000000000003</v>
      </c>
    </row>
    <row r="2704" spans="8:10">
      <c r="H2704" s="88">
        <v>0.65222670000000005</v>
      </c>
      <c r="I2704" s="77">
        <v>0.9647559</v>
      </c>
      <c r="J2704" s="15">
        <v>65.706999999999994</v>
      </c>
    </row>
    <row r="2705" spans="8:10">
      <c r="H2705" s="88">
        <v>0.65254380000000001</v>
      </c>
      <c r="I2705" s="77">
        <v>0.96475756000000001</v>
      </c>
      <c r="J2705" s="15">
        <v>65.707999999999998</v>
      </c>
    </row>
    <row r="2706" spans="8:10">
      <c r="H2706" s="88">
        <v>0.65286149999999998</v>
      </c>
      <c r="I2706" s="77">
        <v>0.96475920000000004</v>
      </c>
      <c r="J2706" s="15">
        <v>65.709000000000003</v>
      </c>
    </row>
    <row r="2707" spans="8:10">
      <c r="H2707" s="88">
        <v>0.65317979999999998</v>
      </c>
      <c r="I2707" s="77">
        <v>0.96476083999999995</v>
      </c>
      <c r="J2707" s="15">
        <v>65.709999999999994</v>
      </c>
    </row>
    <row r="2708" spans="8:10">
      <c r="H2708" s="88">
        <v>0.65349869999999999</v>
      </c>
      <c r="I2708" s="77">
        <v>0.96476245000000005</v>
      </c>
      <c r="J2708" s="15">
        <v>65.710999999999999</v>
      </c>
    </row>
    <row r="2709" spans="8:10">
      <c r="H2709" s="88">
        <v>0.65381825000000005</v>
      </c>
      <c r="I2709" s="77">
        <v>0.96476410000000001</v>
      </c>
      <c r="J2709" s="15">
        <v>65.712000000000003</v>
      </c>
    </row>
    <row r="2710" spans="8:10">
      <c r="H2710" s="88">
        <v>0.65413845000000004</v>
      </c>
      <c r="I2710" s="77">
        <v>0.96476580000000001</v>
      </c>
      <c r="J2710" s="15">
        <v>65.712999999999994</v>
      </c>
    </row>
    <row r="2711" spans="8:10">
      <c r="H2711" s="88">
        <v>0.65445920000000002</v>
      </c>
      <c r="I2711" s="77">
        <v>0.96476740000000005</v>
      </c>
      <c r="J2711" s="15">
        <v>65.713999999999999</v>
      </c>
    </row>
    <row r="2712" spans="8:10">
      <c r="H2712" s="88">
        <v>0.65478060000000005</v>
      </c>
      <c r="I2712" s="77">
        <v>0.96476907000000001</v>
      </c>
      <c r="J2712" s="15">
        <v>65.715000000000003</v>
      </c>
    </row>
    <row r="2713" spans="8:10">
      <c r="H2713" s="88">
        <v>0.65510259999999998</v>
      </c>
      <c r="I2713" s="77">
        <v>0.96477073000000002</v>
      </c>
      <c r="J2713" s="15">
        <v>65.715999999999994</v>
      </c>
    </row>
    <row r="2714" spans="8:10">
      <c r="H2714" s="88">
        <v>0.65542524999999996</v>
      </c>
      <c r="I2714" s="77">
        <v>0.96477239999999997</v>
      </c>
      <c r="J2714" s="15">
        <v>65.716999999999999</v>
      </c>
    </row>
    <row r="2715" spans="8:10">
      <c r="H2715" s="88">
        <v>0.65574854999999999</v>
      </c>
      <c r="I2715" s="77">
        <v>0.96477400000000002</v>
      </c>
      <c r="J2715" s="15">
        <v>65.718000000000004</v>
      </c>
    </row>
    <row r="2716" spans="8:10">
      <c r="H2716" s="88">
        <v>0.65607243999999998</v>
      </c>
      <c r="I2716" s="77">
        <v>0.96477570000000001</v>
      </c>
      <c r="J2716" s="15">
        <v>65.718999999999994</v>
      </c>
    </row>
    <row r="2717" spans="8:10">
      <c r="H2717" s="88">
        <v>0.65639689999999995</v>
      </c>
      <c r="I2717" s="77">
        <v>0.96477734999999998</v>
      </c>
      <c r="J2717" s="15">
        <v>65.72</v>
      </c>
    </row>
    <row r="2718" spans="8:10">
      <c r="H2718" s="88">
        <v>0.65672207000000005</v>
      </c>
      <c r="I2718" s="77">
        <v>0.96477900000000005</v>
      </c>
      <c r="J2718" s="15">
        <v>65.721000000000004</v>
      </c>
    </row>
    <row r="2719" spans="8:10">
      <c r="H2719" s="88">
        <v>0.65704786999999998</v>
      </c>
      <c r="I2719" s="77">
        <v>0.96478070000000005</v>
      </c>
      <c r="J2719" s="15">
        <v>65.721999999999994</v>
      </c>
    </row>
    <row r="2720" spans="8:10">
      <c r="H2720" s="88">
        <v>0.65737429999999997</v>
      </c>
      <c r="I2720" s="77">
        <v>0.96478235999999995</v>
      </c>
      <c r="J2720" s="15">
        <v>65.722999999999999</v>
      </c>
    </row>
    <row r="2721" spans="8:10">
      <c r="H2721" s="88">
        <v>0.65770139999999999</v>
      </c>
      <c r="I2721" s="77">
        <v>0.96478399999999997</v>
      </c>
      <c r="J2721" s="15">
        <v>65.724000000000004</v>
      </c>
    </row>
    <row r="2722" spans="8:10">
      <c r="H2722" s="88">
        <v>0.65802910000000003</v>
      </c>
      <c r="I2722" s="77">
        <v>0.96478569999999997</v>
      </c>
      <c r="J2722" s="15">
        <v>65.724999999999994</v>
      </c>
    </row>
    <row r="2723" spans="8:10">
      <c r="H2723" s="88">
        <v>0.65835743999999996</v>
      </c>
      <c r="I2723" s="77">
        <v>0.96478735999999998</v>
      </c>
      <c r="J2723" s="15">
        <v>65.725999999999999</v>
      </c>
    </row>
    <row r="2724" spans="8:10">
      <c r="H2724" s="88">
        <v>0.65868640000000001</v>
      </c>
      <c r="I2724" s="77">
        <v>0.96478903000000005</v>
      </c>
      <c r="J2724" s="15">
        <v>65.727000000000004</v>
      </c>
    </row>
    <row r="2725" spans="8:10">
      <c r="H2725" s="88">
        <v>0.65901600000000005</v>
      </c>
      <c r="I2725" s="77">
        <v>0.9647907</v>
      </c>
      <c r="J2725" s="15">
        <v>65.727999999999994</v>
      </c>
    </row>
    <row r="2726" spans="8:10">
      <c r="H2726" s="88">
        <v>0.65934630000000005</v>
      </c>
      <c r="I2726" s="77">
        <v>0.96479239999999999</v>
      </c>
      <c r="J2726" s="15">
        <v>65.728999999999999</v>
      </c>
    </row>
    <row r="2727" spans="8:10">
      <c r="H2727" s="88">
        <v>0.65967719999999996</v>
      </c>
      <c r="I2727" s="77">
        <v>0.96479404000000002</v>
      </c>
      <c r="J2727" s="15">
        <v>65.73</v>
      </c>
    </row>
    <row r="2728" spans="8:10">
      <c r="H2728" s="88">
        <v>0.66000879999999995</v>
      </c>
      <c r="I2728" s="77">
        <v>0.96479570000000003</v>
      </c>
      <c r="J2728" s="15">
        <v>65.730999999999995</v>
      </c>
    </row>
    <row r="2729" spans="8:10">
      <c r="H2729" s="88">
        <v>0.66034099999999996</v>
      </c>
      <c r="I2729" s="77">
        <v>0.96479744000000001</v>
      </c>
      <c r="J2729" s="15">
        <v>65.731999999999999</v>
      </c>
    </row>
    <row r="2730" spans="8:10">
      <c r="H2730" s="88">
        <v>0.66067390000000004</v>
      </c>
      <c r="I2730" s="77">
        <v>0.96479910000000002</v>
      </c>
      <c r="J2730" s="15">
        <v>65.733000000000004</v>
      </c>
    </row>
    <row r="2731" spans="8:10">
      <c r="H2731" s="88">
        <v>0.66100745999999999</v>
      </c>
      <c r="I2731" s="77">
        <v>0.96480080000000001</v>
      </c>
      <c r="J2731" s="15">
        <v>65.733999999999995</v>
      </c>
    </row>
    <row r="2732" spans="8:10">
      <c r="H2732" s="88">
        <v>0.66134166999999999</v>
      </c>
      <c r="I2732" s="77">
        <v>0.96480244000000004</v>
      </c>
      <c r="J2732" s="15">
        <v>65.734999999999999</v>
      </c>
    </row>
    <row r="2733" spans="8:10">
      <c r="H2733" s="88">
        <v>0.6616765</v>
      </c>
      <c r="I2733" s="77">
        <v>0.9648042</v>
      </c>
      <c r="J2733" s="15">
        <v>65.736000000000004</v>
      </c>
    </row>
    <row r="2734" spans="8:10">
      <c r="H2734" s="88">
        <v>0.66201204000000002</v>
      </c>
      <c r="I2734" s="77">
        <v>0.96480584000000003</v>
      </c>
      <c r="J2734" s="15">
        <v>65.736999999999995</v>
      </c>
    </row>
    <row r="2735" spans="8:10">
      <c r="H2735" s="88">
        <v>0.66234820000000005</v>
      </c>
      <c r="I2735" s="77">
        <v>0.96480750000000004</v>
      </c>
      <c r="J2735" s="15">
        <v>65.738</v>
      </c>
    </row>
    <row r="2736" spans="8:10">
      <c r="H2736" s="88">
        <v>0.66268503999999995</v>
      </c>
      <c r="I2736" s="77">
        <v>0.96480924000000001</v>
      </c>
      <c r="J2736" s="15">
        <v>65.739000000000004</v>
      </c>
    </row>
    <row r="2737" spans="8:10">
      <c r="H2737" s="88">
        <v>0.66302260000000002</v>
      </c>
      <c r="I2737" s="77">
        <v>0.96481090000000003</v>
      </c>
      <c r="J2737" s="15">
        <v>65.739999999999995</v>
      </c>
    </row>
    <row r="2738" spans="8:10">
      <c r="H2738" s="88">
        <v>0.66336079999999997</v>
      </c>
      <c r="I2738" s="77">
        <v>0.96481264</v>
      </c>
      <c r="J2738" s="15">
        <v>65.741</v>
      </c>
    </row>
    <row r="2739" spans="8:10">
      <c r="H2739" s="88">
        <v>0.66369959999999995</v>
      </c>
      <c r="I2739" s="77">
        <v>0.96481430000000001</v>
      </c>
      <c r="J2739" s="15">
        <v>65.742000000000004</v>
      </c>
    </row>
    <row r="2740" spans="8:10">
      <c r="H2740" s="88">
        <v>0.66403913000000003</v>
      </c>
      <c r="I2740" s="77">
        <v>0.96481603000000005</v>
      </c>
      <c r="J2740" s="15">
        <v>65.742999999999995</v>
      </c>
    </row>
    <row r="2741" spans="8:10">
      <c r="H2741" s="88">
        <v>0.66437935999999997</v>
      </c>
      <c r="I2741" s="77">
        <v>0.9648177</v>
      </c>
      <c r="J2741" s="15">
        <v>65.744</v>
      </c>
    </row>
    <row r="2742" spans="8:10">
      <c r="H2742" s="88">
        <v>0.66472023999999996</v>
      </c>
      <c r="I2742" s="77">
        <v>0.96481943000000003</v>
      </c>
      <c r="J2742" s="15">
        <v>65.745000000000005</v>
      </c>
    </row>
    <row r="2743" spans="8:10">
      <c r="H2743" s="88">
        <v>0.66506182999999996</v>
      </c>
      <c r="I2743" s="77">
        <v>0.96482109999999999</v>
      </c>
      <c r="J2743" s="15">
        <v>65.745999999999995</v>
      </c>
    </row>
    <row r="2744" spans="8:10">
      <c r="H2744" s="88">
        <v>0.66540410000000005</v>
      </c>
      <c r="I2744" s="77">
        <v>0.96482279999999998</v>
      </c>
      <c r="J2744" s="15">
        <v>65.747</v>
      </c>
    </row>
    <row r="2745" spans="8:10">
      <c r="H2745" s="88">
        <v>0.66574699999999998</v>
      </c>
      <c r="I2745" s="77">
        <v>0.96482456000000005</v>
      </c>
      <c r="J2745" s="15">
        <v>65.748000000000005</v>
      </c>
    </row>
    <row r="2746" spans="8:10">
      <c r="H2746" s="88">
        <v>0.66609059999999998</v>
      </c>
      <c r="I2746" s="77">
        <v>0.96482619999999997</v>
      </c>
      <c r="J2746" s="15">
        <v>65.748999999999995</v>
      </c>
    </row>
    <row r="2747" spans="8:10">
      <c r="H2747" s="88">
        <v>0.66643494000000003</v>
      </c>
      <c r="I2747" s="77">
        <v>0.96482794999999999</v>
      </c>
      <c r="J2747" s="15">
        <v>65.75</v>
      </c>
    </row>
    <row r="2748" spans="8:10">
      <c r="H2748" s="88">
        <v>0.66677993999999996</v>
      </c>
      <c r="I2748" s="77">
        <v>0.96482970000000001</v>
      </c>
      <c r="J2748" s="15">
        <v>65.751000000000005</v>
      </c>
    </row>
    <row r="2749" spans="8:10">
      <c r="H2749" s="88">
        <v>0.66712563999999996</v>
      </c>
      <c r="I2749" s="77">
        <v>0.96483140000000001</v>
      </c>
      <c r="J2749" s="15">
        <v>65.751999999999995</v>
      </c>
    </row>
    <row r="2750" spans="8:10">
      <c r="H2750" s="88">
        <v>0.66747199999999995</v>
      </c>
      <c r="I2750" s="77">
        <v>0.96483313999999998</v>
      </c>
      <c r="J2750" s="15">
        <v>65.753</v>
      </c>
    </row>
    <row r="2751" spans="8:10">
      <c r="H2751" s="88">
        <v>0.6678191</v>
      </c>
      <c r="I2751" s="77">
        <v>0.96483479999999999</v>
      </c>
      <c r="J2751" s="15">
        <v>65.754000000000005</v>
      </c>
    </row>
    <row r="2752" spans="8:10">
      <c r="H2752" s="88">
        <v>0.66816690000000001</v>
      </c>
      <c r="I2752" s="77">
        <v>0.96483653999999996</v>
      </c>
      <c r="J2752" s="15">
        <v>65.754999999999995</v>
      </c>
    </row>
    <row r="2753" spans="8:10">
      <c r="H2753" s="88">
        <v>0.66851539999999998</v>
      </c>
      <c r="I2753" s="77">
        <v>0.96483827</v>
      </c>
      <c r="J2753" s="15">
        <v>65.756</v>
      </c>
    </row>
    <row r="2754" spans="8:10">
      <c r="H2754" s="88">
        <v>0.66886455</v>
      </c>
      <c r="I2754" s="77">
        <v>0.96484000000000003</v>
      </c>
      <c r="J2754" s="15">
        <v>65.757000000000005</v>
      </c>
    </row>
    <row r="2755" spans="8:10">
      <c r="H2755" s="88">
        <v>0.66921439999999999</v>
      </c>
      <c r="I2755" s="77">
        <v>0.96484170000000002</v>
      </c>
      <c r="J2755" s="15">
        <v>65.757999999999996</v>
      </c>
    </row>
    <row r="2756" spans="8:10">
      <c r="H2756" s="88">
        <v>0.66956499999999997</v>
      </c>
      <c r="I2756" s="77">
        <v>0.96484345000000005</v>
      </c>
      <c r="J2756" s="15">
        <v>65.759</v>
      </c>
    </row>
    <row r="2757" spans="8:10">
      <c r="H2757" s="88">
        <v>0.66991632999999995</v>
      </c>
      <c r="I2757" s="77">
        <v>0.96484519999999996</v>
      </c>
      <c r="J2757" s="15">
        <v>65.760000000000005</v>
      </c>
    </row>
    <row r="2758" spans="8:10">
      <c r="H2758" s="88">
        <v>0.67026836000000001</v>
      </c>
      <c r="I2758" s="77">
        <v>0.96484689999999995</v>
      </c>
      <c r="J2758" s="15">
        <v>65.760999999999996</v>
      </c>
    </row>
    <row r="2759" spans="8:10">
      <c r="H2759" s="88">
        <v>0.67062109999999997</v>
      </c>
      <c r="I2759" s="77">
        <v>0.96484864000000004</v>
      </c>
      <c r="J2759" s="15">
        <v>65.762</v>
      </c>
    </row>
    <row r="2760" spans="8:10">
      <c r="H2760" s="88">
        <v>0.67097450000000003</v>
      </c>
      <c r="I2760" s="77">
        <v>0.9648504</v>
      </c>
      <c r="J2760" s="15">
        <v>65.763000000000005</v>
      </c>
    </row>
    <row r="2761" spans="8:10">
      <c r="H2761" s="88">
        <v>0.67132866000000002</v>
      </c>
      <c r="I2761" s="77">
        <v>0.96485215000000002</v>
      </c>
      <c r="J2761" s="15">
        <v>65.763999999999996</v>
      </c>
    </row>
    <row r="2762" spans="8:10">
      <c r="H2762" s="88">
        <v>0.67168355000000002</v>
      </c>
      <c r="I2762" s="77">
        <v>0.96485390000000004</v>
      </c>
      <c r="J2762" s="15">
        <v>65.765000000000001</v>
      </c>
    </row>
    <row r="2763" spans="8:10">
      <c r="H2763" s="88">
        <v>0.67203915000000003</v>
      </c>
      <c r="I2763" s="77">
        <v>0.96485560000000004</v>
      </c>
      <c r="J2763" s="15">
        <v>65.766000000000005</v>
      </c>
    </row>
    <row r="2764" spans="8:10">
      <c r="H2764" s="88">
        <v>0.67239547</v>
      </c>
      <c r="I2764" s="77">
        <v>0.96485739999999998</v>
      </c>
      <c r="J2764" s="15">
        <v>65.766999999999996</v>
      </c>
    </row>
    <row r="2765" spans="8:10">
      <c r="H2765" s="88">
        <v>0.67275256000000005</v>
      </c>
      <c r="I2765" s="77">
        <v>0.96485909999999997</v>
      </c>
      <c r="J2765" s="15">
        <v>65.768000000000001</v>
      </c>
    </row>
    <row r="2766" spans="8:10">
      <c r="H2766" s="88">
        <v>0.67311030000000005</v>
      </c>
      <c r="I2766" s="77">
        <v>0.96486086000000004</v>
      </c>
      <c r="J2766" s="15">
        <v>65.769000000000005</v>
      </c>
    </row>
    <row r="2767" spans="8:10">
      <c r="H2767" s="88">
        <v>0.67346879999999998</v>
      </c>
      <c r="I2767" s="77">
        <v>0.96486263999999999</v>
      </c>
      <c r="J2767" s="15">
        <v>65.77</v>
      </c>
    </row>
    <row r="2768" spans="8:10">
      <c r="H2768" s="88">
        <v>0.67382807</v>
      </c>
      <c r="I2768" s="77">
        <v>0.96486439999999996</v>
      </c>
      <c r="J2768" s="15">
        <v>65.771000000000001</v>
      </c>
    </row>
    <row r="2769" spans="8:10">
      <c r="H2769" s="88">
        <v>0.67418800000000001</v>
      </c>
      <c r="I2769" s="77">
        <v>0.96486609999999995</v>
      </c>
      <c r="J2769" s="15">
        <v>65.772000000000006</v>
      </c>
    </row>
    <row r="2770" spans="8:10">
      <c r="H2770" s="88">
        <v>0.67454875000000003</v>
      </c>
      <c r="I2770" s="77">
        <v>0.9648679</v>
      </c>
      <c r="J2770" s="15">
        <v>65.772999999999996</v>
      </c>
    </row>
    <row r="2771" spans="8:10">
      <c r="H2771" s="88">
        <v>0.67491020000000002</v>
      </c>
      <c r="I2771" s="77">
        <v>0.96486959999999999</v>
      </c>
      <c r="J2771" s="15">
        <v>65.774000000000001</v>
      </c>
    </row>
    <row r="2772" spans="8:10">
      <c r="H2772" s="88">
        <v>0.67527234999999997</v>
      </c>
      <c r="I2772" s="77">
        <v>0.96487140000000005</v>
      </c>
      <c r="J2772" s="15">
        <v>65.775000000000006</v>
      </c>
    </row>
    <row r="2773" spans="8:10">
      <c r="H2773" s="88">
        <v>0.67563530000000005</v>
      </c>
      <c r="I2773" s="77">
        <v>0.96487319999999999</v>
      </c>
      <c r="J2773" s="15">
        <v>65.775999999999996</v>
      </c>
    </row>
    <row r="2774" spans="8:10">
      <c r="H2774" s="88">
        <v>0.67599900000000002</v>
      </c>
      <c r="I2774" s="77">
        <v>0.96487489999999998</v>
      </c>
      <c r="J2774" s="15">
        <v>65.777000000000001</v>
      </c>
    </row>
    <row r="2775" spans="8:10">
      <c r="H2775" s="88">
        <v>0.67636339999999995</v>
      </c>
      <c r="I2775" s="77">
        <v>0.96487670000000003</v>
      </c>
      <c r="J2775" s="15">
        <v>65.778000000000006</v>
      </c>
    </row>
    <row r="2776" spans="8:10">
      <c r="H2776" s="88">
        <v>0.67672854999999998</v>
      </c>
      <c r="I2776" s="77">
        <v>0.96487849999999997</v>
      </c>
      <c r="J2776" s="15">
        <v>65.778999999999996</v>
      </c>
    </row>
    <row r="2777" spans="8:10">
      <c r="H2777" s="88">
        <v>0.67709450000000004</v>
      </c>
      <c r="I2777" s="77">
        <v>0.96488019999999997</v>
      </c>
      <c r="J2777" s="15">
        <v>65.78</v>
      </c>
    </row>
    <row r="2778" spans="8:10">
      <c r="H2778" s="88">
        <v>0.67746114999999996</v>
      </c>
      <c r="I2778" s="77">
        <v>0.96488200000000002</v>
      </c>
      <c r="J2778" s="15">
        <v>65.781000000000006</v>
      </c>
    </row>
    <row r="2779" spans="8:10">
      <c r="H2779" s="88">
        <v>0.6778286</v>
      </c>
      <c r="I2779" s="77">
        <v>0.96488379999999996</v>
      </c>
      <c r="J2779" s="15">
        <v>65.781999999999996</v>
      </c>
    </row>
    <row r="2780" spans="8:10">
      <c r="H2780" s="88">
        <v>0.67819680000000004</v>
      </c>
      <c r="I2780" s="77">
        <v>0.96488560000000001</v>
      </c>
      <c r="J2780" s="15">
        <v>65.783000000000001</v>
      </c>
    </row>
    <row r="2781" spans="8:10">
      <c r="H2781" s="88">
        <v>0.67856574000000003</v>
      </c>
      <c r="I2781" s="77">
        <v>0.96488739999999995</v>
      </c>
      <c r="J2781" s="15">
        <v>65.784000000000006</v>
      </c>
    </row>
    <row r="2782" spans="8:10">
      <c r="H2782" s="88">
        <v>0.67893546999999999</v>
      </c>
      <c r="I2782" s="77">
        <v>0.96488916999999996</v>
      </c>
      <c r="J2782" s="15">
        <v>65.784999999999997</v>
      </c>
    </row>
    <row r="2783" spans="8:10">
      <c r="H2783" s="88">
        <v>0.67930590000000002</v>
      </c>
      <c r="I2783" s="77">
        <v>0.96489095999999996</v>
      </c>
      <c r="J2783" s="15">
        <v>65.786000000000001</v>
      </c>
    </row>
    <row r="2784" spans="8:10">
      <c r="H2784" s="88">
        <v>0.67967719999999998</v>
      </c>
      <c r="I2784" s="77">
        <v>0.96489274999999997</v>
      </c>
      <c r="J2784" s="15">
        <v>65.787000000000006</v>
      </c>
    </row>
    <row r="2785" spans="8:10">
      <c r="H2785" s="88">
        <v>0.68004920000000002</v>
      </c>
      <c r="I2785" s="77">
        <v>0.96489453000000003</v>
      </c>
      <c r="J2785" s="15">
        <v>65.787999999999997</v>
      </c>
    </row>
    <row r="2786" spans="8:10">
      <c r="H2786" s="88">
        <v>0.68042195000000005</v>
      </c>
      <c r="I2786" s="77">
        <v>0.96489630000000004</v>
      </c>
      <c r="J2786" s="15">
        <v>65.789000000000001</v>
      </c>
    </row>
    <row r="2787" spans="8:10">
      <c r="H2787" s="88">
        <v>0.6807955</v>
      </c>
      <c r="I2787" s="77">
        <v>0.96489809999999998</v>
      </c>
      <c r="J2787" s="15">
        <v>65.790000000000006</v>
      </c>
    </row>
    <row r="2788" spans="8:10">
      <c r="H2788" s="88">
        <v>0.68116986999999996</v>
      </c>
      <c r="I2788" s="77">
        <v>0.96489990000000003</v>
      </c>
      <c r="J2788" s="15">
        <v>65.790999999999997</v>
      </c>
    </row>
    <row r="2789" spans="8:10">
      <c r="H2789" s="88">
        <v>0.68154495999999998</v>
      </c>
      <c r="I2789" s="77">
        <v>0.96490169999999997</v>
      </c>
      <c r="J2789" s="15">
        <v>65.792000000000002</v>
      </c>
    </row>
    <row r="2790" spans="8:10">
      <c r="H2790" s="88">
        <v>0.68192079999999999</v>
      </c>
      <c r="I2790" s="77">
        <v>0.96490350000000003</v>
      </c>
      <c r="J2790" s="15">
        <v>65.793000000000006</v>
      </c>
    </row>
    <row r="2791" spans="8:10">
      <c r="H2791" s="88">
        <v>0.6822975</v>
      </c>
      <c r="I2791" s="77">
        <v>0.96490529999999997</v>
      </c>
      <c r="J2791" s="15">
        <v>65.793999999999997</v>
      </c>
    </row>
    <row r="2792" spans="8:10">
      <c r="H2792" s="88">
        <v>0.68267493999999995</v>
      </c>
      <c r="I2792" s="77">
        <v>0.96490710000000002</v>
      </c>
      <c r="J2792" s="15">
        <v>65.795000000000002</v>
      </c>
    </row>
    <row r="2793" spans="8:10">
      <c r="H2793" s="88">
        <v>0.68305320000000003</v>
      </c>
      <c r="I2793" s="77">
        <v>0.96490889999999996</v>
      </c>
      <c r="J2793" s="15">
        <v>65.796000000000006</v>
      </c>
    </row>
    <row r="2794" spans="8:10">
      <c r="H2794" s="88">
        <v>0.68343220000000005</v>
      </c>
      <c r="I2794" s="77">
        <v>0.96491075000000004</v>
      </c>
      <c r="J2794" s="15">
        <v>65.796999999999997</v>
      </c>
    </row>
    <row r="2795" spans="8:10">
      <c r="H2795" s="88">
        <v>0.68381199999999998</v>
      </c>
      <c r="I2795" s="77">
        <v>0.96491252999999999</v>
      </c>
      <c r="J2795" s="15">
        <v>65.798000000000002</v>
      </c>
    </row>
    <row r="2796" spans="8:10">
      <c r="H2796" s="88">
        <v>0.68419266000000001</v>
      </c>
      <c r="I2796" s="77">
        <v>0.9649143</v>
      </c>
      <c r="J2796" s="15">
        <v>65.799000000000007</v>
      </c>
    </row>
    <row r="2797" spans="8:10">
      <c r="H2797" s="88">
        <v>0.68457407000000003</v>
      </c>
      <c r="I2797" s="77">
        <v>0.96491616999999996</v>
      </c>
      <c r="J2797" s="15">
        <v>65.8</v>
      </c>
    </row>
    <row r="2798" spans="8:10">
      <c r="H2798" s="88">
        <v>0.68495625000000004</v>
      </c>
      <c r="I2798" s="77">
        <v>0.96491795999999996</v>
      </c>
      <c r="J2798" s="15">
        <v>65.801000000000002</v>
      </c>
    </row>
    <row r="2799" spans="8:10">
      <c r="H2799" s="88">
        <v>0.68533929999999998</v>
      </c>
      <c r="I2799" s="77">
        <v>0.96491979999999999</v>
      </c>
      <c r="J2799" s="15">
        <v>65.802000000000007</v>
      </c>
    </row>
    <row r="2800" spans="8:10">
      <c r="H2800" s="88">
        <v>0.68572306999999999</v>
      </c>
      <c r="I2800" s="77">
        <v>0.96492164999999996</v>
      </c>
      <c r="J2800" s="15">
        <v>65.802999999999997</v>
      </c>
    </row>
    <row r="2801" spans="8:10">
      <c r="H2801" s="88">
        <v>0.68610769999999999</v>
      </c>
      <c r="I2801" s="77">
        <v>0.96492343999999997</v>
      </c>
      <c r="J2801" s="15">
        <v>65.804000000000002</v>
      </c>
    </row>
    <row r="2802" spans="8:10">
      <c r="H2802" s="88">
        <v>0.68649309999999997</v>
      </c>
      <c r="I2802" s="77">
        <v>0.96492529999999999</v>
      </c>
      <c r="J2802" s="15">
        <v>65.805000000000007</v>
      </c>
    </row>
    <row r="2803" spans="8:10">
      <c r="H2803" s="88">
        <v>0.68687933999999995</v>
      </c>
      <c r="I2803" s="77">
        <v>0.96492714000000002</v>
      </c>
      <c r="J2803" s="15">
        <v>65.805999999999997</v>
      </c>
    </row>
    <row r="2804" spans="8:10">
      <c r="H2804" s="88">
        <v>0.68726635000000003</v>
      </c>
      <c r="I2804" s="77">
        <v>0.96492889999999998</v>
      </c>
      <c r="J2804" s="15">
        <v>65.807000000000002</v>
      </c>
    </row>
    <row r="2805" spans="8:10">
      <c r="H2805" s="88">
        <v>0.68765419999999999</v>
      </c>
      <c r="I2805" s="77">
        <v>0.96493079999999998</v>
      </c>
      <c r="J2805" s="15">
        <v>65.808000000000007</v>
      </c>
    </row>
    <row r="2806" spans="8:10">
      <c r="H2806" s="88">
        <v>0.68804290000000001</v>
      </c>
      <c r="I2806" s="77">
        <v>0.96493260000000003</v>
      </c>
      <c r="J2806" s="15">
        <v>65.808999999999997</v>
      </c>
    </row>
    <row r="2807" spans="8:10">
      <c r="H2807" s="88">
        <v>0.68843240000000006</v>
      </c>
      <c r="I2807" s="77">
        <v>0.96493446999999999</v>
      </c>
      <c r="J2807" s="15">
        <v>65.81</v>
      </c>
    </row>
    <row r="2808" spans="8:10">
      <c r="H2808" s="88">
        <v>0.68882270000000001</v>
      </c>
      <c r="I2808" s="77">
        <v>0.96493629999999997</v>
      </c>
      <c r="J2808" s="15">
        <v>65.811000000000007</v>
      </c>
    </row>
    <row r="2809" spans="8:10">
      <c r="H2809" s="88">
        <v>0.68921379999999999</v>
      </c>
      <c r="I2809" s="77">
        <v>0.96493815999999999</v>
      </c>
      <c r="J2809" s="15">
        <v>65.811999999999998</v>
      </c>
    </row>
    <row r="2810" spans="8:10">
      <c r="H2810" s="88">
        <v>0.68960580000000005</v>
      </c>
      <c r="I2810" s="77">
        <v>0.96494000000000002</v>
      </c>
      <c r="J2810" s="15">
        <v>65.813000000000002</v>
      </c>
    </row>
    <row r="2811" spans="8:10">
      <c r="H2811" s="88">
        <v>0.68999849999999996</v>
      </c>
      <c r="I2811" s="77">
        <v>0.96494186000000004</v>
      </c>
      <c r="J2811" s="15">
        <v>65.813999999999993</v>
      </c>
    </row>
    <row r="2812" spans="8:10">
      <c r="H2812" s="88">
        <v>0.69039214000000004</v>
      </c>
      <c r="I2812" s="77">
        <v>0.96494369999999996</v>
      </c>
      <c r="J2812" s="15">
        <v>65.814999999999998</v>
      </c>
    </row>
    <row r="2813" spans="8:10">
      <c r="H2813" s="88">
        <v>0.69078653999999995</v>
      </c>
      <c r="I2813" s="77">
        <v>0.96494555000000004</v>
      </c>
      <c r="J2813" s="15">
        <v>65.816000000000003</v>
      </c>
    </row>
    <row r="2814" spans="8:10">
      <c r="H2814" s="88">
        <v>0.69118184000000005</v>
      </c>
      <c r="I2814" s="77">
        <v>0.96494740000000001</v>
      </c>
      <c r="J2814" s="15">
        <v>65.816999999999993</v>
      </c>
    </row>
    <row r="2815" spans="8:10">
      <c r="H2815" s="88">
        <v>0.69157800000000003</v>
      </c>
      <c r="I2815" s="77">
        <v>0.96494924999999998</v>
      </c>
      <c r="J2815" s="15">
        <v>65.817999999999998</v>
      </c>
    </row>
    <row r="2816" spans="8:10">
      <c r="H2816" s="88">
        <v>0.69197489999999995</v>
      </c>
      <c r="I2816" s="77">
        <v>0.96495116000000003</v>
      </c>
      <c r="J2816" s="15">
        <v>65.819000000000003</v>
      </c>
    </row>
    <row r="2817" spans="8:10">
      <c r="H2817" s="88">
        <v>0.69237269999999995</v>
      </c>
      <c r="I2817" s="77">
        <v>0.96495299999999995</v>
      </c>
      <c r="J2817" s="15">
        <v>65.819999999999993</v>
      </c>
    </row>
    <row r="2818" spans="8:10">
      <c r="H2818" s="88">
        <v>0.69277129999999998</v>
      </c>
      <c r="I2818" s="77">
        <v>0.96495485000000003</v>
      </c>
      <c r="J2818" s="15">
        <v>65.820999999999998</v>
      </c>
    </row>
    <row r="2819" spans="8:10">
      <c r="H2819" s="88">
        <v>0.69317079999999998</v>
      </c>
      <c r="I2819" s="77">
        <v>0.96495675999999997</v>
      </c>
      <c r="J2819" s="15">
        <v>65.822000000000003</v>
      </c>
    </row>
    <row r="2820" spans="8:10">
      <c r="H2820" s="88">
        <v>0.6935711</v>
      </c>
      <c r="I2820" s="77">
        <v>0.9649586</v>
      </c>
      <c r="J2820" s="15">
        <v>65.822999999999993</v>
      </c>
    </row>
    <row r="2821" spans="8:10">
      <c r="H2821" s="88">
        <v>0.69397229999999999</v>
      </c>
      <c r="I2821" s="77">
        <v>0.9649605</v>
      </c>
      <c r="J2821" s="15">
        <v>65.823999999999998</v>
      </c>
    </row>
    <row r="2822" spans="8:10">
      <c r="H2822" s="88">
        <v>0.69437426000000002</v>
      </c>
      <c r="I2822" s="77">
        <v>0.96496236000000002</v>
      </c>
      <c r="J2822" s="15">
        <v>65.825000000000003</v>
      </c>
    </row>
    <row r="2823" spans="8:10">
      <c r="H2823" s="88">
        <v>0.69477719999999998</v>
      </c>
      <c r="I2823" s="77">
        <v>0.9649643</v>
      </c>
      <c r="J2823" s="15">
        <v>65.825999999999993</v>
      </c>
    </row>
    <row r="2824" spans="8:10">
      <c r="H2824" s="88">
        <v>0.69518089999999999</v>
      </c>
      <c r="I2824" s="77">
        <v>0.96496610000000005</v>
      </c>
      <c r="J2824" s="15">
        <v>65.826999999999998</v>
      </c>
    </row>
    <row r="2825" spans="8:10">
      <c r="H2825" s="88">
        <v>0.69558549999999997</v>
      </c>
      <c r="I2825" s="77">
        <v>0.96496800000000005</v>
      </c>
      <c r="J2825" s="15">
        <v>65.828000000000003</v>
      </c>
    </row>
    <row r="2826" spans="8:10">
      <c r="H2826" s="88">
        <v>0.69599089999999997</v>
      </c>
      <c r="I2826" s="77">
        <v>0.96496992999999998</v>
      </c>
      <c r="J2826" s="15">
        <v>65.828999999999994</v>
      </c>
    </row>
    <row r="2827" spans="8:10">
      <c r="H2827" s="88">
        <v>0.69639724000000003</v>
      </c>
      <c r="I2827" s="77">
        <v>0.96497184000000003</v>
      </c>
      <c r="J2827" s="15">
        <v>65.83</v>
      </c>
    </row>
    <row r="2828" spans="8:10">
      <c r="H2828" s="88">
        <v>0.69680445999999996</v>
      </c>
      <c r="I2828" s="77">
        <v>0.96497370000000005</v>
      </c>
      <c r="J2828" s="15">
        <v>65.831000000000003</v>
      </c>
    </row>
    <row r="2829" spans="8:10">
      <c r="H2829" s="88">
        <v>0.69721246000000003</v>
      </c>
      <c r="I2829" s="77">
        <v>0.96497560000000004</v>
      </c>
      <c r="J2829" s="15">
        <v>65.831999999999994</v>
      </c>
    </row>
    <row r="2830" spans="8:10">
      <c r="H2830" s="88">
        <v>0.69762139999999995</v>
      </c>
      <c r="I2830" s="77">
        <v>0.96497750000000004</v>
      </c>
      <c r="J2830" s="15">
        <v>65.832999999999998</v>
      </c>
    </row>
    <row r="2831" spans="8:10">
      <c r="H2831" s="88">
        <v>0.69803119999999996</v>
      </c>
      <c r="I2831" s="77">
        <v>0.96497940000000004</v>
      </c>
      <c r="J2831" s="15">
        <v>65.834000000000003</v>
      </c>
    </row>
    <row r="2832" spans="8:10">
      <c r="H2832" s="88">
        <v>0.69844185999999997</v>
      </c>
      <c r="I2832" s="77">
        <v>0.96498130000000004</v>
      </c>
      <c r="J2832" s="15">
        <v>65.834999999999994</v>
      </c>
    </row>
    <row r="2833" spans="8:10">
      <c r="H2833" s="88">
        <v>0.69885343</v>
      </c>
      <c r="I2833" s="77">
        <v>0.96498320000000004</v>
      </c>
      <c r="J2833" s="15">
        <v>65.835999999999999</v>
      </c>
    </row>
    <row r="2834" spans="8:10">
      <c r="H2834" s="88">
        <v>0.69926584000000003</v>
      </c>
      <c r="I2834" s="77">
        <v>0.96498512999999997</v>
      </c>
      <c r="J2834" s="15">
        <v>65.837000000000003</v>
      </c>
    </row>
    <row r="2835" spans="8:10">
      <c r="H2835" s="88">
        <v>0.69967913999999998</v>
      </c>
      <c r="I2835" s="77">
        <v>0.96498704000000002</v>
      </c>
      <c r="J2835" s="15">
        <v>65.837999999999994</v>
      </c>
    </row>
    <row r="2836" spans="8:10">
      <c r="H2836" s="88">
        <v>0.70009330000000003</v>
      </c>
      <c r="I2836" s="77">
        <v>0.96498894999999996</v>
      </c>
      <c r="J2836" s="15">
        <v>65.838999999999999</v>
      </c>
    </row>
    <row r="2837" spans="8:10">
      <c r="H2837" s="88">
        <v>0.70050840000000003</v>
      </c>
      <c r="I2837" s="77">
        <v>0.96499089999999998</v>
      </c>
      <c r="J2837" s="15">
        <v>65.84</v>
      </c>
    </row>
    <row r="2838" spans="8:10">
      <c r="H2838" s="88">
        <v>0.70092434000000003</v>
      </c>
      <c r="I2838" s="77">
        <v>0.96499279999999998</v>
      </c>
      <c r="J2838" s="15">
        <v>65.840999999999994</v>
      </c>
    </row>
    <row r="2839" spans="8:10">
      <c r="H2839" s="88">
        <v>0.7013412</v>
      </c>
      <c r="I2839" s="77">
        <v>0.96499469999999998</v>
      </c>
      <c r="J2839" s="15">
        <v>65.841999999999999</v>
      </c>
    </row>
    <row r="2840" spans="8:10">
      <c r="H2840" s="88">
        <v>0.70175889999999996</v>
      </c>
      <c r="I2840" s="77">
        <v>0.96499670000000004</v>
      </c>
      <c r="J2840" s="15">
        <v>65.843000000000004</v>
      </c>
    </row>
    <row r="2841" spans="8:10">
      <c r="H2841" s="88">
        <v>0.70217759999999996</v>
      </c>
      <c r="I2841" s="77">
        <v>0.96499860000000004</v>
      </c>
      <c r="J2841" s="15">
        <v>65.843999999999994</v>
      </c>
    </row>
    <row r="2842" spans="8:10">
      <c r="H2842" s="88">
        <v>0.70259713999999995</v>
      </c>
      <c r="I2842" s="77">
        <v>0.96500056999999995</v>
      </c>
      <c r="J2842" s="15">
        <v>65.844999999999999</v>
      </c>
    </row>
    <row r="2843" spans="8:10">
      <c r="H2843" s="88">
        <v>0.70301760000000002</v>
      </c>
      <c r="I2843" s="77">
        <v>0.96500249999999999</v>
      </c>
      <c r="J2843" s="15">
        <v>65.846000000000004</v>
      </c>
    </row>
    <row r="2844" spans="8:10">
      <c r="H2844" s="88">
        <v>0.70343889999999998</v>
      </c>
      <c r="I2844" s="77">
        <v>0.96500443999999996</v>
      </c>
      <c r="J2844" s="15">
        <v>65.846999999999994</v>
      </c>
    </row>
    <row r="2845" spans="8:10">
      <c r="H2845" s="88">
        <v>0.70386110000000002</v>
      </c>
      <c r="I2845" s="77">
        <v>0.96500635000000001</v>
      </c>
      <c r="J2845" s="15">
        <v>65.847999999999999</v>
      </c>
    </row>
    <row r="2846" spans="8:10">
      <c r="H2846" s="88">
        <v>0.70428429999999997</v>
      </c>
      <c r="I2846" s="77">
        <v>0.96500830000000004</v>
      </c>
      <c r="J2846" s="15">
        <v>65.849000000000004</v>
      </c>
    </row>
    <row r="2847" spans="8:10">
      <c r="H2847" s="88">
        <v>0.70470834000000004</v>
      </c>
      <c r="I2847" s="77">
        <v>0.96501029999999999</v>
      </c>
      <c r="J2847" s="15">
        <v>65.849999999999994</v>
      </c>
    </row>
    <row r="2848" spans="8:10">
      <c r="H2848" s="88">
        <v>0.70513329999999996</v>
      </c>
      <c r="I2848" s="77">
        <v>0.96501219999999999</v>
      </c>
      <c r="J2848" s="15">
        <v>65.850999999999999</v>
      </c>
    </row>
    <row r="2849" spans="8:10">
      <c r="H2849" s="88">
        <v>0.70555920000000005</v>
      </c>
      <c r="I2849" s="77">
        <v>0.96501415999999995</v>
      </c>
      <c r="J2849" s="15">
        <v>65.852000000000004</v>
      </c>
    </row>
    <row r="2850" spans="8:10">
      <c r="H2850" s="88">
        <v>0.705986</v>
      </c>
      <c r="I2850" s="77">
        <v>0.96501610000000004</v>
      </c>
      <c r="J2850" s="15">
        <v>65.852999999999994</v>
      </c>
    </row>
    <row r="2851" spans="8:10">
      <c r="H2851" s="88">
        <v>0.70641374999999995</v>
      </c>
      <c r="I2851" s="77">
        <v>0.96501809999999999</v>
      </c>
      <c r="J2851" s="15">
        <v>65.853999999999999</v>
      </c>
    </row>
    <row r="2852" spans="8:10">
      <c r="H2852" s="88">
        <v>0.70684236</v>
      </c>
      <c r="I2852" s="77">
        <v>0.96502005999999996</v>
      </c>
      <c r="J2852" s="15">
        <v>65.855000000000004</v>
      </c>
    </row>
    <row r="2853" spans="8:10">
      <c r="H2853" s="88">
        <v>0.70727192999999999</v>
      </c>
      <c r="I2853" s="77">
        <v>0.96502200000000005</v>
      </c>
      <c r="J2853" s="15">
        <v>65.855999999999995</v>
      </c>
    </row>
    <row r="2854" spans="8:10">
      <c r="H2854" s="88">
        <v>0.70770239999999995</v>
      </c>
      <c r="I2854" s="77">
        <v>0.96502399999999999</v>
      </c>
      <c r="J2854" s="15">
        <v>65.856999999999999</v>
      </c>
    </row>
    <row r="2855" spans="8:10">
      <c r="H2855" s="88">
        <v>0.70813380000000004</v>
      </c>
      <c r="I2855" s="77">
        <v>0.96502595999999996</v>
      </c>
      <c r="J2855" s="15">
        <v>65.858000000000004</v>
      </c>
    </row>
    <row r="2856" spans="8:10">
      <c r="H2856" s="88">
        <v>0.70856609999999998</v>
      </c>
      <c r="I2856" s="77">
        <v>0.96502790000000005</v>
      </c>
      <c r="J2856" s="15">
        <v>65.858999999999995</v>
      </c>
    </row>
    <row r="2857" spans="8:10">
      <c r="H2857" s="88">
        <v>0.70899939999999995</v>
      </c>
      <c r="I2857" s="77">
        <v>0.96502995000000003</v>
      </c>
      <c r="J2857" s="15">
        <v>65.86</v>
      </c>
    </row>
    <row r="2858" spans="8:10">
      <c r="H2858" s="88">
        <v>0.7094336</v>
      </c>
      <c r="I2858" s="77">
        <v>0.96503190000000005</v>
      </c>
      <c r="J2858" s="15">
        <v>65.861000000000004</v>
      </c>
    </row>
    <row r="2859" spans="8:10">
      <c r="H2859" s="88">
        <v>0.70986870000000002</v>
      </c>
      <c r="I2859" s="77">
        <v>0.9650339</v>
      </c>
      <c r="J2859" s="15">
        <v>65.861999999999995</v>
      </c>
    </row>
    <row r="2860" spans="8:10">
      <c r="H2860" s="88">
        <v>0.71030479999999996</v>
      </c>
      <c r="I2860" s="77">
        <v>0.96503589999999995</v>
      </c>
      <c r="J2860" s="15">
        <v>65.863</v>
      </c>
    </row>
    <row r="2861" spans="8:10">
      <c r="H2861" s="88">
        <v>0.71074179999999998</v>
      </c>
      <c r="I2861" s="77">
        <v>0.9650379</v>
      </c>
      <c r="J2861" s="15">
        <v>65.864000000000004</v>
      </c>
    </row>
    <row r="2862" spans="8:10">
      <c r="H2862" s="88">
        <v>0.71117980000000003</v>
      </c>
      <c r="I2862" s="77">
        <v>0.96503989999999995</v>
      </c>
      <c r="J2862" s="15">
        <v>65.864999999999995</v>
      </c>
    </row>
    <row r="2863" spans="8:10">
      <c r="H2863" s="88">
        <v>0.71161865999999996</v>
      </c>
      <c r="I2863" s="77">
        <v>0.96504190000000001</v>
      </c>
      <c r="J2863" s="15">
        <v>65.866</v>
      </c>
    </row>
    <row r="2864" spans="8:10">
      <c r="H2864" s="88">
        <v>0.71205854000000002</v>
      </c>
      <c r="I2864" s="77">
        <v>0.96504389999999995</v>
      </c>
      <c r="J2864" s="15">
        <v>65.867000000000004</v>
      </c>
    </row>
    <row r="2865" spans="8:10">
      <c r="H2865" s="88">
        <v>0.71249929999999995</v>
      </c>
      <c r="I2865" s="77">
        <v>0.96504590000000001</v>
      </c>
      <c r="J2865" s="15">
        <v>65.867999999999995</v>
      </c>
    </row>
    <row r="2866" spans="8:10">
      <c r="H2866" s="88">
        <v>0.71294104999999997</v>
      </c>
      <c r="I2866" s="77">
        <v>0.96504789999999996</v>
      </c>
      <c r="J2866" s="15">
        <v>65.869</v>
      </c>
    </row>
    <row r="2867" spans="8:10">
      <c r="H2867" s="88">
        <v>0.71338380000000001</v>
      </c>
      <c r="I2867" s="77">
        <v>0.96504990000000002</v>
      </c>
      <c r="J2867" s="15">
        <v>65.87</v>
      </c>
    </row>
    <row r="2868" spans="8:10">
      <c r="H2868" s="88">
        <v>0.71382743000000004</v>
      </c>
      <c r="I2868" s="77">
        <v>0.96505194999999999</v>
      </c>
      <c r="J2868" s="15">
        <v>65.870999999999995</v>
      </c>
    </row>
    <row r="2869" spans="8:10">
      <c r="H2869" s="88">
        <v>0.71427200000000002</v>
      </c>
      <c r="I2869" s="77">
        <v>0.96505399999999997</v>
      </c>
      <c r="J2869" s="15">
        <v>65.872</v>
      </c>
    </row>
    <row r="2870" spans="8:10">
      <c r="H2870" s="88">
        <v>0.71471757000000002</v>
      </c>
      <c r="I2870" s="77">
        <v>0.96505600000000002</v>
      </c>
      <c r="J2870" s="15">
        <v>65.873000000000005</v>
      </c>
    </row>
    <row r="2871" spans="8:10">
      <c r="H2871" s="88">
        <v>0.71516409999999997</v>
      </c>
      <c r="I2871" s="77">
        <v>0.96505799999999997</v>
      </c>
      <c r="J2871" s="15">
        <v>65.873999999999995</v>
      </c>
    </row>
    <row r="2872" spans="8:10">
      <c r="H2872" s="88">
        <v>0.71561163999999999</v>
      </c>
      <c r="I2872" s="77">
        <v>0.96506006</v>
      </c>
      <c r="J2872" s="15">
        <v>65.875</v>
      </c>
    </row>
    <row r="2873" spans="8:10">
      <c r="H2873" s="88">
        <v>0.71606009999999998</v>
      </c>
      <c r="I2873" s="77">
        <v>0.96506210000000003</v>
      </c>
      <c r="J2873" s="15">
        <v>65.876000000000005</v>
      </c>
    </row>
    <row r="2874" spans="8:10">
      <c r="H2874" s="88">
        <v>0.71650950000000002</v>
      </c>
      <c r="I2874" s="77">
        <v>0.96506409999999998</v>
      </c>
      <c r="J2874" s="15">
        <v>65.876999999999995</v>
      </c>
    </row>
    <row r="2875" spans="8:10">
      <c r="H2875" s="88">
        <v>0.71695989999999998</v>
      </c>
      <c r="I2875" s="77">
        <v>0.96506619999999999</v>
      </c>
      <c r="J2875" s="15">
        <v>65.878</v>
      </c>
    </row>
    <row r="2876" spans="8:10">
      <c r="H2876" s="88">
        <v>0.71741129999999997</v>
      </c>
      <c r="I2876" s="77">
        <v>0.96506820000000004</v>
      </c>
      <c r="J2876" s="15">
        <v>65.879000000000005</v>
      </c>
    </row>
    <row r="2877" spans="8:10">
      <c r="H2877" s="88">
        <v>0.71786360000000005</v>
      </c>
      <c r="I2877" s="77">
        <v>0.96507025000000002</v>
      </c>
      <c r="J2877" s="15">
        <v>65.88</v>
      </c>
    </row>
    <row r="2878" spans="8:10">
      <c r="H2878" s="88">
        <v>0.71831690000000004</v>
      </c>
      <c r="I2878" s="77">
        <v>0.96507233000000003</v>
      </c>
      <c r="J2878" s="15">
        <v>65.881</v>
      </c>
    </row>
    <row r="2879" spans="8:10">
      <c r="H2879" s="88">
        <v>0.71877120000000005</v>
      </c>
      <c r="I2879" s="77">
        <v>0.96507436000000002</v>
      </c>
      <c r="J2879" s="15">
        <v>65.882000000000005</v>
      </c>
    </row>
    <row r="2880" spans="8:10">
      <c r="H2880" s="88">
        <v>0.71922649999999999</v>
      </c>
      <c r="I2880" s="77">
        <v>0.96507644999999997</v>
      </c>
      <c r="J2880" s="15">
        <v>65.882999999999996</v>
      </c>
    </row>
    <row r="2881" spans="8:10">
      <c r="H2881" s="88">
        <v>0.71968275000000004</v>
      </c>
      <c r="I2881" s="77">
        <v>0.96507849999999995</v>
      </c>
      <c r="J2881" s="15">
        <v>65.884</v>
      </c>
    </row>
    <row r="2882" spans="8:10">
      <c r="H2882" s="88">
        <v>0.72014</v>
      </c>
      <c r="I2882" s="77">
        <v>0.96508055999999998</v>
      </c>
      <c r="J2882" s="15">
        <v>65.885000000000005</v>
      </c>
    </row>
    <row r="2883" spans="8:10">
      <c r="H2883" s="88">
        <v>0.72059819999999997</v>
      </c>
      <c r="I2883" s="77">
        <v>0.96508265000000004</v>
      </c>
      <c r="J2883" s="15">
        <v>65.885999999999996</v>
      </c>
    </row>
    <row r="2884" spans="8:10">
      <c r="H2884" s="88">
        <v>0.72105750000000002</v>
      </c>
      <c r="I2884" s="77">
        <v>0.96508472999999995</v>
      </c>
      <c r="J2884" s="15">
        <v>65.887</v>
      </c>
    </row>
    <row r="2885" spans="8:10">
      <c r="H2885" s="88">
        <v>0.72151770000000004</v>
      </c>
      <c r="I2885" s="77">
        <v>0.96508676000000004</v>
      </c>
      <c r="J2885" s="15">
        <v>65.888000000000005</v>
      </c>
    </row>
    <row r="2886" spans="8:10">
      <c r="H2886" s="88">
        <v>0.72197884000000001</v>
      </c>
      <c r="I2886" s="77">
        <v>0.96508883999999995</v>
      </c>
      <c r="J2886" s="15">
        <v>65.888999999999996</v>
      </c>
    </row>
    <row r="2887" spans="8:10">
      <c r="H2887" s="88">
        <v>0.72244109999999995</v>
      </c>
      <c r="I2887" s="77">
        <v>0.96509093000000001</v>
      </c>
      <c r="J2887" s="15">
        <v>65.89</v>
      </c>
    </row>
    <row r="2888" spans="8:10">
      <c r="H2888" s="88">
        <v>0.72290425999999997</v>
      </c>
      <c r="I2888" s="77">
        <v>0.96509299999999998</v>
      </c>
      <c r="J2888" s="15">
        <v>65.891000000000005</v>
      </c>
    </row>
    <row r="2889" spans="8:10">
      <c r="H2889" s="88">
        <v>0.72336840000000002</v>
      </c>
      <c r="I2889" s="77">
        <v>0.96509515999999995</v>
      </c>
      <c r="J2889" s="15">
        <v>65.891999999999996</v>
      </c>
    </row>
    <row r="2890" spans="8:10">
      <c r="H2890" s="88">
        <v>0.72383359999999997</v>
      </c>
      <c r="I2890" s="77">
        <v>0.96509725000000002</v>
      </c>
      <c r="J2890" s="15">
        <v>65.893000000000001</v>
      </c>
    </row>
    <row r="2891" spans="8:10">
      <c r="H2891" s="88">
        <v>0.72429980000000005</v>
      </c>
      <c r="I2891" s="77">
        <v>0.96509933000000003</v>
      </c>
      <c r="J2891" s="15">
        <v>65.894000000000005</v>
      </c>
    </row>
    <row r="2892" spans="8:10">
      <c r="H2892" s="88">
        <v>0.72476700000000005</v>
      </c>
      <c r="I2892" s="77">
        <v>0.9651014</v>
      </c>
      <c r="J2892" s="15">
        <v>65.894999999999996</v>
      </c>
    </row>
    <row r="2893" spans="8:10">
      <c r="H2893" s="88">
        <v>0.72523519999999997</v>
      </c>
      <c r="I2893" s="77">
        <v>0.96510357000000002</v>
      </c>
      <c r="J2893" s="15">
        <v>65.896000000000001</v>
      </c>
    </row>
    <row r="2894" spans="8:10">
      <c r="H2894" s="88">
        <v>0.72570442999999996</v>
      </c>
      <c r="I2894" s="77">
        <v>0.96510565000000004</v>
      </c>
      <c r="J2894" s="15">
        <v>65.897000000000006</v>
      </c>
    </row>
    <row r="2895" spans="8:10">
      <c r="H2895" s="88">
        <v>0.7261746</v>
      </c>
      <c r="I2895" s="77">
        <v>0.96510779999999996</v>
      </c>
      <c r="J2895" s="15">
        <v>65.897999999999996</v>
      </c>
    </row>
    <row r="2896" spans="8:10">
      <c r="H2896" s="88">
        <v>0.72664580000000001</v>
      </c>
      <c r="I2896" s="77">
        <v>0.96510989999999997</v>
      </c>
      <c r="J2896" s="15">
        <v>65.899000000000001</v>
      </c>
    </row>
    <row r="2897" spans="8:10">
      <c r="H2897" s="88">
        <v>0.72711809999999999</v>
      </c>
      <c r="I2897" s="77">
        <v>0.96511203000000001</v>
      </c>
      <c r="J2897" s="15">
        <v>65.900000000000006</v>
      </c>
    </row>
    <row r="2898" spans="8:10">
      <c r="H2898" s="88">
        <v>0.72759134000000003</v>
      </c>
      <c r="I2898" s="77">
        <v>0.96511420000000003</v>
      </c>
      <c r="J2898" s="15">
        <v>65.900999999999996</v>
      </c>
    </row>
    <row r="2899" spans="8:10">
      <c r="H2899" s="88">
        <v>0.72806559999999998</v>
      </c>
      <c r="I2899" s="77">
        <v>0.96511625999999995</v>
      </c>
      <c r="J2899" s="15">
        <v>65.902000000000001</v>
      </c>
    </row>
    <row r="2900" spans="8:10">
      <c r="H2900" s="88">
        <v>0.72854090000000005</v>
      </c>
      <c r="I2900" s="77">
        <v>0.96511840000000004</v>
      </c>
      <c r="J2900" s="15">
        <v>65.903000000000006</v>
      </c>
    </row>
    <row r="2901" spans="8:10">
      <c r="H2901" s="88">
        <v>0.72901720000000003</v>
      </c>
      <c r="I2901" s="77">
        <v>0.96512054999999997</v>
      </c>
      <c r="J2901" s="15">
        <v>65.903999999999996</v>
      </c>
    </row>
    <row r="2902" spans="8:10">
      <c r="H2902" s="88">
        <v>0.72949450000000005</v>
      </c>
      <c r="I2902" s="77">
        <v>0.9651227</v>
      </c>
      <c r="J2902" s="15">
        <v>65.905000000000001</v>
      </c>
    </row>
    <row r="2903" spans="8:10">
      <c r="H2903" s="88">
        <v>0.72997290000000004</v>
      </c>
      <c r="I2903" s="77">
        <v>0.96512485000000003</v>
      </c>
      <c r="J2903" s="15">
        <v>65.906000000000006</v>
      </c>
    </row>
    <row r="2904" spans="8:10">
      <c r="H2904" s="88">
        <v>0.73045230000000005</v>
      </c>
      <c r="I2904" s="77">
        <v>0.96512699999999996</v>
      </c>
      <c r="J2904" s="15">
        <v>65.906999999999996</v>
      </c>
    </row>
    <row r="2905" spans="8:10">
      <c r="H2905" s="88">
        <v>0.73093264999999996</v>
      </c>
      <c r="I2905" s="77">
        <v>0.96512920000000002</v>
      </c>
      <c r="J2905" s="15">
        <v>65.908000000000001</v>
      </c>
    </row>
    <row r="2906" spans="8:10">
      <c r="H2906" s="88">
        <v>0.73141414000000005</v>
      </c>
      <c r="I2906" s="77">
        <v>0.96513134</v>
      </c>
      <c r="J2906" s="15">
        <v>65.909000000000006</v>
      </c>
    </row>
    <row r="2907" spans="8:10">
      <c r="H2907" s="88">
        <v>0.73189660000000001</v>
      </c>
      <c r="I2907" s="77">
        <v>0.96513349999999998</v>
      </c>
      <c r="J2907" s="15">
        <v>65.91</v>
      </c>
    </row>
    <row r="2908" spans="8:10">
      <c r="H2908" s="88">
        <v>0.73238009999999998</v>
      </c>
      <c r="I2908" s="77">
        <v>0.96513570000000004</v>
      </c>
      <c r="J2908" s="15">
        <v>65.911000000000001</v>
      </c>
    </row>
    <row r="2909" spans="8:10">
      <c r="H2909" s="88">
        <v>0.73286459999999998</v>
      </c>
      <c r="I2909" s="77">
        <v>0.96513784000000002</v>
      </c>
      <c r="J2909" s="15">
        <v>65.912000000000006</v>
      </c>
    </row>
    <row r="2910" spans="8:10">
      <c r="H2910" s="88">
        <v>0.73335015999999997</v>
      </c>
      <c r="I2910" s="77">
        <v>0.96514003999999998</v>
      </c>
      <c r="J2910" s="15">
        <v>65.912999999999997</v>
      </c>
    </row>
    <row r="2911" spans="8:10">
      <c r="H2911" s="88">
        <v>0.73383677000000003</v>
      </c>
      <c r="I2911" s="77">
        <v>0.96514219999999995</v>
      </c>
      <c r="J2911" s="15">
        <v>65.914000000000001</v>
      </c>
    </row>
    <row r="2912" spans="8:10">
      <c r="H2912" s="88">
        <v>0.73432439999999999</v>
      </c>
      <c r="I2912" s="77">
        <v>0.96514440000000001</v>
      </c>
      <c r="J2912" s="15">
        <v>65.915000000000006</v>
      </c>
    </row>
    <row r="2913" spans="8:10">
      <c r="H2913" s="88">
        <v>0.7348131</v>
      </c>
      <c r="I2913" s="77">
        <v>0.96514659999999997</v>
      </c>
      <c r="J2913" s="15">
        <v>65.915999999999997</v>
      </c>
    </row>
    <row r="2914" spans="8:10">
      <c r="H2914" s="88">
        <v>0.73530280000000003</v>
      </c>
      <c r="I2914" s="77">
        <v>0.96514880000000003</v>
      </c>
      <c r="J2914" s="15">
        <v>65.917000000000002</v>
      </c>
    </row>
    <row r="2915" spans="8:10">
      <c r="H2915" s="88">
        <v>0.73579360000000005</v>
      </c>
      <c r="I2915" s="77">
        <v>0.96515099999999998</v>
      </c>
      <c r="J2915" s="15">
        <v>65.918000000000006</v>
      </c>
    </row>
    <row r="2916" spans="8:10">
      <c r="H2916" s="88">
        <v>0.73628539999999998</v>
      </c>
      <c r="I2916" s="77">
        <v>0.96515320000000004</v>
      </c>
      <c r="J2916" s="15">
        <v>65.918999999999997</v>
      </c>
    </row>
    <row r="2917" spans="8:10">
      <c r="H2917" s="88">
        <v>0.73677826000000002</v>
      </c>
      <c r="I2917" s="77">
        <v>0.9651554</v>
      </c>
      <c r="J2917" s="15">
        <v>65.92</v>
      </c>
    </row>
    <row r="2918" spans="8:10">
      <c r="H2918" s="88">
        <v>0.73727213999999996</v>
      </c>
      <c r="I2918" s="77">
        <v>0.96515759999999995</v>
      </c>
      <c r="J2918" s="15">
        <v>65.921000000000006</v>
      </c>
    </row>
    <row r="2919" spans="8:10">
      <c r="H2919" s="88">
        <v>0.73776710000000001</v>
      </c>
      <c r="I2919" s="77">
        <v>0.96515983000000005</v>
      </c>
      <c r="J2919" s="15">
        <v>65.921999999999997</v>
      </c>
    </row>
    <row r="2920" spans="8:10">
      <c r="H2920" s="88">
        <v>0.73826309999999995</v>
      </c>
      <c r="I2920" s="77">
        <v>0.96516210000000002</v>
      </c>
      <c r="J2920" s="15">
        <v>65.923000000000002</v>
      </c>
    </row>
    <row r="2921" spans="8:10">
      <c r="H2921" s="88">
        <v>0.73876010000000003</v>
      </c>
      <c r="I2921" s="77">
        <v>0.96516429999999998</v>
      </c>
      <c r="J2921" s="15">
        <v>65.924000000000007</v>
      </c>
    </row>
    <row r="2922" spans="8:10">
      <c r="H2922" s="88">
        <v>0.73925819999999998</v>
      </c>
      <c r="I2922" s="77">
        <v>0.96516650000000004</v>
      </c>
      <c r="J2922" s="15">
        <v>65.924999999999997</v>
      </c>
    </row>
    <row r="2923" spans="8:10">
      <c r="H2923" s="88">
        <v>0.73975740000000001</v>
      </c>
      <c r="I2923" s="77">
        <v>0.96516880000000005</v>
      </c>
      <c r="J2923" s="15">
        <v>65.926000000000002</v>
      </c>
    </row>
    <row r="2924" spans="8:10">
      <c r="H2924" s="88">
        <v>0.74025759999999996</v>
      </c>
      <c r="I2924" s="77">
        <v>0.96517103999999998</v>
      </c>
      <c r="J2924" s="15">
        <v>65.927000000000007</v>
      </c>
    </row>
    <row r="2925" spans="8:10">
      <c r="H2925" s="88">
        <v>0.7407589</v>
      </c>
      <c r="I2925" s="77">
        <v>0.96517324000000004</v>
      </c>
      <c r="J2925" s="15">
        <v>65.927999999999997</v>
      </c>
    </row>
    <row r="2926" spans="8:10">
      <c r="H2926" s="88">
        <v>0.74126119999999995</v>
      </c>
      <c r="I2926" s="77">
        <v>0.96517549999999996</v>
      </c>
      <c r="J2926" s="15">
        <v>65.929000000000002</v>
      </c>
    </row>
    <row r="2927" spans="8:10">
      <c r="H2927" s="88">
        <v>0.7417646</v>
      </c>
      <c r="I2927" s="77">
        <v>0.96517779999999997</v>
      </c>
      <c r="J2927" s="15">
        <v>65.930000000000007</v>
      </c>
    </row>
    <row r="2928" spans="8:10">
      <c r="H2928" s="88">
        <v>0.74226904000000005</v>
      </c>
      <c r="I2928" s="77">
        <v>0.96518004000000002</v>
      </c>
      <c r="J2928" s="15">
        <v>65.930999999999997</v>
      </c>
    </row>
    <row r="2929" spans="8:10">
      <c r="H2929" s="88">
        <v>0.74277455000000003</v>
      </c>
      <c r="I2929" s="77">
        <v>0.96518230000000005</v>
      </c>
      <c r="J2929" s="15">
        <v>65.932000000000002</v>
      </c>
    </row>
    <row r="2930" spans="8:10">
      <c r="H2930" s="88">
        <v>0.74328106999999999</v>
      </c>
      <c r="I2930" s="77">
        <v>0.96518457000000002</v>
      </c>
      <c r="J2930" s="15">
        <v>65.933000000000007</v>
      </c>
    </row>
    <row r="2931" spans="8:10">
      <c r="H2931" s="88">
        <v>0.74378869999999997</v>
      </c>
      <c r="I2931" s="77">
        <v>0.96518683000000005</v>
      </c>
      <c r="J2931" s="15">
        <v>65.933999999999997</v>
      </c>
    </row>
    <row r="2932" spans="8:10">
      <c r="H2932" s="88">
        <v>0.7442974</v>
      </c>
      <c r="I2932" s="77">
        <v>0.96518915999999999</v>
      </c>
      <c r="J2932" s="15">
        <v>65.935000000000002</v>
      </c>
    </row>
    <row r="2933" spans="8:10">
      <c r="H2933" s="88">
        <v>0.7448072</v>
      </c>
      <c r="I2933" s="77">
        <v>0.96519140000000003</v>
      </c>
      <c r="J2933" s="15">
        <v>65.936000000000007</v>
      </c>
    </row>
    <row r="2934" spans="8:10">
      <c r="H2934" s="88">
        <v>0.74531800000000004</v>
      </c>
      <c r="I2934" s="77">
        <v>0.96519374999999996</v>
      </c>
      <c r="J2934" s="15">
        <v>65.936999999999998</v>
      </c>
    </row>
    <row r="2935" spans="8:10">
      <c r="H2935" s="88">
        <v>0.74582990000000005</v>
      </c>
      <c r="I2935" s="77">
        <v>0.96519600000000005</v>
      </c>
      <c r="J2935" s="15">
        <v>65.938000000000002</v>
      </c>
    </row>
    <row r="2936" spans="8:10">
      <c r="H2936" s="88">
        <v>0.74634283999999995</v>
      </c>
      <c r="I2936" s="77">
        <v>0.96519834000000004</v>
      </c>
      <c r="J2936" s="15">
        <v>65.938999999999993</v>
      </c>
    </row>
    <row r="2937" spans="8:10">
      <c r="H2937" s="88">
        <v>0.74685687000000001</v>
      </c>
      <c r="I2937" s="77">
        <v>0.96520066000000004</v>
      </c>
      <c r="J2937" s="15">
        <v>65.94</v>
      </c>
    </row>
    <row r="2938" spans="8:10">
      <c r="H2938" s="88">
        <v>0.74737200000000004</v>
      </c>
      <c r="I2938" s="77">
        <v>0.96520289999999997</v>
      </c>
      <c r="J2938" s="15">
        <v>65.941000000000003</v>
      </c>
    </row>
    <row r="2939" spans="8:10">
      <c r="H2939" s="88">
        <v>0.74788809999999994</v>
      </c>
      <c r="I2939" s="77">
        <v>0.96520525000000001</v>
      </c>
      <c r="J2939" s="15">
        <v>65.941999999999993</v>
      </c>
    </row>
    <row r="2940" spans="8:10">
      <c r="H2940" s="88">
        <v>0.74840534000000003</v>
      </c>
      <c r="I2940" s="77">
        <v>0.96520760000000005</v>
      </c>
      <c r="J2940" s="15">
        <v>65.942999999999998</v>
      </c>
    </row>
    <row r="2941" spans="8:10">
      <c r="H2941" s="88">
        <v>0.74892365999999999</v>
      </c>
      <c r="I2941" s="77">
        <v>0.96520989999999995</v>
      </c>
      <c r="J2941" s="15">
        <v>65.944000000000003</v>
      </c>
    </row>
    <row r="2942" spans="8:10">
      <c r="H2942" s="88">
        <v>0.74944299999999997</v>
      </c>
      <c r="I2942" s="77">
        <v>0.96521230000000002</v>
      </c>
      <c r="J2942" s="15">
        <v>65.944999999999993</v>
      </c>
    </row>
    <row r="2943" spans="8:10">
      <c r="H2943" s="88">
        <v>0.74996346000000003</v>
      </c>
      <c r="I2943" s="77">
        <v>0.96521460000000003</v>
      </c>
      <c r="J2943" s="15">
        <v>65.945999999999998</v>
      </c>
    </row>
    <row r="2944" spans="8:10">
      <c r="H2944" s="88">
        <v>0.75048499999999996</v>
      </c>
      <c r="I2944" s="77">
        <v>0.96521692999999997</v>
      </c>
      <c r="J2944" s="15">
        <v>65.947000000000003</v>
      </c>
    </row>
    <row r="2945" spans="8:10">
      <c r="H2945" s="88">
        <v>0.7510076</v>
      </c>
      <c r="I2945" s="77">
        <v>0.9652193</v>
      </c>
      <c r="J2945" s="15">
        <v>65.947999999999993</v>
      </c>
    </row>
    <row r="2946" spans="8:10">
      <c r="H2946" s="88">
        <v>0.75153124000000004</v>
      </c>
      <c r="I2946" s="77">
        <v>0.96522163999999999</v>
      </c>
      <c r="J2946" s="15">
        <v>65.948999999999998</v>
      </c>
    </row>
    <row r="2947" spans="8:10">
      <c r="H2947" s="88">
        <v>0.75205599999999995</v>
      </c>
      <c r="I2947" s="77">
        <v>0.96522399999999997</v>
      </c>
      <c r="J2947" s="15">
        <v>65.95</v>
      </c>
    </row>
    <row r="2948" spans="8:10">
      <c r="H2948" s="88">
        <v>0.75258183000000001</v>
      </c>
      <c r="I2948" s="77">
        <v>0.96522640000000004</v>
      </c>
      <c r="J2948" s="15">
        <v>65.950999999999993</v>
      </c>
    </row>
    <row r="2949" spans="8:10">
      <c r="H2949" s="88">
        <v>0.75310874000000005</v>
      </c>
      <c r="I2949" s="77">
        <v>0.96522874000000003</v>
      </c>
      <c r="J2949" s="15">
        <v>65.951999999999998</v>
      </c>
    </row>
    <row r="2950" spans="8:10">
      <c r="H2950" s="88">
        <v>0.75363670000000005</v>
      </c>
      <c r="I2950" s="77">
        <v>0.96523110000000001</v>
      </c>
      <c r="J2950" s="15">
        <v>65.953000000000003</v>
      </c>
    </row>
    <row r="2951" spans="8:10">
      <c r="H2951" s="88">
        <v>0.75416576999999996</v>
      </c>
      <c r="I2951" s="77">
        <v>0.96523349999999997</v>
      </c>
      <c r="J2951" s="15">
        <v>65.953999999999994</v>
      </c>
    </row>
    <row r="2952" spans="8:10">
      <c r="H2952" s="88">
        <v>0.75469589999999998</v>
      </c>
      <c r="I2952" s="77">
        <v>0.96523590000000004</v>
      </c>
      <c r="J2952" s="15">
        <v>65.954999999999998</v>
      </c>
    </row>
    <row r="2953" spans="8:10">
      <c r="H2953" s="88">
        <v>0.75522710000000004</v>
      </c>
      <c r="I2953" s="77">
        <v>0.96523833000000003</v>
      </c>
      <c r="J2953" s="15">
        <v>65.956000000000003</v>
      </c>
    </row>
    <row r="2954" spans="8:10">
      <c r="H2954" s="88">
        <v>0.75575935999999999</v>
      </c>
      <c r="I2954" s="77">
        <v>0.96524069999999995</v>
      </c>
      <c r="J2954" s="15">
        <v>65.956999999999994</v>
      </c>
    </row>
    <row r="2955" spans="8:10">
      <c r="H2955" s="88">
        <v>0.75629276000000001</v>
      </c>
      <c r="I2955" s="77">
        <v>0.96524310000000002</v>
      </c>
      <c r="J2955" s="15">
        <v>65.957999999999998</v>
      </c>
    </row>
    <row r="2956" spans="8:10">
      <c r="H2956" s="88">
        <v>0.75682720000000003</v>
      </c>
      <c r="I2956" s="77">
        <v>0.96524553999999996</v>
      </c>
      <c r="J2956" s="15">
        <v>65.959000000000003</v>
      </c>
    </row>
    <row r="2957" spans="8:10">
      <c r="H2957" s="88">
        <v>0.75736265999999997</v>
      </c>
      <c r="I2957" s="77">
        <v>0.96524799999999999</v>
      </c>
      <c r="J2957" s="15">
        <v>65.959999999999994</v>
      </c>
    </row>
    <row r="2958" spans="8:10">
      <c r="H2958" s="88">
        <v>0.75789930000000005</v>
      </c>
      <c r="I2958" s="77">
        <v>0.96525039999999995</v>
      </c>
      <c r="J2958" s="15">
        <v>65.960999999999999</v>
      </c>
    </row>
    <row r="2959" spans="8:10">
      <c r="H2959" s="88">
        <v>0.75843700000000003</v>
      </c>
      <c r="I2959" s="77">
        <v>0.96525280000000002</v>
      </c>
      <c r="J2959" s="15">
        <v>65.962000000000003</v>
      </c>
    </row>
    <row r="2960" spans="8:10">
      <c r="H2960" s="88">
        <v>0.75897570000000003</v>
      </c>
      <c r="I2960" s="77">
        <v>0.96525525999999995</v>
      </c>
      <c r="J2960" s="15">
        <v>65.962999999999994</v>
      </c>
    </row>
    <row r="2961" spans="8:10">
      <c r="H2961" s="88">
        <v>0.75951550000000001</v>
      </c>
      <c r="I2961" s="77">
        <v>0.9652577</v>
      </c>
      <c r="J2961" s="15">
        <v>65.963999999999999</v>
      </c>
    </row>
    <row r="2962" spans="8:10">
      <c r="H2962" s="88">
        <v>0.76005644000000006</v>
      </c>
      <c r="I2962" s="77">
        <v>0.96526014999999998</v>
      </c>
      <c r="J2962" s="15">
        <v>65.965000000000003</v>
      </c>
    </row>
    <row r="2963" spans="8:10">
      <c r="H2963" s="88">
        <v>0.76059840000000001</v>
      </c>
      <c r="I2963" s="77">
        <v>0.96526259999999997</v>
      </c>
      <c r="J2963" s="15">
        <v>65.965999999999994</v>
      </c>
    </row>
    <row r="2964" spans="8:10">
      <c r="H2964" s="88">
        <v>0.76114150000000003</v>
      </c>
      <c r="I2964" s="77">
        <v>0.96526509999999999</v>
      </c>
      <c r="J2964" s="15">
        <v>65.966999999999999</v>
      </c>
    </row>
    <row r="2965" spans="8:10">
      <c r="H2965" s="88">
        <v>0.76168559999999996</v>
      </c>
      <c r="I2965" s="77">
        <v>0.96526754000000003</v>
      </c>
      <c r="J2965" s="15">
        <v>65.968000000000004</v>
      </c>
    </row>
    <row r="2966" spans="8:10">
      <c r="H2966" s="88">
        <v>0.76223079999999999</v>
      </c>
      <c r="I2966" s="77">
        <v>0.96527004000000005</v>
      </c>
      <c r="J2966" s="15">
        <v>65.968999999999994</v>
      </c>
    </row>
    <row r="2967" spans="8:10">
      <c r="H2967" s="88">
        <v>0.76277709999999999</v>
      </c>
      <c r="I2967" s="77">
        <v>0.96527249999999998</v>
      </c>
      <c r="J2967" s="15">
        <v>65.97</v>
      </c>
    </row>
    <row r="2968" spans="8:10">
      <c r="H2968" s="88">
        <v>0.76332443999999999</v>
      </c>
      <c r="I2968" s="77">
        <v>0.96527499999999999</v>
      </c>
      <c r="J2968" s="15">
        <v>65.971000000000004</v>
      </c>
    </row>
    <row r="2969" spans="8:10">
      <c r="H2969" s="88">
        <v>0.76387285999999999</v>
      </c>
      <c r="I2969" s="77">
        <v>0.96527750000000001</v>
      </c>
      <c r="J2969" s="15">
        <v>65.971999999999994</v>
      </c>
    </row>
    <row r="2970" spans="8:10">
      <c r="H2970" s="88">
        <v>0.76442235999999997</v>
      </c>
      <c r="I2970" s="77">
        <v>0.96528000000000003</v>
      </c>
      <c r="J2970" s="15">
        <v>65.972999999999999</v>
      </c>
    </row>
    <row r="2971" spans="8:10">
      <c r="H2971" s="88">
        <v>0.76497289999999996</v>
      </c>
      <c r="I2971" s="77">
        <v>0.96528250000000004</v>
      </c>
      <c r="J2971" s="15">
        <v>65.974000000000004</v>
      </c>
    </row>
    <row r="2972" spans="8:10">
      <c r="H2972" s="88">
        <v>0.76552456999999996</v>
      </c>
      <c r="I2972" s="77">
        <v>0.96528499999999995</v>
      </c>
      <c r="J2972" s="15">
        <v>65.974999999999994</v>
      </c>
    </row>
    <row r="2973" spans="8:10">
      <c r="H2973" s="88">
        <v>0.76607729999999996</v>
      </c>
      <c r="I2973" s="77">
        <v>0.96528756999999998</v>
      </c>
      <c r="J2973" s="15">
        <v>65.975999999999999</v>
      </c>
    </row>
    <row r="2974" spans="8:10">
      <c r="H2974" s="88">
        <v>0.76663106999999997</v>
      </c>
      <c r="I2974" s="77">
        <v>0.96529007</v>
      </c>
      <c r="J2974" s="15">
        <v>65.977000000000004</v>
      </c>
    </row>
    <row r="2975" spans="8:10">
      <c r="H2975" s="88">
        <v>0.76718589999999998</v>
      </c>
      <c r="I2975" s="77">
        <v>0.96529262999999998</v>
      </c>
      <c r="J2975" s="15">
        <v>65.977999999999994</v>
      </c>
    </row>
    <row r="2976" spans="8:10">
      <c r="H2976" s="88">
        <v>0.76774186</v>
      </c>
      <c r="I2976" s="77">
        <v>0.96529514000000005</v>
      </c>
      <c r="J2976" s="15">
        <v>65.978999999999999</v>
      </c>
    </row>
    <row r="2977" spans="8:10">
      <c r="H2977" s="88">
        <v>0.76829886000000003</v>
      </c>
      <c r="I2977" s="77">
        <v>0.96529770000000004</v>
      </c>
      <c r="J2977" s="15">
        <v>65.98</v>
      </c>
    </row>
    <row r="2978" spans="8:10">
      <c r="H2978" s="88">
        <v>0.76885689999999995</v>
      </c>
      <c r="I2978" s="77">
        <v>0.96530026000000002</v>
      </c>
      <c r="J2978" s="15">
        <v>65.980999999999995</v>
      </c>
    </row>
    <row r="2979" spans="8:10">
      <c r="H2979" s="88">
        <v>0.76941603000000003</v>
      </c>
      <c r="I2979" s="77">
        <v>0.96530280000000002</v>
      </c>
      <c r="J2979" s="15">
        <v>65.981999999999999</v>
      </c>
    </row>
    <row r="2980" spans="8:10">
      <c r="H2980" s="88">
        <v>0.7699762</v>
      </c>
      <c r="I2980" s="77">
        <v>0.96530539999999998</v>
      </c>
      <c r="J2980" s="15">
        <v>65.983000000000004</v>
      </c>
    </row>
    <row r="2981" spans="8:10">
      <c r="H2981" s="88">
        <v>0.77053749999999999</v>
      </c>
      <c r="I2981" s="77">
        <v>0.96530795000000003</v>
      </c>
      <c r="J2981" s="15">
        <v>65.983999999999995</v>
      </c>
    </row>
    <row r="2982" spans="8:10">
      <c r="H2982" s="88">
        <v>0.7710998</v>
      </c>
      <c r="I2982" s="77">
        <v>0.96531060000000002</v>
      </c>
      <c r="J2982" s="15">
        <v>65.984999999999999</v>
      </c>
    </row>
    <row r="2983" spans="8:10">
      <c r="H2983" s="88">
        <v>0.77166310000000005</v>
      </c>
      <c r="I2983" s="77">
        <v>0.96531314000000001</v>
      </c>
      <c r="J2983" s="15">
        <v>65.986000000000004</v>
      </c>
    </row>
    <row r="2984" spans="8:10">
      <c r="H2984" s="88">
        <v>0.77222760000000001</v>
      </c>
      <c r="I2984" s="77">
        <v>0.96531575999999997</v>
      </c>
      <c r="J2984" s="15">
        <v>65.986999999999995</v>
      </c>
    </row>
    <row r="2985" spans="8:10">
      <c r="H2985" s="88">
        <v>0.77279304999999998</v>
      </c>
      <c r="I2985" s="77">
        <v>0.96531840000000002</v>
      </c>
      <c r="J2985" s="15">
        <v>65.988</v>
      </c>
    </row>
    <row r="2986" spans="8:10">
      <c r="H2986" s="88">
        <v>0.77335960000000004</v>
      </c>
      <c r="I2986" s="77">
        <v>0.96532094000000002</v>
      </c>
      <c r="J2986" s="15">
        <v>65.989000000000004</v>
      </c>
    </row>
    <row r="2987" spans="8:10">
      <c r="H2987" s="88">
        <v>0.77392720000000004</v>
      </c>
      <c r="I2987" s="77">
        <v>0.96532357000000002</v>
      </c>
      <c r="J2987" s="15">
        <v>65.989999999999995</v>
      </c>
    </row>
    <row r="2988" spans="8:10">
      <c r="H2988" s="88">
        <v>0.77449584000000005</v>
      </c>
      <c r="I2988" s="77">
        <v>0.96532625000000005</v>
      </c>
      <c r="J2988" s="15">
        <v>65.991</v>
      </c>
    </row>
    <row r="2989" spans="8:10">
      <c r="H2989" s="88">
        <v>0.77506554000000005</v>
      </c>
      <c r="I2989" s="77">
        <v>0.96532890000000005</v>
      </c>
      <c r="J2989" s="15">
        <v>65.992000000000004</v>
      </c>
    </row>
    <row r="2990" spans="8:10">
      <c r="H2990" s="88">
        <v>0.77563625999999997</v>
      </c>
      <c r="I2990" s="77">
        <v>0.96533150000000001</v>
      </c>
      <c r="J2990" s="15">
        <v>65.992999999999995</v>
      </c>
    </row>
    <row r="2991" spans="8:10">
      <c r="H2991" s="88">
        <v>0.77620803999999999</v>
      </c>
      <c r="I2991" s="77">
        <v>0.96533420000000003</v>
      </c>
      <c r="J2991" s="15">
        <v>65.994</v>
      </c>
    </row>
    <row r="2992" spans="8:10">
      <c r="H2992" s="88">
        <v>0.7767809</v>
      </c>
      <c r="I2992" s="77">
        <v>0.96533679999999999</v>
      </c>
      <c r="J2992" s="15">
        <v>65.995000000000005</v>
      </c>
    </row>
    <row r="2993" spans="8:10">
      <c r="H2993" s="88">
        <v>0.77735469999999995</v>
      </c>
      <c r="I2993" s="77">
        <v>0.96533950000000002</v>
      </c>
      <c r="J2993" s="15">
        <v>65.995999999999995</v>
      </c>
    </row>
    <row r="2994" spans="8:10">
      <c r="H2994" s="88">
        <v>0.77792965999999997</v>
      </c>
      <c r="I2994" s="77">
        <v>0.96534215999999995</v>
      </c>
      <c r="J2994" s="15">
        <v>65.997</v>
      </c>
    </row>
    <row r="2995" spans="8:10">
      <c r="H2995" s="88">
        <v>0.77850560000000002</v>
      </c>
      <c r="I2995" s="77">
        <v>0.96534485000000003</v>
      </c>
      <c r="J2995" s="15">
        <v>65.998000000000005</v>
      </c>
    </row>
    <row r="2996" spans="8:10">
      <c r="H2996" s="88">
        <v>0.77908259999999996</v>
      </c>
      <c r="I2996" s="77">
        <v>0.96534750000000003</v>
      </c>
      <c r="J2996" s="15">
        <v>65.998999999999995</v>
      </c>
    </row>
    <row r="2997" spans="8:10">
      <c r="H2997" s="88">
        <v>0.77966060000000004</v>
      </c>
      <c r="I2997" s="77">
        <v>0.96535029999999999</v>
      </c>
      <c r="J2997" s="15">
        <v>66</v>
      </c>
    </row>
    <row r="2998" spans="8:10">
      <c r="H2998" s="88">
        <v>0.78023964000000001</v>
      </c>
      <c r="I2998" s="77">
        <v>0.96535294999999999</v>
      </c>
      <c r="J2998" s="15">
        <v>66.001000000000005</v>
      </c>
    </row>
    <row r="2999" spans="8:10">
      <c r="H2999" s="88">
        <v>0.78081970000000001</v>
      </c>
      <c r="I2999" s="77">
        <v>0.96535570000000004</v>
      </c>
      <c r="J2999" s="15">
        <v>66.001999999999995</v>
      </c>
    </row>
    <row r="3000" spans="8:10">
      <c r="H3000" s="88">
        <v>0.78140080000000001</v>
      </c>
      <c r="I3000" s="77">
        <v>0.96535839999999995</v>
      </c>
      <c r="J3000" s="15">
        <v>66.003</v>
      </c>
    </row>
    <row r="3001" spans="8:10">
      <c r="H3001" s="88">
        <v>0.78198290000000004</v>
      </c>
      <c r="I3001" s="77">
        <v>0.96536109999999997</v>
      </c>
      <c r="J3001" s="15">
        <v>66.004000000000005</v>
      </c>
    </row>
    <row r="3002" spans="8:10">
      <c r="H3002" s="88">
        <v>0.78256599999999998</v>
      </c>
      <c r="I3002" s="77">
        <v>0.96536385999999996</v>
      </c>
      <c r="J3002" s="15">
        <v>66.004999999999995</v>
      </c>
    </row>
    <row r="3003" spans="8:10">
      <c r="H3003" s="88">
        <v>0.78315014000000005</v>
      </c>
      <c r="I3003" s="77">
        <v>0.96536659999999996</v>
      </c>
      <c r="J3003" s="15">
        <v>66.006</v>
      </c>
    </row>
    <row r="3004" spans="8:10">
      <c r="H3004" s="88">
        <v>0.78373532999999995</v>
      </c>
      <c r="I3004" s="77">
        <v>0.96536940000000004</v>
      </c>
      <c r="J3004" s="15">
        <v>66.007000000000005</v>
      </c>
    </row>
    <row r="3005" spans="8:10">
      <c r="H3005" s="88">
        <v>0.7843215</v>
      </c>
      <c r="I3005" s="77">
        <v>0.96537214999999998</v>
      </c>
      <c r="J3005" s="15">
        <v>66.007999999999996</v>
      </c>
    </row>
    <row r="3006" spans="8:10">
      <c r="H3006" s="88">
        <v>0.78490864999999999</v>
      </c>
      <c r="I3006" s="77">
        <v>0.96537494999999995</v>
      </c>
      <c r="J3006" s="15">
        <v>66.009</v>
      </c>
    </row>
    <row r="3007" spans="8:10">
      <c r="H3007" s="88">
        <v>0.78549683000000003</v>
      </c>
      <c r="I3007" s="77">
        <v>0.96537770000000001</v>
      </c>
      <c r="J3007" s="15">
        <v>66.010000000000005</v>
      </c>
    </row>
    <row r="3008" spans="8:10">
      <c r="H3008" s="88">
        <v>0.78608595999999997</v>
      </c>
      <c r="I3008" s="77">
        <v>0.96538049999999997</v>
      </c>
      <c r="J3008" s="15">
        <v>66.010999999999996</v>
      </c>
    </row>
    <row r="3009" spans="8:10">
      <c r="H3009" s="88">
        <v>0.78667617000000001</v>
      </c>
      <c r="I3009" s="77">
        <v>0.96538330000000006</v>
      </c>
      <c r="J3009" s="15">
        <v>66.012</v>
      </c>
    </row>
    <row r="3010" spans="8:10">
      <c r="H3010" s="88">
        <v>0.78726726999999996</v>
      </c>
      <c r="I3010" s="77">
        <v>0.96538610000000002</v>
      </c>
      <c r="J3010" s="15">
        <v>66.013000000000005</v>
      </c>
    </row>
    <row r="3011" spans="8:10">
      <c r="H3011" s="88">
        <v>0.78785943999999997</v>
      </c>
      <c r="I3011" s="77">
        <v>0.96538895000000002</v>
      </c>
      <c r="J3011" s="15">
        <v>66.013999999999996</v>
      </c>
    </row>
    <row r="3012" spans="8:10">
      <c r="H3012" s="88">
        <v>0.78845257000000002</v>
      </c>
      <c r="I3012" s="77">
        <v>0.96539176000000004</v>
      </c>
      <c r="J3012" s="15">
        <v>66.015000000000001</v>
      </c>
    </row>
    <row r="3013" spans="8:10">
      <c r="H3013" s="88">
        <v>0.78904664999999996</v>
      </c>
      <c r="I3013" s="77">
        <v>0.96539459999999999</v>
      </c>
      <c r="J3013" s="15">
        <v>66.016000000000005</v>
      </c>
    </row>
    <row r="3014" spans="8:10">
      <c r="H3014" s="88">
        <v>0.78964173999999998</v>
      </c>
      <c r="I3014" s="77">
        <v>0.96539739999999996</v>
      </c>
      <c r="J3014" s="15">
        <v>66.016999999999996</v>
      </c>
    </row>
    <row r="3015" spans="8:10">
      <c r="H3015" s="88">
        <v>0.79023779999999999</v>
      </c>
      <c r="I3015" s="77">
        <v>0.96540029999999999</v>
      </c>
      <c r="J3015" s="15">
        <v>66.018000000000001</v>
      </c>
    </row>
    <row r="3016" spans="8:10">
      <c r="H3016" s="88">
        <v>0.79083479999999995</v>
      </c>
      <c r="I3016" s="77">
        <v>0.96540320000000002</v>
      </c>
      <c r="J3016" s="15">
        <v>66.019000000000005</v>
      </c>
    </row>
    <row r="3017" spans="8:10">
      <c r="H3017" s="88">
        <v>0.79143280000000005</v>
      </c>
      <c r="I3017" s="77">
        <v>0.96540605999999995</v>
      </c>
      <c r="J3017" s="15">
        <v>66.02</v>
      </c>
    </row>
    <row r="3018" spans="8:10">
      <c r="H3018" s="88">
        <v>0.79203175999999997</v>
      </c>
      <c r="I3018" s="77">
        <v>0.96540890000000001</v>
      </c>
      <c r="J3018" s="15">
        <v>66.021000000000001</v>
      </c>
    </row>
    <row r="3019" spans="8:10">
      <c r="H3019" s="88">
        <v>0.79263159999999999</v>
      </c>
      <c r="I3019" s="77">
        <v>0.96541184000000002</v>
      </c>
      <c r="J3019" s="15">
        <v>66.022000000000006</v>
      </c>
    </row>
    <row r="3020" spans="8:10">
      <c r="H3020" s="88">
        <v>0.79323250000000001</v>
      </c>
      <c r="I3020" s="77">
        <v>0.96541476000000004</v>
      </c>
      <c r="J3020" s="15">
        <v>66.022999999999996</v>
      </c>
    </row>
    <row r="3021" spans="8:10">
      <c r="H3021" s="88">
        <v>0.79383426999999995</v>
      </c>
      <c r="I3021" s="77">
        <v>0.96541759999999999</v>
      </c>
      <c r="J3021" s="15">
        <v>66.024000000000001</v>
      </c>
    </row>
    <row r="3022" spans="8:10">
      <c r="H3022" s="88">
        <v>0.79443699999999995</v>
      </c>
      <c r="I3022" s="77">
        <v>0.96542053999999999</v>
      </c>
      <c r="J3022" s="15">
        <v>66.025000000000006</v>
      </c>
    </row>
    <row r="3023" spans="8:10">
      <c r="H3023" s="88">
        <v>0.79504067</v>
      </c>
      <c r="I3023" s="77">
        <v>0.96542349999999999</v>
      </c>
      <c r="J3023" s="15">
        <v>66.025999999999996</v>
      </c>
    </row>
    <row r="3024" spans="8:10">
      <c r="H3024" s="88">
        <v>0.79564524000000003</v>
      </c>
      <c r="I3024" s="77">
        <v>0.96542645000000005</v>
      </c>
      <c r="J3024" s="15">
        <v>66.027000000000001</v>
      </c>
    </row>
    <row r="3025" spans="8:10">
      <c r="H3025" s="88">
        <v>0.79625075999999995</v>
      </c>
      <c r="I3025" s="77">
        <v>0.96542939999999999</v>
      </c>
      <c r="J3025" s="15">
        <v>66.028000000000006</v>
      </c>
    </row>
    <row r="3026" spans="8:10">
      <c r="H3026" s="88">
        <v>0.79685720000000004</v>
      </c>
      <c r="I3026" s="77">
        <v>0.96543235000000005</v>
      </c>
      <c r="J3026" s="15">
        <v>66.028999999999996</v>
      </c>
    </row>
    <row r="3027" spans="8:10">
      <c r="H3027" s="88">
        <v>0.79746455000000005</v>
      </c>
      <c r="I3027" s="77">
        <v>0.9654353</v>
      </c>
      <c r="J3027" s="15">
        <v>66.03</v>
      </c>
    </row>
    <row r="3028" spans="8:10">
      <c r="H3028" s="88">
        <v>0.79807280000000003</v>
      </c>
      <c r="I3028" s="77">
        <v>0.96543836999999999</v>
      </c>
      <c r="J3028" s="15">
        <v>66.031000000000006</v>
      </c>
    </row>
    <row r="3029" spans="8:10">
      <c r="H3029" s="88">
        <v>0.798682</v>
      </c>
      <c r="I3029" s="77">
        <v>0.96544134999999998</v>
      </c>
      <c r="J3029" s="15">
        <v>66.031999999999996</v>
      </c>
    </row>
    <row r="3030" spans="8:10">
      <c r="H3030" s="88">
        <v>0.799292</v>
      </c>
      <c r="I3030" s="77">
        <v>0.96544430000000003</v>
      </c>
      <c r="J3030" s="15">
        <v>66.033000000000001</v>
      </c>
    </row>
    <row r="3031" spans="8:10">
      <c r="H3031" s="88">
        <v>0.79990300000000003</v>
      </c>
      <c r="I3031" s="77">
        <v>0.96544737000000003</v>
      </c>
      <c r="J3031" s="15">
        <v>66.034000000000006</v>
      </c>
    </row>
    <row r="3032" spans="8:10">
      <c r="H3032" s="88">
        <v>0.80051479999999997</v>
      </c>
      <c r="I3032" s="77">
        <v>0.96545040000000004</v>
      </c>
      <c r="J3032" s="15">
        <v>66.034999999999997</v>
      </c>
    </row>
    <row r="3033" spans="8:10">
      <c r="H3033" s="88">
        <v>0.80112755000000002</v>
      </c>
      <c r="I3033" s="77">
        <v>0.96545345000000005</v>
      </c>
      <c r="J3033" s="15">
        <v>66.036000000000001</v>
      </c>
    </row>
    <row r="3034" spans="8:10">
      <c r="H3034" s="88">
        <v>0.80174109999999998</v>
      </c>
      <c r="I3034" s="77">
        <v>0.96545650000000005</v>
      </c>
      <c r="J3034" s="15">
        <v>66.037000000000006</v>
      </c>
    </row>
    <row r="3035" spans="8:10">
      <c r="H3035" s="88">
        <v>0.80235559999999995</v>
      </c>
      <c r="I3035" s="77">
        <v>0.96545950000000003</v>
      </c>
      <c r="J3035" s="15">
        <v>66.037999999999997</v>
      </c>
    </row>
    <row r="3036" spans="8:10">
      <c r="H3036" s="88">
        <v>0.80297090000000004</v>
      </c>
      <c r="I3036" s="77">
        <v>0.96546259999999995</v>
      </c>
      <c r="J3036" s="15">
        <v>66.039000000000001</v>
      </c>
    </row>
    <row r="3037" spans="8:10">
      <c r="H3037" s="88">
        <v>0.8035871</v>
      </c>
      <c r="I3037" s="77">
        <v>0.96546569999999998</v>
      </c>
      <c r="J3037" s="15">
        <v>66.040000000000006</v>
      </c>
    </row>
    <row r="3038" spans="8:10">
      <c r="H3038" s="88">
        <v>0.80420409999999998</v>
      </c>
      <c r="I3038" s="77">
        <v>0.96546880000000002</v>
      </c>
      <c r="J3038" s="15">
        <v>66.040999999999997</v>
      </c>
    </row>
    <row r="3039" spans="8:10">
      <c r="H3039" s="88">
        <v>0.80482197</v>
      </c>
      <c r="I3039" s="77">
        <v>0.96547190000000005</v>
      </c>
      <c r="J3039" s="15">
        <v>66.042000000000002</v>
      </c>
    </row>
    <row r="3040" spans="8:10">
      <c r="H3040" s="88">
        <v>0.80544059999999995</v>
      </c>
      <c r="I3040" s="77">
        <v>0.96547499999999997</v>
      </c>
      <c r="J3040" s="15">
        <v>66.043000000000006</v>
      </c>
    </row>
    <row r="3041" spans="8:10">
      <c r="H3041" s="88">
        <v>0.80606014000000004</v>
      </c>
      <c r="I3041" s="77">
        <v>0.96547819999999995</v>
      </c>
      <c r="J3041" s="15">
        <v>66.043999999999997</v>
      </c>
    </row>
    <row r="3042" spans="8:10">
      <c r="H3042" s="88">
        <v>0.80668050000000002</v>
      </c>
      <c r="I3042" s="77">
        <v>0.96548129999999999</v>
      </c>
      <c r="J3042" s="15">
        <v>66.045000000000002</v>
      </c>
    </row>
    <row r="3043" spans="8:10">
      <c r="H3043" s="88">
        <v>0.80730164000000004</v>
      </c>
      <c r="I3043" s="77">
        <v>0.96548444</v>
      </c>
      <c r="J3043" s="15">
        <v>66.046000000000006</v>
      </c>
    </row>
    <row r="3044" spans="8:10">
      <c r="H3044" s="88">
        <v>0.80792359999999996</v>
      </c>
      <c r="I3044" s="77">
        <v>0.9654876</v>
      </c>
      <c r="J3044" s="15">
        <v>66.046999999999997</v>
      </c>
    </row>
    <row r="3045" spans="8:10">
      <c r="H3045" s="88">
        <v>0.80854636000000002</v>
      </c>
      <c r="I3045" s="77">
        <v>0.96549079999999998</v>
      </c>
      <c r="J3045" s="15">
        <v>66.048000000000002</v>
      </c>
    </row>
    <row r="3046" spans="8:10">
      <c r="H3046" s="88">
        <v>0.8091699</v>
      </c>
      <c r="I3046" s="77">
        <v>0.96549399999999996</v>
      </c>
      <c r="J3046" s="15">
        <v>66.049000000000007</v>
      </c>
    </row>
    <row r="3047" spans="8:10">
      <c r="H3047" s="88">
        <v>0.80979420000000002</v>
      </c>
      <c r="I3047" s="77">
        <v>0.96549720000000006</v>
      </c>
      <c r="J3047" s="15">
        <v>66.05</v>
      </c>
    </row>
    <row r="3048" spans="8:10">
      <c r="H3048" s="88">
        <v>0.81041925999999997</v>
      </c>
      <c r="I3048" s="77">
        <v>0.96550040000000004</v>
      </c>
      <c r="J3048" s="15">
        <v>66.051000000000002</v>
      </c>
    </row>
    <row r="3049" spans="8:10">
      <c r="H3049" s="88">
        <v>0.81104516999999998</v>
      </c>
      <c r="I3049" s="77">
        <v>0.96550362999999995</v>
      </c>
      <c r="J3049" s="15">
        <v>66.052000000000007</v>
      </c>
    </row>
    <row r="3050" spans="8:10">
      <c r="H3050" s="88">
        <v>0.81167180000000005</v>
      </c>
      <c r="I3050" s="77">
        <v>0.96550685000000003</v>
      </c>
      <c r="J3050" s="15">
        <v>66.052999999999997</v>
      </c>
    </row>
    <row r="3051" spans="8:10">
      <c r="H3051" s="88">
        <v>0.81229912999999998</v>
      </c>
      <c r="I3051" s="77">
        <v>0.96551012999999997</v>
      </c>
      <c r="J3051" s="15">
        <v>66.054000000000002</v>
      </c>
    </row>
    <row r="3052" spans="8:10">
      <c r="H3052" s="88">
        <v>0.81292724999999999</v>
      </c>
      <c r="I3052" s="77">
        <v>0.96551339999999997</v>
      </c>
      <c r="J3052" s="15">
        <v>66.055000000000007</v>
      </c>
    </row>
    <row r="3053" spans="8:10">
      <c r="H3053" s="88">
        <v>0.8135561</v>
      </c>
      <c r="I3053" s="77">
        <v>0.96551670000000001</v>
      </c>
      <c r="J3053" s="15">
        <v>66.055999999999997</v>
      </c>
    </row>
    <row r="3054" spans="8:10">
      <c r="H3054" s="88">
        <v>0.81418559999999995</v>
      </c>
      <c r="I3054" s="77">
        <v>0.96551995999999995</v>
      </c>
      <c r="J3054" s="15">
        <v>66.057000000000002</v>
      </c>
    </row>
    <row r="3055" spans="8:10">
      <c r="H3055" s="88">
        <v>0.81481594000000002</v>
      </c>
      <c r="I3055" s="77">
        <v>0.96552329999999997</v>
      </c>
      <c r="J3055" s="15">
        <v>66.058000000000007</v>
      </c>
    </row>
    <row r="3056" spans="8:10">
      <c r="H3056" s="88">
        <v>0.81544689999999997</v>
      </c>
      <c r="I3056" s="77">
        <v>0.96552660000000001</v>
      </c>
      <c r="J3056" s="15">
        <v>66.058999999999997</v>
      </c>
    </row>
    <row r="3057" spans="8:10">
      <c r="H3057" s="88">
        <v>0.81607859999999999</v>
      </c>
      <c r="I3057" s="77">
        <v>0.96552990000000005</v>
      </c>
      <c r="J3057" s="15">
        <v>66.06</v>
      </c>
    </row>
    <row r="3058" spans="8:10">
      <c r="H3058" s="88">
        <v>0.81671095000000005</v>
      </c>
      <c r="I3058" s="77">
        <v>0.96553325999999995</v>
      </c>
      <c r="J3058" s="15">
        <v>66.061000000000007</v>
      </c>
    </row>
    <row r="3059" spans="8:10">
      <c r="H3059" s="88">
        <v>0.81734399999999996</v>
      </c>
      <c r="I3059" s="77">
        <v>0.96553665</v>
      </c>
      <c r="J3059" s="15">
        <v>66.061999999999998</v>
      </c>
    </row>
    <row r="3060" spans="8:10">
      <c r="H3060" s="88">
        <v>0.81797770000000003</v>
      </c>
      <c r="I3060" s="77">
        <v>0.96553999999999995</v>
      </c>
      <c r="J3060" s="15">
        <v>66.063000000000002</v>
      </c>
    </row>
    <row r="3061" spans="8:10">
      <c r="H3061" s="88">
        <v>0.81861209999999995</v>
      </c>
      <c r="I3061" s="77">
        <v>0.96554340000000005</v>
      </c>
      <c r="J3061" s="15">
        <v>66.063999999999993</v>
      </c>
    </row>
    <row r="3062" spans="8:10">
      <c r="H3062" s="88">
        <v>0.81924706999999997</v>
      </c>
      <c r="I3062" s="77">
        <v>0.96554680000000004</v>
      </c>
      <c r="J3062" s="15">
        <v>66.064999999999998</v>
      </c>
    </row>
    <row r="3063" spans="8:10">
      <c r="H3063" s="88">
        <v>0.81988274999999999</v>
      </c>
      <c r="I3063" s="77">
        <v>0.96555024</v>
      </c>
      <c r="J3063" s="15">
        <v>66.066000000000003</v>
      </c>
    </row>
    <row r="3064" spans="8:10">
      <c r="H3064" s="88">
        <v>0.82051903000000004</v>
      </c>
      <c r="I3064" s="77">
        <v>0.96555363999999999</v>
      </c>
      <c r="J3064" s="15">
        <v>66.066999999999993</v>
      </c>
    </row>
    <row r="3065" spans="8:10">
      <c r="H3065" s="88">
        <v>0.82115596999999996</v>
      </c>
      <c r="I3065" s="77">
        <v>0.96555709999999995</v>
      </c>
      <c r="J3065" s="15">
        <v>66.067999999999998</v>
      </c>
    </row>
    <row r="3066" spans="8:10">
      <c r="H3066" s="88">
        <v>0.82179343999999999</v>
      </c>
      <c r="I3066" s="77">
        <v>0.96556056000000001</v>
      </c>
      <c r="J3066" s="15">
        <v>66.069000000000003</v>
      </c>
    </row>
    <row r="3067" spans="8:10">
      <c r="H3067" s="88">
        <v>0.82243155999999995</v>
      </c>
      <c r="I3067" s="77">
        <v>0.96556399999999998</v>
      </c>
      <c r="J3067" s="15">
        <v>66.069999999999993</v>
      </c>
    </row>
    <row r="3068" spans="8:10">
      <c r="H3068" s="88">
        <v>0.82307030000000003</v>
      </c>
      <c r="I3068" s="77">
        <v>0.96556750000000002</v>
      </c>
      <c r="J3068" s="15">
        <v>66.070999999999998</v>
      </c>
    </row>
    <row r="3069" spans="8:10">
      <c r="H3069" s="88">
        <v>0.82370955000000001</v>
      </c>
      <c r="I3069" s="77">
        <v>0.96557104999999999</v>
      </c>
      <c r="J3069" s="15">
        <v>66.072000000000003</v>
      </c>
    </row>
    <row r="3070" spans="8:10">
      <c r="H3070" s="88">
        <v>0.82434940000000001</v>
      </c>
      <c r="I3070" s="77">
        <v>0.96557455999999997</v>
      </c>
      <c r="J3070" s="15">
        <v>66.072999999999993</v>
      </c>
    </row>
    <row r="3071" spans="8:10">
      <c r="H3071" s="88">
        <v>0.8249898</v>
      </c>
      <c r="I3071" s="77">
        <v>0.96557809999999999</v>
      </c>
      <c r="J3071" s="15">
        <v>66.073999999999998</v>
      </c>
    </row>
    <row r="3072" spans="8:10">
      <c r="H3072" s="88">
        <v>0.82563070000000005</v>
      </c>
      <c r="I3072" s="77">
        <v>0.96558166000000001</v>
      </c>
      <c r="J3072" s="15">
        <v>66.075000000000003</v>
      </c>
    </row>
    <row r="3073" spans="8:10">
      <c r="H3073" s="88">
        <v>0.82627220000000001</v>
      </c>
      <c r="I3073" s="77">
        <v>0.96558522999999996</v>
      </c>
      <c r="J3073" s="15">
        <v>66.075999999999993</v>
      </c>
    </row>
    <row r="3074" spans="8:10">
      <c r="H3074" s="88">
        <v>0.82691420000000004</v>
      </c>
      <c r="I3074" s="77">
        <v>0.96558880000000002</v>
      </c>
      <c r="J3074" s="15">
        <v>66.076999999999998</v>
      </c>
    </row>
    <row r="3075" spans="8:10">
      <c r="H3075" s="88">
        <v>0.82755670000000003</v>
      </c>
      <c r="I3075" s="77">
        <v>0.96559240000000002</v>
      </c>
      <c r="J3075" s="15">
        <v>66.078000000000003</v>
      </c>
    </row>
    <row r="3076" spans="8:10">
      <c r="H3076" s="88">
        <v>0.82819973999999996</v>
      </c>
      <c r="I3076" s="77">
        <v>0.96559600000000001</v>
      </c>
      <c r="J3076" s="15">
        <v>66.078999999999994</v>
      </c>
    </row>
    <row r="3077" spans="8:10">
      <c r="H3077" s="88">
        <v>0.82884323999999998</v>
      </c>
      <c r="I3077" s="77">
        <v>0.96559965999999997</v>
      </c>
      <c r="J3077" s="15">
        <v>66.08</v>
      </c>
    </row>
    <row r="3078" spans="8:10">
      <c r="H3078" s="88">
        <v>0.82948714000000001</v>
      </c>
      <c r="I3078" s="77">
        <v>0.96560330000000005</v>
      </c>
      <c r="J3078" s="15">
        <v>66.081000000000003</v>
      </c>
    </row>
    <row r="3079" spans="8:10">
      <c r="H3079" s="88">
        <v>0.83013159999999997</v>
      </c>
      <c r="I3079" s="77">
        <v>0.96560699999999999</v>
      </c>
      <c r="J3079" s="15">
        <v>66.081999999999994</v>
      </c>
    </row>
    <row r="3080" spans="8:10">
      <c r="H3080" s="88">
        <v>0.83077645</v>
      </c>
      <c r="I3080" s="77">
        <v>0.96561059999999999</v>
      </c>
      <c r="J3080" s="15">
        <v>66.082999999999998</v>
      </c>
    </row>
    <row r="3081" spans="8:10">
      <c r="H3081" s="88">
        <v>0.83142179999999999</v>
      </c>
      <c r="I3081" s="77">
        <v>0.96561439999999998</v>
      </c>
      <c r="J3081" s="15">
        <v>66.084000000000003</v>
      </c>
    </row>
    <row r="3082" spans="8:10">
      <c r="H3082" s="88">
        <v>0.83206754999999999</v>
      </c>
      <c r="I3082" s="77">
        <v>0.96561810000000003</v>
      </c>
      <c r="J3082" s="15">
        <v>66.084999999999994</v>
      </c>
    </row>
    <row r="3083" spans="8:10">
      <c r="H3083" s="88">
        <v>0.83271366000000002</v>
      </c>
      <c r="I3083" s="77">
        <v>0.96562179999999997</v>
      </c>
      <c r="J3083" s="15">
        <v>66.085999999999999</v>
      </c>
    </row>
    <row r="3084" spans="8:10">
      <c r="H3084" s="88">
        <v>0.8333602</v>
      </c>
      <c r="I3084" s="77">
        <v>0.96562559999999997</v>
      </c>
      <c r="J3084" s="15">
        <v>66.087000000000003</v>
      </c>
    </row>
    <row r="3085" spans="8:10">
      <c r="H3085" s="88">
        <v>0.83400713999999998</v>
      </c>
      <c r="I3085" s="77">
        <v>0.96562934</v>
      </c>
      <c r="J3085" s="15">
        <v>66.087999999999994</v>
      </c>
    </row>
    <row r="3086" spans="8:10">
      <c r="H3086" s="88">
        <v>0.83465445000000005</v>
      </c>
      <c r="I3086" s="77">
        <v>0.96563310000000002</v>
      </c>
      <c r="J3086" s="15">
        <v>66.088999999999999</v>
      </c>
    </row>
    <row r="3087" spans="8:10">
      <c r="H3087" s="88">
        <v>0.83530210000000005</v>
      </c>
      <c r="I3087" s="77">
        <v>0.96563690000000002</v>
      </c>
      <c r="J3087" s="15">
        <v>66.09</v>
      </c>
    </row>
    <row r="3088" spans="8:10">
      <c r="H3088" s="88">
        <v>0.83595014000000001</v>
      </c>
      <c r="I3088" s="77">
        <v>0.96564079999999997</v>
      </c>
      <c r="J3088" s="15">
        <v>66.090999999999994</v>
      </c>
    </row>
    <row r="3089" spans="8:10">
      <c r="H3089" s="88">
        <v>0.83659850000000002</v>
      </c>
      <c r="I3089" s="77">
        <v>0.96564459999999996</v>
      </c>
      <c r="J3089" s="15">
        <v>66.091999999999999</v>
      </c>
    </row>
    <row r="3090" spans="8:10">
      <c r="H3090" s="88">
        <v>0.83724719999999997</v>
      </c>
      <c r="I3090" s="77">
        <v>0.96564850000000002</v>
      </c>
      <c r="J3090" s="15">
        <v>66.093000000000004</v>
      </c>
    </row>
    <row r="3091" spans="8:10">
      <c r="H3091" s="88">
        <v>0.83789617000000005</v>
      </c>
      <c r="I3091" s="77">
        <v>0.96565235000000005</v>
      </c>
      <c r="J3091" s="15">
        <v>66.093999999999994</v>
      </c>
    </row>
    <row r="3092" spans="8:10">
      <c r="H3092" s="88">
        <v>0.83854543999999998</v>
      </c>
      <c r="I3092" s="77">
        <v>0.96565619999999996</v>
      </c>
      <c r="J3092" s="15">
        <v>66.094999999999999</v>
      </c>
    </row>
    <row r="3093" spans="8:10">
      <c r="H3093" s="88">
        <v>0.83919495</v>
      </c>
      <c r="I3093" s="77">
        <v>0.96566015000000005</v>
      </c>
      <c r="J3093" s="15">
        <v>66.096000000000004</v>
      </c>
    </row>
    <row r="3094" spans="8:10">
      <c r="H3094" s="88">
        <v>0.83984475999999997</v>
      </c>
      <c r="I3094" s="77">
        <v>0.96566410000000003</v>
      </c>
      <c r="J3094" s="15">
        <v>66.096999999999994</v>
      </c>
    </row>
    <row r="3095" spans="8:10">
      <c r="H3095" s="88">
        <v>0.84049490000000004</v>
      </c>
      <c r="I3095" s="77">
        <v>0.96566810000000003</v>
      </c>
      <c r="J3095" s="15">
        <v>66.097999999999999</v>
      </c>
    </row>
    <row r="3096" spans="8:10">
      <c r="H3096" s="88">
        <v>0.84114515999999995</v>
      </c>
      <c r="I3096" s="77">
        <v>0.96567210000000003</v>
      </c>
      <c r="J3096" s="15">
        <v>66.099000000000004</v>
      </c>
    </row>
    <row r="3097" spans="8:10">
      <c r="H3097" s="88">
        <v>0.84179570000000004</v>
      </c>
      <c r="I3097" s="77">
        <v>0.96567607</v>
      </c>
      <c r="J3097" s="15">
        <v>66.099999999999994</v>
      </c>
    </row>
    <row r="3098" spans="8:10">
      <c r="H3098" s="88">
        <v>0.84244640000000004</v>
      </c>
      <c r="I3098" s="77">
        <v>0.96568005999999995</v>
      </c>
      <c r="J3098" s="15">
        <v>66.100999999999999</v>
      </c>
    </row>
    <row r="3099" spans="8:10">
      <c r="H3099" s="88">
        <v>0.84309730000000005</v>
      </c>
      <c r="I3099" s="77">
        <v>0.96568410000000005</v>
      </c>
      <c r="J3099" s="15">
        <v>66.102000000000004</v>
      </c>
    </row>
    <row r="3100" spans="8:10">
      <c r="H3100" s="88">
        <v>0.84374844999999998</v>
      </c>
      <c r="I3100" s="77">
        <v>0.96568816999999996</v>
      </c>
      <c r="J3100" s="15">
        <v>66.102999999999994</v>
      </c>
    </row>
    <row r="3101" spans="8:10">
      <c r="H3101" s="88">
        <v>0.84439969999999998</v>
      </c>
      <c r="I3101" s="77">
        <v>0.96569229999999995</v>
      </c>
      <c r="J3101" s="15">
        <v>66.103999999999999</v>
      </c>
    </row>
    <row r="3102" spans="8:10">
      <c r="H3102" s="88">
        <v>0.84505110000000005</v>
      </c>
      <c r="I3102" s="77">
        <v>0.96569640000000001</v>
      </c>
      <c r="J3102" s="15">
        <v>66.105000000000004</v>
      </c>
    </row>
    <row r="3103" spans="8:10">
      <c r="H3103" s="88">
        <v>0.84570265</v>
      </c>
      <c r="I3103" s="77">
        <v>0.96570049999999996</v>
      </c>
      <c r="J3103" s="15">
        <v>66.105999999999995</v>
      </c>
    </row>
    <row r="3104" spans="8:10">
      <c r="H3104" s="88">
        <v>0.84635437000000002</v>
      </c>
      <c r="I3104" s="77">
        <v>0.96570460000000002</v>
      </c>
      <c r="J3104" s="15">
        <v>66.106999999999999</v>
      </c>
    </row>
    <row r="3105" spans="8:10">
      <c r="H3105" s="88">
        <v>0.84700613999999996</v>
      </c>
      <c r="I3105" s="77">
        <v>0.96570880000000003</v>
      </c>
      <c r="J3105" s="15">
        <v>66.108000000000004</v>
      </c>
    </row>
    <row r="3106" spans="8:10">
      <c r="H3106" s="88">
        <v>0.84765800000000002</v>
      </c>
      <c r="I3106" s="77">
        <v>0.96571300000000004</v>
      </c>
      <c r="J3106" s="15">
        <v>66.108999999999995</v>
      </c>
    </row>
    <row r="3107" spans="8:10">
      <c r="H3107" s="88">
        <v>0.84830992999999999</v>
      </c>
      <c r="I3107" s="77">
        <v>0.96571720000000005</v>
      </c>
      <c r="J3107" s="15">
        <v>66.11</v>
      </c>
    </row>
    <row r="3108" spans="8:10">
      <c r="H3108" s="88">
        <v>0.84896190000000005</v>
      </c>
      <c r="I3108" s="77">
        <v>0.96572139999999995</v>
      </c>
      <c r="J3108" s="15">
        <v>66.111000000000004</v>
      </c>
    </row>
    <row r="3109" spans="8:10">
      <c r="H3109" s="88">
        <v>0.84961396</v>
      </c>
      <c r="I3109" s="77">
        <v>0.96572570000000002</v>
      </c>
      <c r="J3109" s="15">
        <v>66.111999999999995</v>
      </c>
    </row>
    <row r="3110" spans="8:10">
      <c r="H3110" s="88">
        <v>0.85026599999999997</v>
      </c>
      <c r="I3110" s="77">
        <v>0.96572999999999998</v>
      </c>
      <c r="J3110" s="15">
        <v>66.113</v>
      </c>
    </row>
    <row r="3111" spans="8:10">
      <c r="H3111" s="88">
        <v>0.85091804999999998</v>
      </c>
      <c r="I3111" s="77">
        <v>0.96573430000000005</v>
      </c>
      <c r="J3111" s="15">
        <v>66.114000000000004</v>
      </c>
    </row>
    <row r="3112" spans="8:10">
      <c r="H3112" s="88">
        <v>0.8515701</v>
      </c>
      <c r="I3112" s="77">
        <v>0.96573865000000003</v>
      </c>
      <c r="J3112" s="15">
        <v>66.114999999999995</v>
      </c>
    </row>
    <row r="3113" spans="8:10">
      <c r="H3113" s="88">
        <v>0.85222220000000004</v>
      </c>
      <c r="I3113" s="77">
        <v>0.96574300000000002</v>
      </c>
      <c r="J3113" s="15">
        <v>66.116</v>
      </c>
    </row>
    <row r="3114" spans="8:10">
      <c r="H3114" s="88">
        <v>0.85287420000000003</v>
      </c>
      <c r="I3114" s="77">
        <v>0.96574736000000005</v>
      </c>
      <c r="J3114" s="15">
        <v>66.117000000000004</v>
      </c>
    </row>
    <row r="3115" spans="8:10">
      <c r="H3115" s="88">
        <v>0.85352620000000001</v>
      </c>
      <c r="I3115" s="77">
        <v>0.96575177000000001</v>
      </c>
      <c r="J3115" s="15">
        <v>66.117999999999995</v>
      </c>
    </row>
    <row r="3116" spans="8:10">
      <c r="H3116" s="88">
        <v>0.85417799999999999</v>
      </c>
      <c r="I3116" s="77">
        <v>0.96575619999999995</v>
      </c>
      <c r="J3116" s="15">
        <v>66.119</v>
      </c>
    </row>
    <row r="3117" spans="8:10">
      <c r="H3117" s="88">
        <v>0.85482985</v>
      </c>
      <c r="I3117" s="77">
        <v>0.96576065</v>
      </c>
      <c r="J3117" s="15">
        <v>66.12</v>
      </c>
    </row>
    <row r="3118" spans="8:10">
      <c r="H3118" s="88">
        <v>0.85548150000000001</v>
      </c>
      <c r="I3118" s="77">
        <v>0.96576510000000004</v>
      </c>
      <c r="J3118" s="15">
        <v>66.120999999999995</v>
      </c>
    </row>
    <row r="3119" spans="8:10">
      <c r="H3119" s="88">
        <v>0.85613309999999998</v>
      </c>
      <c r="I3119" s="77">
        <v>0.96576965000000004</v>
      </c>
      <c r="J3119" s="15">
        <v>66.122</v>
      </c>
    </row>
    <row r="3120" spans="8:10">
      <c r="H3120" s="88">
        <v>0.85678460000000001</v>
      </c>
      <c r="I3120" s="77">
        <v>0.96577420000000003</v>
      </c>
      <c r="J3120" s="15">
        <v>66.123000000000005</v>
      </c>
    </row>
    <row r="3121" spans="8:10">
      <c r="H3121" s="88">
        <v>0.85743579999999997</v>
      </c>
      <c r="I3121" s="77">
        <v>0.96577869999999999</v>
      </c>
      <c r="J3121" s="15">
        <v>66.123999999999995</v>
      </c>
    </row>
    <row r="3122" spans="8:10">
      <c r="H3122" s="88">
        <v>0.85808700000000004</v>
      </c>
      <c r="I3122" s="77">
        <v>0.96578330000000001</v>
      </c>
      <c r="J3122" s="15">
        <v>66.125</v>
      </c>
    </row>
    <row r="3123" spans="8:10">
      <c r="H3123" s="88">
        <v>0.85873794999999997</v>
      </c>
      <c r="I3123" s="77">
        <v>0.96578794999999995</v>
      </c>
      <c r="J3123" s="15">
        <v>66.126000000000005</v>
      </c>
    </row>
    <row r="3124" spans="8:10">
      <c r="H3124" s="88">
        <v>0.85938864999999998</v>
      </c>
      <c r="I3124" s="77">
        <v>0.9657926</v>
      </c>
      <c r="J3124" s="15">
        <v>66.126999999999995</v>
      </c>
    </row>
    <row r="3125" spans="8:10">
      <c r="H3125" s="88">
        <v>0.8600392</v>
      </c>
      <c r="I3125" s="77">
        <v>0.96579725000000005</v>
      </c>
      <c r="J3125" s="15">
        <v>66.128</v>
      </c>
    </row>
    <row r="3126" spans="8:10">
      <c r="H3126" s="88">
        <v>0.86068946000000002</v>
      </c>
      <c r="I3126" s="77">
        <v>0.96580195000000002</v>
      </c>
      <c r="J3126" s="15">
        <v>66.129000000000005</v>
      </c>
    </row>
    <row r="3127" spans="8:10">
      <c r="H3127" s="88">
        <v>0.86133950000000004</v>
      </c>
      <c r="I3127" s="77">
        <v>0.96580666000000004</v>
      </c>
      <c r="J3127" s="15">
        <v>66.13</v>
      </c>
    </row>
    <row r="3128" spans="8:10">
      <c r="H3128" s="88">
        <v>0.86198929999999996</v>
      </c>
      <c r="I3128" s="77">
        <v>0.96581139999999999</v>
      </c>
      <c r="J3128" s="15">
        <v>66.131</v>
      </c>
    </row>
    <row r="3129" spans="8:10">
      <c r="H3129" s="88">
        <v>0.86263880000000004</v>
      </c>
      <c r="I3129" s="77">
        <v>0.96581620000000001</v>
      </c>
      <c r="J3129" s="15">
        <v>66.132000000000005</v>
      </c>
    </row>
    <row r="3130" spans="8:10">
      <c r="H3130" s="88">
        <v>0.86328800000000006</v>
      </c>
      <c r="I3130" s="77">
        <v>0.96582097</v>
      </c>
      <c r="J3130" s="15">
        <v>66.132999999999996</v>
      </c>
    </row>
    <row r="3131" spans="8:10">
      <c r="H3131" s="88">
        <v>0.86393684000000004</v>
      </c>
      <c r="I3131" s="77">
        <v>0.96582586000000004</v>
      </c>
      <c r="J3131" s="15">
        <v>66.134</v>
      </c>
    </row>
    <row r="3132" spans="8:10">
      <c r="H3132" s="88">
        <v>0.86458539999999995</v>
      </c>
      <c r="I3132" s="77">
        <v>0.96583070000000004</v>
      </c>
      <c r="J3132" s="15">
        <v>66.135000000000005</v>
      </c>
    </row>
    <row r="3133" spans="8:10">
      <c r="H3133" s="88">
        <v>0.86523360000000005</v>
      </c>
      <c r="I3133" s="77">
        <v>0.96583560000000002</v>
      </c>
      <c r="J3133" s="15">
        <v>66.135999999999996</v>
      </c>
    </row>
    <row r="3134" spans="8:10">
      <c r="H3134" s="88">
        <v>0.86588144</v>
      </c>
      <c r="I3134" s="77">
        <v>0.96584049999999999</v>
      </c>
      <c r="J3134" s="15">
        <v>66.137</v>
      </c>
    </row>
    <row r="3135" spans="8:10">
      <c r="H3135" s="88">
        <v>0.86652887000000001</v>
      </c>
      <c r="I3135" s="77">
        <v>0.96584546999999998</v>
      </c>
      <c r="J3135" s="15">
        <v>66.138000000000005</v>
      </c>
    </row>
    <row r="3136" spans="8:10">
      <c r="H3136" s="88">
        <v>0.86717593999999998</v>
      </c>
      <c r="I3136" s="77">
        <v>0.96585049999999995</v>
      </c>
      <c r="J3136" s="15">
        <v>66.138999999999996</v>
      </c>
    </row>
    <row r="3137" spans="8:10">
      <c r="H3137" s="88">
        <v>0.86782250000000005</v>
      </c>
      <c r="I3137" s="77">
        <v>0.96585549999999998</v>
      </c>
      <c r="J3137" s="15">
        <v>66.14</v>
      </c>
    </row>
    <row r="3138" spans="8:10">
      <c r="H3138" s="88">
        <v>0.86846875999999995</v>
      </c>
      <c r="I3138" s="77">
        <v>0.96586055000000004</v>
      </c>
      <c r="J3138" s="15">
        <v>66.141000000000005</v>
      </c>
    </row>
    <row r="3139" spans="8:10">
      <c r="H3139" s="88">
        <v>0.86911446000000003</v>
      </c>
      <c r="I3139" s="77">
        <v>0.96586570000000005</v>
      </c>
      <c r="J3139" s="15">
        <v>66.141999999999996</v>
      </c>
    </row>
    <row r="3140" spans="8:10">
      <c r="H3140" s="88">
        <v>0.86975974</v>
      </c>
      <c r="I3140" s="77">
        <v>0.96587073999999995</v>
      </c>
      <c r="J3140" s="15">
        <v>66.143000000000001</v>
      </c>
    </row>
    <row r="3141" spans="8:10">
      <c r="H3141" s="88">
        <v>0.87040454</v>
      </c>
      <c r="I3141" s="77">
        <v>0.96587590000000001</v>
      </c>
      <c r="J3141" s="15">
        <v>66.144000000000005</v>
      </c>
    </row>
    <row r="3142" spans="8:10">
      <c r="H3142" s="88">
        <v>0.87104886999999998</v>
      </c>
      <c r="I3142" s="77">
        <v>0.96588110000000005</v>
      </c>
      <c r="J3142" s="15">
        <v>66.144999999999996</v>
      </c>
    </row>
    <row r="3143" spans="8:10">
      <c r="H3143" s="88">
        <v>0.87169266000000001</v>
      </c>
      <c r="I3143" s="77">
        <v>0.96588635</v>
      </c>
      <c r="J3143" s="15">
        <v>66.146000000000001</v>
      </c>
    </row>
    <row r="3144" spans="8:10">
      <c r="H3144" s="88">
        <v>0.87233590000000005</v>
      </c>
      <c r="I3144" s="77">
        <v>0.96589159999999996</v>
      </c>
      <c r="J3144" s="15">
        <v>66.147000000000006</v>
      </c>
    </row>
    <row r="3145" spans="8:10">
      <c r="H3145" s="88">
        <v>0.87297857000000001</v>
      </c>
      <c r="I3145" s="77">
        <v>0.96589689999999995</v>
      </c>
      <c r="J3145" s="15">
        <v>66.147999999999996</v>
      </c>
    </row>
    <row r="3146" spans="8:10">
      <c r="H3146" s="88">
        <v>0.87362074999999995</v>
      </c>
      <c r="I3146" s="77">
        <v>0.96590220000000004</v>
      </c>
      <c r="J3146" s="15">
        <v>66.149000000000001</v>
      </c>
    </row>
    <row r="3147" spans="8:10">
      <c r="H3147" s="88">
        <v>0.87426230000000005</v>
      </c>
      <c r="I3147" s="77">
        <v>0.96590759999999998</v>
      </c>
      <c r="J3147" s="15">
        <v>66.150000000000006</v>
      </c>
    </row>
    <row r="3148" spans="8:10">
      <c r="H3148" s="88">
        <v>0.87490325999999996</v>
      </c>
      <c r="I3148" s="77">
        <v>0.96591300000000002</v>
      </c>
      <c r="J3148" s="15">
        <v>66.150999999999996</v>
      </c>
    </row>
    <row r="3149" spans="8:10">
      <c r="H3149" s="88">
        <v>0.87554359999999998</v>
      </c>
      <c r="I3149" s="77">
        <v>0.96591839999999995</v>
      </c>
      <c r="J3149" s="15">
        <v>66.152000000000001</v>
      </c>
    </row>
    <row r="3150" spans="8:10">
      <c r="H3150" s="88">
        <v>0.87618333000000004</v>
      </c>
      <c r="I3150" s="77">
        <v>0.96592389999999995</v>
      </c>
      <c r="J3150" s="15">
        <v>66.153000000000006</v>
      </c>
    </row>
    <row r="3151" spans="8:10">
      <c r="H3151" s="88">
        <v>0.8768224</v>
      </c>
      <c r="I3151" s="77">
        <v>0.96592940000000005</v>
      </c>
      <c r="J3151" s="15">
        <v>66.153999999999996</v>
      </c>
    </row>
    <row r="3152" spans="8:10">
      <c r="H3152" s="88">
        <v>0.87746084000000002</v>
      </c>
      <c r="I3152" s="77">
        <v>0.96593492999999997</v>
      </c>
      <c r="J3152" s="15">
        <v>66.155000000000001</v>
      </c>
    </row>
    <row r="3153" spans="8:10">
      <c r="H3153" s="88">
        <v>0.87809855000000003</v>
      </c>
      <c r="I3153" s="77">
        <v>0.96594053999999996</v>
      </c>
      <c r="J3153" s="15">
        <v>66.156000000000006</v>
      </c>
    </row>
    <row r="3154" spans="8:10">
      <c r="H3154" s="88">
        <v>0.87873559999999995</v>
      </c>
      <c r="I3154" s="77">
        <v>0.96594614000000001</v>
      </c>
      <c r="J3154" s="15">
        <v>66.156999999999996</v>
      </c>
    </row>
    <row r="3155" spans="8:10">
      <c r="H3155" s="88">
        <v>0.87937193999999996</v>
      </c>
      <c r="I3155" s="77">
        <v>0.96595186</v>
      </c>
      <c r="J3155" s="15">
        <v>66.158000000000001</v>
      </c>
    </row>
    <row r="3156" spans="8:10">
      <c r="H3156" s="88">
        <v>0.88000756999999996</v>
      </c>
      <c r="I3156" s="77">
        <v>0.96595750000000002</v>
      </c>
      <c r="J3156" s="15">
        <v>66.159000000000006</v>
      </c>
    </row>
    <row r="3157" spans="8:10">
      <c r="H3157" s="88">
        <v>0.88064249999999999</v>
      </c>
      <c r="I3157" s="77">
        <v>0.96596329999999997</v>
      </c>
      <c r="J3157" s="15">
        <v>66.16</v>
      </c>
    </row>
    <row r="3158" spans="8:10">
      <c r="H3158" s="88">
        <v>0.88127659999999997</v>
      </c>
      <c r="I3158" s="77">
        <v>0.96596910000000002</v>
      </c>
      <c r="J3158" s="15">
        <v>66.161000000000001</v>
      </c>
    </row>
    <row r="3159" spans="8:10">
      <c r="H3159" s="88">
        <v>0.88190997000000004</v>
      </c>
      <c r="I3159" s="77">
        <v>0.96597489999999997</v>
      </c>
      <c r="J3159" s="15">
        <v>66.162000000000006</v>
      </c>
    </row>
    <row r="3160" spans="8:10">
      <c r="H3160" s="88">
        <v>0.88254255000000004</v>
      </c>
      <c r="I3160" s="77">
        <v>0.96598077000000004</v>
      </c>
      <c r="J3160" s="15">
        <v>66.162999999999997</v>
      </c>
    </row>
    <row r="3161" spans="8:10">
      <c r="H3161" s="88">
        <v>0.88317436000000005</v>
      </c>
      <c r="I3161" s="77">
        <v>0.96598669999999998</v>
      </c>
      <c r="J3161" s="15">
        <v>66.164000000000001</v>
      </c>
    </row>
    <row r="3162" spans="8:10">
      <c r="H3162" s="88">
        <v>0.88380539999999996</v>
      </c>
      <c r="I3162" s="77">
        <v>0.96599270000000004</v>
      </c>
      <c r="J3162" s="15">
        <v>66.165000000000006</v>
      </c>
    </row>
    <row r="3163" spans="8:10">
      <c r="H3163" s="88">
        <v>0.88443552999999997</v>
      </c>
      <c r="I3163" s="77">
        <v>0.96599869999999999</v>
      </c>
      <c r="J3163" s="15">
        <v>66.165999999999997</v>
      </c>
    </row>
    <row r="3164" spans="8:10">
      <c r="H3164" s="88">
        <v>0.88506483999999996</v>
      </c>
      <c r="I3164" s="77">
        <v>0.96600470000000005</v>
      </c>
      <c r="J3164" s="15">
        <v>66.167000000000002</v>
      </c>
    </row>
    <row r="3165" spans="8:10">
      <c r="H3165" s="88">
        <v>0.88569339999999996</v>
      </c>
      <c r="I3165" s="77">
        <v>0.96601079999999995</v>
      </c>
      <c r="J3165" s="15">
        <v>66.168000000000006</v>
      </c>
    </row>
    <row r="3166" spans="8:10">
      <c r="H3166" s="88">
        <v>0.88632095</v>
      </c>
      <c r="I3166" s="77">
        <v>0.96601694999999999</v>
      </c>
      <c r="J3166" s="15">
        <v>66.168999999999997</v>
      </c>
    </row>
    <row r="3167" spans="8:10">
      <c r="H3167" s="88">
        <v>0.88694770000000001</v>
      </c>
      <c r="I3167" s="77">
        <v>0.96602315000000005</v>
      </c>
      <c r="J3167" s="15">
        <v>66.17</v>
      </c>
    </row>
    <row r="3168" spans="8:10">
      <c r="H3168" s="88">
        <v>0.88757353999999999</v>
      </c>
      <c r="I3168" s="77">
        <v>0.96602940000000004</v>
      </c>
      <c r="J3168" s="15">
        <v>66.171000000000006</v>
      </c>
    </row>
    <row r="3169" spans="8:10">
      <c r="H3169" s="88">
        <v>0.8881985</v>
      </c>
      <c r="I3169" s="77">
        <v>0.96603565999999996</v>
      </c>
      <c r="J3169" s="15">
        <v>66.171999999999997</v>
      </c>
    </row>
    <row r="3170" spans="8:10">
      <c r="H3170" s="88">
        <v>0.88882256000000004</v>
      </c>
      <c r="I3170" s="77">
        <v>0.96604204000000005</v>
      </c>
      <c r="J3170" s="15">
        <v>66.173000000000002</v>
      </c>
    </row>
    <row r="3171" spans="8:10">
      <c r="H3171" s="88">
        <v>0.88944566000000003</v>
      </c>
      <c r="I3171" s="77">
        <v>0.96604840000000003</v>
      </c>
      <c r="J3171" s="15">
        <v>66.174000000000007</v>
      </c>
    </row>
    <row r="3172" spans="8:10">
      <c r="H3172" s="88">
        <v>0.89006779999999996</v>
      </c>
      <c r="I3172" s="77">
        <v>0.96605485999999996</v>
      </c>
      <c r="J3172" s="15">
        <v>66.174999999999997</v>
      </c>
    </row>
    <row r="3173" spans="8:10">
      <c r="H3173" s="88">
        <v>0.89068899999999995</v>
      </c>
      <c r="I3173" s="77">
        <v>0.96606135000000004</v>
      </c>
      <c r="J3173" s="15">
        <v>66.176000000000002</v>
      </c>
    </row>
    <row r="3174" spans="8:10">
      <c r="H3174" s="88">
        <v>0.89130925999999999</v>
      </c>
      <c r="I3174" s="77">
        <v>0.96606784999999995</v>
      </c>
      <c r="J3174" s="15">
        <v>66.177000000000007</v>
      </c>
    </row>
    <row r="3175" spans="8:10">
      <c r="H3175" s="88">
        <v>0.89192855000000004</v>
      </c>
      <c r="I3175" s="77">
        <v>0.96607447000000002</v>
      </c>
      <c r="J3175" s="15">
        <v>66.177999999999997</v>
      </c>
    </row>
    <row r="3176" spans="8:10">
      <c r="H3176" s="88">
        <v>0.89254683000000001</v>
      </c>
      <c r="I3176" s="77">
        <v>0.96608110000000003</v>
      </c>
      <c r="J3176" s="15">
        <v>66.179000000000002</v>
      </c>
    </row>
    <row r="3177" spans="8:10">
      <c r="H3177" s="88">
        <v>0.89316415999999998</v>
      </c>
      <c r="I3177" s="77">
        <v>0.96608780000000005</v>
      </c>
      <c r="J3177" s="15">
        <v>66.180000000000007</v>
      </c>
    </row>
    <row r="3178" spans="8:10">
      <c r="H3178" s="88">
        <v>0.89378040000000003</v>
      </c>
      <c r="I3178" s="77">
        <v>0.96609455</v>
      </c>
      <c r="J3178" s="15">
        <v>66.180999999999997</v>
      </c>
    </row>
    <row r="3179" spans="8:10">
      <c r="H3179" s="88">
        <v>0.89439570000000002</v>
      </c>
      <c r="I3179" s="77">
        <v>0.96610134999999997</v>
      </c>
      <c r="J3179" s="15">
        <v>66.182000000000002</v>
      </c>
    </row>
    <row r="3180" spans="8:10">
      <c r="H3180" s="88">
        <v>0.89500992999999995</v>
      </c>
      <c r="I3180" s="77">
        <v>0.96610826000000005</v>
      </c>
      <c r="J3180" s="15">
        <v>66.183000000000007</v>
      </c>
    </row>
    <row r="3181" spans="8:10">
      <c r="H3181" s="88">
        <v>0.89562315000000003</v>
      </c>
      <c r="I3181" s="77">
        <v>0.96611519999999995</v>
      </c>
      <c r="J3181" s="15">
        <v>66.183999999999997</v>
      </c>
    </row>
    <row r="3182" spans="8:10">
      <c r="H3182" s="88">
        <v>0.89623529999999996</v>
      </c>
      <c r="I3182" s="77">
        <v>0.96612215000000001</v>
      </c>
      <c r="J3182" s="15">
        <v>66.185000000000002</v>
      </c>
    </row>
    <row r="3183" spans="8:10">
      <c r="H3183" s="88">
        <v>0.89684640000000004</v>
      </c>
      <c r="I3183" s="77">
        <v>0.96612920000000002</v>
      </c>
      <c r="J3183" s="15">
        <v>66.186000000000007</v>
      </c>
    </row>
    <row r="3184" spans="8:10">
      <c r="H3184" s="88">
        <v>0.89745640000000004</v>
      </c>
      <c r="I3184" s="77">
        <v>0.96613629999999995</v>
      </c>
      <c r="J3184" s="15">
        <v>66.186999999999998</v>
      </c>
    </row>
    <row r="3185" spans="8:10">
      <c r="H3185" s="88">
        <v>0.89806540000000001</v>
      </c>
      <c r="I3185" s="77">
        <v>0.96614339999999999</v>
      </c>
      <c r="J3185" s="15">
        <v>66.188000000000002</v>
      </c>
    </row>
    <row r="3186" spans="8:10">
      <c r="H3186" s="88">
        <v>0.89867330000000001</v>
      </c>
      <c r="I3186" s="77">
        <v>0.96615063999999995</v>
      </c>
      <c r="J3186" s="15">
        <v>66.188999999999993</v>
      </c>
    </row>
    <row r="3187" spans="8:10">
      <c r="H3187" s="88">
        <v>0.89928010000000003</v>
      </c>
      <c r="I3187" s="77">
        <v>0.96615799999999996</v>
      </c>
      <c r="J3187" s="15">
        <v>66.19</v>
      </c>
    </row>
    <row r="3188" spans="8:10">
      <c r="H3188" s="88">
        <v>0.89988579999999996</v>
      </c>
      <c r="I3188" s="77">
        <v>0.9661653</v>
      </c>
      <c r="J3188" s="15">
        <v>66.191000000000003</v>
      </c>
    </row>
    <row r="3189" spans="8:10">
      <c r="H3189" s="88">
        <v>0.90049040000000002</v>
      </c>
      <c r="I3189" s="77">
        <v>0.9661727</v>
      </c>
      <c r="J3189" s="15">
        <v>66.191999999999993</v>
      </c>
    </row>
    <row r="3190" spans="8:10">
      <c r="H3190" s="88">
        <v>0.9010939</v>
      </c>
      <c r="I3190" s="77">
        <v>0.96618020000000004</v>
      </c>
      <c r="J3190" s="15">
        <v>66.192999999999998</v>
      </c>
    </row>
    <row r="3191" spans="8:10">
      <c r="H3191" s="88">
        <v>0.90169626000000003</v>
      </c>
      <c r="I3191" s="77">
        <v>0.96618769999999998</v>
      </c>
      <c r="J3191" s="15">
        <v>66.194000000000003</v>
      </c>
    </row>
    <row r="3192" spans="8:10">
      <c r="H3192" s="88">
        <v>0.90229749999999997</v>
      </c>
      <c r="I3192" s="77">
        <v>0.96619533999999996</v>
      </c>
      <c r="J3192" s="15">
        <v>66.194999999999993</v>
      </c>
    </row>
    <row r="3193" spans="8:10">
      <c r="H3193" s="88">
        <v>0.90289766000000005</v>
      </c>
      <c r="I3193" s="77">
        <v>0.96620302999999996</v>
      </c>
      <c r="J3193" s="15">
        <v>66.195999999999998</v>
      </c>
    </row>
    <row r="3194" spans="8:10">
      <c r="H3194" s="88">
        <v>0.90349659999999998</v>
      </c>
      <c r="I3194" s="77">
        <v>0.96621080000000004</v>
      </c>
      <c r="J3194" s="15">
        <v>66.197000000000003</v>
      </c>
    </row>
    <row r="3195" spans="8:10">
      <c r="H3195" s="88">
        <v>0.90409450000000002</v>
      </c>
      <c r="I3195" s="77">
        <v>0.96621864999999996</v>
      </c>
      <c r="J3195" s="15">
        <v>66.197999999999993</v>
      </c>
    </row>
    <row r="3196" spans="8:10">
      <c r="H3196" s="88">
        <v>0.90469120000000003</v>
      </c>
      <c r="I3196" s="77">
        <v>0.96622649999999999</v>
      </c>
      <c r="J3196" s="15">
        <v>66.198999999999998</v>
      </c>
    </row>
    <row r="3197" spans="8:10">
      <c r="H3197" s="88">
        <v>0.90528679999999995</v>
      </c>
      <c r="I3197" s="77">
        <v>0.9662345</v>
      </c>
      <c r="J3197" s="15">
        <v>66.2</v>
      </c>
    </row>
    <row r="3198" spans="8:10">
      <c r="H3198" s="88">
        <v>0.90588120000000005</v>
      </c>
      <c r="I3198" s="77">
        <v>0.96624255000000003</v>
      </c>
      <c r="J3198" s="15">
        <v>66.200999999999993</v>
      </c>
    </row>
    <row r="3199" spans="8:10">
      <c r="H3199" s="88">
        <v>0.90647453</v>
      </c>
      <c r="I3199" s="77">
        <v>0.96625066000000004</v>
      </c>
      <c r="J3199" s="15">
        <v>66.201999999999998</v>
      </c>
    </row>
    <row r="3200" spans="8:10">
      <c r="H3200" s="88">
        <v>0.90706664000000004</v>
      </c>
      <c r="I3200" s="77">
        <v>0.96625890000000003</v>
      </c>
      <c r="J3200" s="15">
        <v>66.203000000000003</v>
      </c>
    </row>
    <row r="3201" spans="8:10">
      <c r="H3201" s="88">
        <v>0.90765759999999995</v>
      </c>
      <c r="I3201" s="77">
        <v>0.96626716999999995</v>
      </c>
      <c r="J3201" s="15">
        <v>66.203999999999994</v>
      </c>
    </row>
    <row r="3202" spans="8:10">
      <c r="H3202" s="88">
        <v>0.90824740000000004</v>
      </c>
      <c r="I3202" s="77">
        <v>0.96627549999999995</v>
      </c>
      <c r="J3202" s="15">
        <v>66.204999999999998</v>
      </c>
    </row>
    <row r="3203" spans="8:10">
      <c r="H3203" s="88">
        <v>0.90883610000000004</v>
      </c>
      <c r="I3203" s="77">
        <v>0.96628400000000003</v>
      </c>
      <c r="J3203" s="15">
        <v>66.206000000000003</v>
      </c>
    </row>
    <row r="3204" spans="8:10">
      <c r="H3204" s="88">
        <v>0.90942365000000003</v>
      </c>
      <c r="I3204" s="77">
        <v>0.9662925</v>
      </c>
      <c r="J3204" s="15">
        <v>66.206999999999994</v>
      </c>
    </row>
    <row r="3205" spans="8:10">
      <c r="H3205" s="88">
        <v>0.91000999999999999</v>
      </c>
      <c r="I3205" s="77">
        <v>0.96630110000000002</v>
      </c>
      <c r="J3205" s="15">
        <v>66.207999999999998</v>
      </c>
    </row>
    <row r="3206" spans="8:10">
      <c r="H3206" s="88">
        <v>0.91059520000000005</v>
      </c>
      <c r="I3206" s="77">
        <v>0.9663098</v>
      </c>
      <c r="J3206" s="15">
        <v>66.209000000000003</v>
      </c>
    </row>
    <row r="3207" spans="8:10">
      <c r="H3207" s="88">
        <v>0.91117923999999995</v>
      </c>
      <c r="I3207" s="77">
        <v>0.96631860000000003</v>
      </c>
      <c r="J3207" s="15">
        <v>66.209999999999994</v>
      </c>
    </row>
    <row r="3208" spans="8:10">
      <c r="H3208" s="88">
        <v>0.91176210000000002</v>
      </c>
      <c r="I3208" s="77">
        <v>0.96632750000000001</v>
      </c>
      <c r="J3208" s="15">
        <v>66.210999999999999</v>
      </c>
    </row>
    <row r="3209" spans="8:10">
      <c r="H3209" s="88">
        <v>0.91234386000000001</v>
      </c>
      <c r="I3209" s="77">
        <v>0.96633639999999998</v>
      </c>
      <c r="J3209" s="15">
        <v>66.212000000000003</v>
      </c>
    </row>
    <row r="3210" spans="8:10">
      <c r="H3210" s="88">
        <v>0.91292446999999999</v>
      </c>
      <c r="I3210" s="77">
        <v>0.96634549999999997</v>
      </c>
      <c r="J3210" s="15">
        <v>66.212999999999994</v>
      </c>
    </row>
    <row r="3211" spans="8:10">
      <c r="H3211" s="88">
        <v>0.91350394000000001</v>
      </c>
      <c r="I3211" s="77">
        <v>0.96635466999999997</v>
      </c>
      <c r="J3211" s="15">
        <v>66.213999999999999</v>
      </c>
    </row>
    <row r="3212" spans="8:10">
      <c r="H3212" s="88">
        <v>0.91408230000000001</v>
      </c>
      <c r="I3212" s="77">
        <v>0.96636390000000005</v>
      </c>
      <c r="J3212" s="15">
        <v>66.215000000000003</v>
      </c>
    </row>
    <row r="3213" spans="8:10">
      <c r="H3213" s="88">
        <v>0.91465949999999996</v>
      </c>
      <c r="I3213" s="77">
        <v>0.96637326000000001</v>
      </c>
      <c r="J3213" s="15">
        <v>66.215999999999994</v>
      </c>
    </row>
    <row r="3214" spans="8:10">
      <c r="H3214" s="88">
        <v>0.91523560000000004</v>
      </c>
      <c r="I3214" s="77">
        <v>0.96638270000000004</v>
      </c>
      <c r="J3214" s="15">
        <v>66.216999999999999</v>
      </c>
    </row>
    <row r="3215" spans="8:10">
      <c r="H3215" s="88">
        <v>0.91581049999999997</v>
      </c>
      <c r="I3215" s="77">
        <v>0.96639229999999998</v>
      </c>
      <c r="J3215" s="15">
        <v>66.218000000000004</v>
      </c>
    </row>
    <row r="3216" spans="8:10">
      <c r="H3216" s="88">
        <v>0.91638434000000002</v>
      </c>
      <c r="I3216" s="77">
        <v>0.96640192999999996</v>
      </c>
      <c r="J3216" s="15">
        <v>66.218999999999994</v>
      </c>
    </row>
    <row r="3217" spans="8:10">
      <c r="H3217" s="88">
        <v>0.91695709999999997</v>
      </c>
      <c r="I3217" s="77">
        <v>0.96641164999999996</v>
      </c>
      <c r="J3217" s="15">
        <v>66.22</v>
      </c>
    </row>
    <row r="3218" spans="8:10">
      <c r="H3218" s="88">
        <v>0.91752875</v>
      </c>
      <c r="I3218" s="77">
        <v>0.96642154000000002</v>
      </c>
      <c r="J3218" s="15">
        <v>66.221000000000004</v>
      </c>
    </row>
    <row r="3219" spans="8:10">
      <c r="H3219" s="88">
        <v>0.91809929999999995</v>
      </c>
      <c r="I3219" s="77">
        <v>0.96643155999999997</v>
      </c>
      <c r="J3219" s="15">
        <v>66.221999999999994</v>
      </c>
    </row>
    <row r="3220" spans="8:10">
      <c r="H3220" s="88">
        <v>0.91866875000000003</v>
      </c>
      <c r="I3220" s="77">
        <v>0.96644163000000005</v>
      </c>
      <c r="J3220" s="15">
        <v>66.222999999999999</v>
      </c>
    </row>
    <row r="3221" spans="8:10">
      <c r="H3221" s="88">
        <v>0.91923719999999998</v>
      </c>
      <c r="I3221" s="77">
        <v>0.96645179999999997</v>
      </c>
      <c r="J3221" s="15">
        <v>66.224000000000004</v>
      </c>
    </row>
    <row r="3222" spans="8:10">
      <c r="H3222" s="88">
        <v>0.91980450000000002</v>
      </c>
      <c r="I3222" s="77">
        <v>0.96646220000000005</v>
      </c>
      <c r="J3222" s="15">
        <v>66.224999999999994</v>
      </c>
    </row>
    <row r="3223" spans="8:10">
      <c r="H3223" s="88">
        <v>0.92037080000000004</v>
      </c>
      <c r="I3223" s="77">
        <v>0.96647260000000002</v>
      </c>
      <c r="J3223" s="15">
        <v>66.225999999999999</v>
      </c>
    </row>
    <row r="3224" spans="8:10">
      <c r="H3224" s="88">
        <v>0.92093610000000004</v>
      </c>
      <c r="I3224" s="77">
        <v>0.96648319999999999</v>
      </c>
      <c r="J3224" s="15">
        <v>66.227000000000004</v>
      </c>
    </row>
    <row r="3225" spans="8:10">
      <c r="H3225" s="88">
        <v>0.9215004</v>
      </c>
      <c r="I3225" s="77">
        <v>0.96649390000000002</v>
      </c>
      <c r="J3225" s="15">
        <v>66.227999999999994</v>
      </c>
    </row>
    <row r="3226" spans="8:10">
      <c r="H3226" s="88">
        <v>0.92206370000000004</v>
      </c>
      <c r="I3226" s="77">
        <v>0.96650475000000002</v>
      </c>
      <c r="J3226" s="15">
        <v>66.228999999999999</v>
      </c>
    </row>
    <row r="3227" spans="8:10">
      <c r="H3227" s="88">
        <v>0.92262599999999995</v>
      </c>
      <c r="I3227" s="77">
        <v>0.96651569999999998</v>
      </c>
      <c r="J3227" s="15">
        <v>66.23</v>
      </c>
    </row>
    <row r="3228" spans="8:10">
      <c r="H3228" s="88">
        <v>0.92318730000000004</v>
      </c>
      <c r="I3228" s="77">
        <v>0.96652680000000002</v>
      </c>
      <c r="J3228" s="15">
        <v>66.230999999999995</v>
      </c>
    </row>
    <row r="3229" spans="8:10">
      <c r="H3229" s="88">
        <v>0.92374769999999995</v>
      </c>
      <c r="I3229" s="77">
        <v>0.96653800000000001</v>
      </c>
      <c r="J3229" s="15">
        <v>66.231999999999999</v>
      </c>
    </row>
    <row r="3230" spans="8:10">
      <c r="H3230" s="88">
        <v>0.92430716999999996</v>
      </c>
      <c r="I3230" s="77">
        <v>0.9665494</v>
      </c>
      <c r="J3230" s="15">
        <v>66.233000000000004</v>
      </c>
    </row>
    <row r="3231" spans="8:10">
      <c r="H3231" s="88">
        <v>0.92486570000000001</v>
      </c>
      <c r="I3231" s="77">
        <v>0.96656089999999995</v>
      </c>
      <c r="J3231" s="15">
        <v>66.233999999999995</v>
      </c>
    </row>
    <row r="3232" spans="8:10">
      <c r="H3232" s="88">
        <v>0.92542343999999999</v>
      </c>
      <c r="I3232" s="77">
        <v>0.9665726</v>
      </c>
      <c r="J3232" s="15">
        <v>66.234999999999999</v>
      </c>
    </row>
    <row r="3233" spans="8:10">
      <c r="H3233" s="88">
        <v>0.92598027000000005</v>
      </c>
      <c r="I3233" s="77">
        <v>0.96658440000000001</v>
      </c>
      <c r="J3233" s="15">
        <v>66.236000000000004</v>
      </c>
    </row>
    <row r="3234" spans="8:10">
      <c r="H3234" s="88">
        <v>0.92653626</v>
      </c>
      <c r="I3234" s="77">
        <v>0.96659636000000004</v>
      </c>
      <c r="J3234" s="15">
        <v>66.236999999999995</v>
      </c>
    </row>
    <row r="3235" spans="8:10">
      <c r="H3235" s="88">
        <v>0.92709140000000001</v>
      </c>
      <c r="I3235" s="77">
        <v>0.96660849999999998</v>
      </c>
      <c r="J3235" s="15">
        <v>66.238</v>
      </c>
    </row>
    <row r="3236" spans="8:10">
      <c r="H3236" s="88">
        <v>0.92764579999999996</v>
      </c>
      <c r="I3236" s="77">
        <v>0.96662079999999995</v>
      </c>
      <c r="J3236" s="15">
        <v>66.239000000000004</v>
      </c>
    </row>
    <row r="3237" spans="8:10">
      <c r="H3237" s="88">
        <v>0.92819947000000003</v>
      </c>
      <c r="I3237" s="77">
        <v>0.96663326000000005</v>
      </c>
      <c r="J3237" s="15">
        <v>66.239999999999995</v>
      </c>
    </row>
    <row r="3238" spans="8:10">
      <c r="H3238" s="88">
        <v>0.92875240000000003</v>
      </c>
      <c r="I3238" s="77">
        <v>0.96664589999999995</v>
      </c>
      <c r="J3238" s="15">
        <v>66.241</v>
      </c>
    </row>
    <row r="3239" spans="8:10">
      <c r="H3239" s="88">
        <v>0.92930466</v>
      </c>
      <c r="I3239" s="77">
        <v>0.96665869999999998</v>
      </c>
      <c r="J3239" s="15">
        <v>66.242000000000004</v>
      </c>
    </row>
    <row r="3240" spans="8:10">
      <c r="H3240" s="88">
        <v>0.92985624</v>
      </c>
      <c r="I3240" s="77">
        <v>0.96667170000000002</v>
      </c>
      <c r="J3240" s="15">
        <v>66.242999999999995</v>
      </c>
    </row>
    <row r="3241" spans="8:10">
      <c r="H3241" s="88">
        <v>0.93040719999999999</v>
      </c>
      <c r="I3241" s="77">
        <v>0.96668489999999996</v>
      </c>
      <c r="J3241" s="15">
        <v>66.244</v>
      </c>
    </row>
    <row r="3242" spans="8:10">
      <c r="H3242" s="88">
        <v>0.93095760000000005</v>
      </c>
      <c r="I3242" s="77">
        <v>0.96669819999999995</v>
      </c>
      <c r="J3242" s="15">
        <v>66.245000000000005</v>
      </c>
    </row>
    <row r="3243" spans="8:10">
      <c r="H3243" s="88">
        <v>0.93150747</v>
      </c>
      <c r="I3243" s="77">
        <v>0.96671180000000001</v>
      </c>
      <c r="J3243" s="15">
        <v>66.245999999999995</v>
      </c>
    </row>
    <row r="3244" spans="8:10">
      <c r="H3244" s="88">
        <v>0.93205680000000002</v>
      </c>
      <c r="I3244" s="77">
        <v>0.96672559999999996</v>
      </c>
      <c r="J3244" s="15">
        <v>66.247</v>
      </c>
    </row>
    <row r="3245" spans="8:10">
      <c r="H3245" s="88">
        <v>0.93260573999999996</v>
      </c>
      <c r="I3245" s="77">
        <v>0.96673953999999995</v>
      </c>
      <c r="J3245" s="15">
        <v>66.248000000000005</v>
      </c>
    </row>
    <row r="3246" spans="8:10">
      <c r="H3246" s="88">
        <v>0.93315420000000004</v>
      </c>
      <c r="I3246" s="77">
        <v>0.9667538</v>
      </c>
      <c r="J3246" s="15">
        <v>66.248999999999995</v>
      </c>
    </row>
    <row r="3247" spans="8:10">
      <c r="H3247" s="88">
        <v>0.93370235000000001</v>
      </c>
      <c r="I3247" s="77">
        <v>0.96676815000000005</v>
      </c>
      <c r="J3247" s="15">
        <v>66.25</v>
      </c>
    </row>
    <row r="3248" spans="8:10">
      <c r="H3248" s="88">
        <v>0.93425024000000001</v>
      </c>
      <c r="I3248" s="77">
        <v>0.96678280000000005</v>
      </c>
      <c r="J3248" s="15">
        <v>66.251000000000005</v>
      </c>
    </row>
    <row r="3249" spans="8:10">
      <c r="H3249" s="88">
        <v>0.93479780000000001</v>
      </c>
      <c r="I3249" s="77">
        <v>0.96679769999999998</v>
      </c>
      <c r="J3249" s="15">
        <v>66.251999999999995</v>
      </c>
    </row>
    <row r="3250" spans="8:10">
      <c r="H3250" s="88">
        <v>0.93534523000000003</v>
      </c>
      <c r="I3250" s="77">
        <v>0.96681280000000003</v>
      </c>
      <c r="J3250" s="15">
        <v>66.253</v>
      </c>
    </row>
    <row r="3251" spans="8:10">
      <c r="H3251" s="88">
        <v>0.93589246000000004</v>
      </c>
      <c r="I3251" s="77">
        <v>0.96682816999999999</v>
      </c>
      <c r="J3251" s="15">
        <v>66.254000000000005</v>
      </c>
    </row>
    <row r="3252" spans="8:10">
      <c r="H3252" s="88">
        <v>0.93643969999999999</v>
      </c>
      <c r="I3252" s="77">
        <v>0.96684380000000003</v>
      </c>
      <c r="J3252" s="15">
        <v>66.254999999999995</v>
      </c>
    </row>
    <row r="3253" spans="8:10">
      <c r="H3253" s="88">
        <v>0.93698689999999996</v>
      </c>
      <c r="I3253" s="77">
        <v>0.96685969999999999</v>
      </c>
      <c r="J3253" s="15">
        <v>66.256</v>
      </c>
    </row>
    <row r="3254" spans="8:10">
      <c r="H3254" s="88">
        <v>0.93753419999999998</v>
      </c>
      <c r="I3254" s="77">
        <v>0.96687584999999998</v>
      </c>
      <c r="J3254" s="15">
        <v>66.257000000000005</v>
      </c>
    </row>
    <row r="3255" spans="8:10">
      <c r="H3255" s="88">
        <v>0.93808174</v>
      </c>
      <c r="I3255" s="77">
        <v>0.96689230000000004</v>
      </c>
      <c r="J3255" s="15">
        <v>66.257999999999996</v>
      </c>
    </row>
    <row r="3256" spans="8:10">
      <c r="H3256" s="88">
        <v>0.93862944999999998</v>
      </c>
      <c r="I3256" s="77">
        <v>0.96690909999999997</v>
      </c>
      <c r="J3256" s="15">
        <v>66.259</v>
      </c>
    </row>
    <row r="3257" spans="8:10">
      <c r="H3257" s="88">
        <v>0.93917744999999997</v>
      </c>
      <c r="I3257" s="77">
        <v>0.96692615999999998</v>
      </c>
      <c r="J3257" s="15">
        <v>66.260000000000005</v>
      </c>
    </row>
    <row r="3258" spans="8:10">
      <c r="H3258" s="88">
        <v>0.93972593999999998</v>
      </c>
      <c r="I3258" s="77">
        <v>0.96694356000000004</v>
      </c>
      <c r="J3258" s="15">
        <v>66.260999999999996</v>
      </c>
    </row>
    <row r="3259" spans="8:10">
      <c r="H3259" s="88">
        <v>0.94027495000000005</v>
      </c>
      <c r="I3259" s="77">
        <v>0.96696126000000004</v>
      </c>
      <c r="J3259" s="15">
        <v>66.262</v>
      </c>
    </row>
    <row r="3260" spans="8:10">
      <c r="H3260" s="88">
        <v>0.94082460000000001</v>
      </c>
      <c r="I3260" s="77">
        <v>0.96697929999999999</v>
      </c>
      <c r="J3260" s="15">
        <v>66.263000000000005</v>
      </c>
    </row>
    <row r="3261" spans="8:10">
      <c r="H3261" s="88">
        <v>0.94137499999999996</v>
      </c>
      <c r="I3261" s="77">
        <v>0.96699774000000005</v>
      </c>
      <c r="J3261" s="15">
        <v>66.263999999999996</v>
      </c>
    </row>
    <row r="3262" spans="8:10">
      <c r="H3262" s="88">
        <v>0.94192624000000003</v>
      </c>
      <c r="I3262" s="77">
        <v>0.9670166</v>
      </c>
      <c r="J3262" s="15">
        <v>66.265000000000001</v>
      </c>
    </row>
    <row r="3263" spans="8:10">
      <c r="H3263" s="88">
        <v>0.94247853999999998</v>
      </c>
      <c r="I3263" s="77">
        <v>0.9670358</v>
      </c>
      <c r="J3263" s="15">
        <v>66.266000000000005</v>
      </c>
    </row>
    <row r="3264" spans="8:10">
      <c r="H3264" s="88">
        <v>0.94303197000000005</v>
      </c>
      <c r="I3264" s="77">
        <v>0.96705540000000001</v>
      </c>
      <c r="J3264" s="15">
        <v>66.266999999999996</v>
      </c>
    </row>
    <row r="3265" spans="8:10">
      <c r="H3265" s="88">
        <v>0.9435867</v>
      </c>
      <c r="I3265" s="77">
        <v>0.96707540000000003</v>
      </c>
      <c r="J3265" s="15">
        <v>66.268000000000001</v>
      </c>
    </row>
    <row r="3266" spans="8:10">
      <c r="H3266" s="88">
        <v>0.94414290000000001</v>
      </c>
      <c r="I3266" s="77">
        <v>0.96709584999999998</v>
      </c>
      <c r="J3266" s="15">
        <v>66.269000000000005</v>
      </c>
    </row>
    <row r="3267" spans="8:10">
      <c r="H3267" s="88">
        <v>0.94470069999999995</v>
      </c>
      <c r="I3267" s="77">
        <v>0.96711683000000004</v>
      </c>
      <c r="J3267" s="15">
        <v>66.27</v>
      </c>
    </row>
    <row r="3268" spans="8:10">
      <c r="H3268" s="88">
        <v>0.9452604</v>
      </c>
      <c r="I3268" s="77">
        <v>0.96713830000000001</v>
      </c>
      <c r="J3268" s="15">
        <v>66.271000000000001</v>
      </c>
    </row>
    <row r="3269" spans="8:10">
      <c r="H3269" s="88">
        <v>0.94582219999999995</v>
      </c>
      <c r="I3269" s="77">
        <v>0.96716020000000003</v>
      </c>
      <c r="J3269" s="15">
        <v>66.272000000000006</v>
      </c>
    </row>
    <row r="3270" spans="8:10">
      <c r="H3270" s="88">
        <v>0.94638615999999998</v>
      </c>
      <c r="I3270" s="77">
        <v>0.96718276000000003</v>
      </c>
      <c r="J3270" s="15">
        <v>66.272999999999996</v>
      </c>
    </row>
    <row r="3271" spans="8:10">
      <c r="H3271" s="88">
        <v>0.94695275999999995</v>
      </c>
      <c r="I3271" s="77">
        <v>0.96720589999999995</v>
      </c>
      <c r="J3271" s="15">
        <v>66.274000000000001</v>
      </c>
    </row>
    <row r="3272" spans="8:10">
      <c r="H3272" s="88">
        <v>0.94752210000000003</v>
      </c>
      <c r="I3272" s="77">
        <v>0.96722960000000002</v>
      </c>
      <c r="J3272" s="15">
        <v>66.275000000000006</v>
      </c>
    </row>
    <row r="3273" spans="8:10">
      <c r="H3273" s="88">
        <v>0.94809454999999998</v>
      </c>
      <c r="I3273" s="77">
        <v>0.9672539</v>
      </c>
      <c r="J3273" s="15">
        <v>66.275999999999996</v>
      </c>
    </row>
    <row r="3274" spans="8:10">
      <c r="H3274" s="88">
        <v>0.94867049999999997</v>
      </c>
      <c r="I3274" s="77">
        <v>0.96727896000000002</v>
      </c>
      <c r="J3274" s="15">
        <v>66.277000000000001</v>
      </c>
    </row>
    <row r="3275" spans="8:10">
      <c r="H3275" s="88">
        <v>0.94925020000000004</v>
      </c>
      <c r="I3275" s="77">
        <v>0.96730477000000004</v>
      </c>
      <c r="J3275" s="15">
        <v>66.278000000000006</v>
      </c>
    </row>
    <row r="3276" spans="8:10">
      <c r="H3276" s="88">
        <v>0.94983419999999996</v>
      </c>
      <c r="I3276" s="77">
        <v>0.96733135000000003</v>
      </c>
      <c r="J3276" s="15">
        <v>66.278999999999996</v>
      </c>
    </row>
    <row r="3277" spans="8:10">
      <c r="H3277" s="88">
        <v>0.95042289999999996</v>
      </c>
      <c r="I3277" s="77">
        <v>0.96735877000000003</v>
      </c>
      <c r="J3277" s="15">
        <v>66.28</v>
      </c>
    </row>
    <row r="3278" spans="8:10">
      <c r="H3278" s="88">
        <v>0.9510168</v>
      </c>
      <c r="I3278" s="77">
        <v>0.96738710000000006</v>
      </c>
      <c r="J3278" s="15">
        <v>66.281000000000006</v>
      </c>
    </row>
    <row r="3279" spans="8:10">
      <c r="H3279" s="88">
        <v>0.95161647000000005</v>
      </c>
      <c r="I3279" s="77">
        <v>0.96741635000000004</v>
      </c>
      <c r="J3279" s="15">
        <v>66.281999999999996</v>
      </c>
    </row>
    <row r="3280" spans="8:10">
      <c r="H3280" s="88">
        <v>0.95222260000000003</v>
      </c>
      <c r="I3280" s="77">
        <v>0.96744669999999999</v>
      </c>
      <c r="J3280" s="15">
        <v>66.283000000000001</v>
      </c>
    </row>
    <row r="3281" spans="8:10">
      <c r="H3281" s="88">
        <v>0.95283600000000002</v>
      </c>
      <c r="I3281" s="77">
        <v>0.96747815999999998</v>
      </c>
      <c r="J3281" s="15">
        <v>66.284000000000006</v>
      </c>
    </row>
    <row r="3282" spans="8:10">
      <c r="H3282" s="88">
        <v>0.95345753</v>
      </c>
      <c r="I3282" s="77">
        <v>0.96751094000000004</v>
      </c>
      <c r="J3282" s="15">
        <v>66.284999999999997</v>
      </c>
    </row>
    <row r="3283" spans="8:10">
      <c r="H3283" s="88">
        <v>0.95408820000000005</v>
      </c>
      <c r="I3283" s="77">
        <v>0.96754503000000003</v>
      </c>
      <c r="J3283" s="15">
        <v>66.286000000000001</v>
      </c>
    </row>
    <row r="3284" spans="8:10">
      <c r="H3284" s="88">
        <v>0.9547293</v>
      </c>
      <c r="I3284" s="77">
        <v>0.96758069999999996</v>
      </c>
      <c r="J3284" s="15">
        <v>66.287000000000006</v>
      </c>
    </row>
    <row r="3285" spans="8:10">
      <c r="H3285" s="88">
        <v>0.95538217000000003</v>
      </c>
      <c r="I3285" s="77">
        <v>0.96761799999999998</v>
      </c>
      <c r="J3285" s="15">
        <v>66.287999999999997</v>
      </c>
    </row>
    <row r="3286" spans="8:10">
      <c r="H3286" s="88">
        <v>0.95604867000000004</v>
      </c>
      <c r="I3286" s="77">
        <v>0.9676572</v>
      </c>
      <c r="J3286" s="15">
        <v>66.289000000000001</v>
      </c>
    </row>
    <row r="3287" spans="8:10">
      <c r="H3287" s="88">
        <v>0.95673083999999997</v>
      </c>
      <c r="I3287" s="77">
        <v>0.96769863</v>
      </c>
      <c r="J3287" s="15">
        <v>66.290000000000006</v>
      </c>
    </row>
    <row r="3288" spans="8:10">
      <c r="H3288" s="88">
        <v>0.95743140000000004</v>
      </c>
      <c r="I3288" s="77">
        <v>0.96774243999999998</v>
      </c>
      <c r="J3288" s="15">
        <v>66.290999999999997</v>
      </c>
    </row>
    <row r="3289" spans="8:10">
      <c r="H3289" s="88">
        <v>0.95815360000000005</v>
      </c>
      <c r="I3289" s="77">
        <v>0.96778920000000002</v>
      </c>
      <c r="J3289" s="15">
        <v>66.292000000000002</v>
      </c>
    </row>
    <row r="3290" spans="8:10">
      <c r="H3290" s="88">
        <v>0.95890200000000003</v>
      </c>
      <c r="I3290" s="77">
        <v>0.96783923999999999</v>
      </c>
      <c r="J3290" s="15">
        <v>66.293000000000006</v>
      </c>
    </row>
    <row r="3291" spans="8:10">
      <c r="H3291" s="88">
        <v>0.95968246000000001</v>
      </c>
      <c r="I3291" s="77">
        <v>0.96789340000000001</v>
      </c>
      <c r="J3291" s="15">
        <v>66.293999999999997</v>
      </c>
    </row>
    <row r="3292" spans="8:10">
      <c r="H3292" s="88">
        <v>0.9605032</v>
      </c>
      <c r="I3292" s="77">
        <v>0.96795266999999996</v>
      </c>
      <c r="J3292" s="15">
        <v>66.295000000000002</v>
      </c>
    </row>
    <row r="3293" spans="8:10">
      <c r="H3293" s="88">
        <v>0.96137655</v>
      </c>
      <c r="I3293" s="77">
        <v>0.96801835000000003</v>
      </c>
      <c r="J3293" s="15">
        <v>66.296000000000006</v>
      </c>
    </row>
    <row r="3294" spans="8:10">
      <c r="H3294" s="88">
        <v>0.9623218</v>
      </c>
      <c r="I3294" s="77">
        <v>0.96809274000000001</v>
      </c>
      <c r="J3294" s="15">
        <v>66.296999999999997</v>
      </c>
    </row>
    <row r="3295" spans="8:10" ht="15" thickBot="1">
      <c r="H3295" s="132">
        <v>0.96337335999999996</v>
      </c>
      <c r="I3295" s="129">
        <v>0.96817993999999996</v>
      </c>
      <c r="J3295" s="30">
        <v>66.298000000000002</v>
      </c>
    </row>
  </sheetData>
  <mergeCells count="24">
    <mergeCell ref="Z4:AC4"/>
    <mergeCell ref="Z5:AA5"/>
    <mergeCell ref="AB5:AC6"/>
    <mergeCell ref="Z6:AA6"/>
    <mergeCell ref="V5:W5"/>
    <mergeCell ref="V4:Y4"/>
    <mergeCell ref="X5:Y6"/>
    <mergeCell ref="R4:T4"/>
    <mergeCell ref="R3:T3"/>
    <mergeCell ref="L2:T2"/>
    <mergeCell ref="R5:T6"/>
    <mergeCell ref="V6:W6"/>
    <mergeCell ref="H5:J6"/>
    <mergeCell ref="B2:J2"/>
    <mergeCell ref="B3:J3"/>
    <mergeCell ref="B4:J4"/>
    <mergeCell ref="L6:N6"/>
    <mergeCell ref="L5:N5"/>
    <mergeCell ref="L4:Q4"/>
    <mergeCell ref="O5:Q6"/>
    <mergeCell ref="L3:Q3"/>
    <mergeCell ref="B6:D6"/>
    <mergeCell ref="B5:D5"/>
    <mergeCell ref="E5:G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BA6CF-954D-42A1-9D2A-8E87F8B05C36}">
  <dimension ref="B1:AN415"/>
  <sheetViews>
    <sheetView topLeftCell="S1" zoomScale="85" zoomScaleNormal="85" workbookViewId="0">
      <selection activeCell="AC9" sqref="AC9:AH38"/>
    </sheetView>
  </sheetViews>
  <sheetFormatPr defaultRowHeight="14.5"/>
  <cols>
    <col min="1" max="1" width="8.7265625" style="1"/>
    <col min="2" max="9" width="16.90625" style="1" customWidth="1"/>
    <col min="10" max="13" width="17.1796875" style="1" customWidth="1"/>
    <col min="14" max="17" width="17.36328125" style="1" customWidth="1"/>
    <col min="18" max="20" width="17.1796875" style="1" customWidth="1"/>
    <col min="21" max="40" width="17.6328125" style="1" customWidth="1"/>
    <col min="41" max="16384" width="8.7265625" style="1"/>
  </cols>
  <sheetData>
    <row r="1" spans="2:40" ht="15" thickBot="1"/>
    <row r="2" spans="2:40" s="4" customFormat="1">
      <c r="B2" s="227" t="s">
        <v>504</v>
      </c>
      <c r="C2" s="228"/>
      <c r="D2" s="228"/>
      <c r="E2" s="228"/>
      <c r="F2" s="228"/>
      <c r="G2" s="228"/>
      <c r="H2" s="229"/>
      <c r="J2" s="227" t="s">
        <v>511</v>
      </c>
      <c r="K2" s="228"/>
      <c r="L2" s="228"/>
      <c r="M2" s="228"/>
      <c r="N2" s="228"/>
      <c r="O2" s="228"/>
      <c r="P2" s="228"/>
      <c r="Q2" s="228"/>
      <c r="R2" s="228"/>
      <c r="S2" s="228"/>
      <c r="T2" s="228"/>
      <c r="U2" s="228"/>
      <c r="V2" s="228"/>
      <c r="W2" s="228"/>
      <c r="X2" s="228"/>
      <c r="Y2" s="228"/>
      <c r="Z2" s="228"/>
      <c r="AA2" s="229"/>
      <c r="AC2" s="227" t="s">
        <v>528</v>
      </c>
      <c r="AD2" s="228"/>
      <c r="AE2" s="228"/>
      <c r="AF2" s="228"/>
      <c r="AG2" s="228"/>
      <c r="AH2" s="228"/>
      <c r="AI2" s="228"/>
      <c r="AJ2" s="228"/>
      <c r="AK2" s="228"/>
      <c r="AL2" s="228"/>
      <c r="AM2" s="228"/>
      <c r="AN2" s="229"/>
    </row>
    <row r="3" spans="2:40" s="4" customFormat="1" ht="15" thickBot="1">
      <c r="B3" s="233" t="s">
        <v>505</v>
      </c>
      <c r="C3" s="234"/>
      <c r="D3" s="234"/>
      <c r="E3" s="234"/>
      <c r="F3" s="234"/>
      <c r="G3" s="234"/>
      <c r="H3" s="235"/>
      <c r="J3" s="233" t="s">
        <v>484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  <c r="W3" s="234"/>
      <c r="X3" s="234"/>
      <c r="Y3" s="234"/>
      <c r="Z3" s="234"/>
      <c r="AA3" s="235"/>
      <c r="AC3" s="230" t="s">
        <v>520</v>
      </c>
      <c r="AD3" s="231"/>
      <c r="AE3" s="231"/>
      <c r="AF3" s="231"/>
      <c r="AG3" s="231"/>
      <c r="AH3" s="231"/>
      <c r="AI3" s="231"/>
      <c r="AJ3" s="231"/>
      <c r="AK3" s="231"/>
      <c r="AL3" s="231"/>
      <c r="AM3" s="231"/>
      <c r="AN3" s="232"/>
    </row>
    <row r="4" spans="2:40" s="4" customFormat="1" ht="15" thickBot="1">
      <c r="B4" s="230" t="s">
        <v>506</v>
      </c>
      <c r="C4" s="231"/>
      <c r="D4" s="231"/>
      <c r="E4" s="231"/>
      <c r="F4" s="231"/>
      <c r="G4" s="231"/>
      <c r="H4" s="232"/>
      <c r="J4" s="230" t="s">
        <v>506</v>
      </c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1"/>
      <c r="V4" s="231"/>
      <c r="W4" s="231"/>
      <c r="X4" s="231"/>
      <c r="Y4" s="231"/>
      <c r="Z4" s="231"/>
      <c r="AA4" s="232"/>
      <c r="AC4" s="293" t="s">
        <v>397</v>
      </c>
      <c r="AD4" s="294"/>
      <c r="AE4" s="294"/>
      <c r="AF4" s="294"/>
      <c r="AG4" s="294"/>
      <c r="AH4" s="295"/>
      <c r="AI4" s="289" t="s">
        <v>408</v>
      </c>
      <c r="AJ4" s="289"/>
      <c r="AK4" s="289"/>
      <c r="AL4" s="289"/>
      <c r="AM4" s="289"/>
      <c r="AN4" s="290"/>
    </row>
    <row r="5" spans="2:40" ht="15" thickBot="1">
      <c r="B5" s="265" t="s">
        <v>397</v>
      </c>
      <c r="C5" s="266"/>
      <c r="D5" s="266"/>
      <c r="E5" s="267"/>
      <c r="F5" s="238" t="s">
        <v>510</v>
      </c>
      <c r="G5" s="248"/>
      <c r="H5" s="239"/>
      <c r="J5" s="280" t="s">
        <v>397</v>
      </c>
      <c r="K5" s="281"/>
      <c r="L5" s="281"/>
      <c r="M5" s="281"/>
      <c r="N5" s="281"/>
      <c r="O5" s="281"/>
      <c r="P5" s="281"/>
      <c r="Q5" s="281"/>
      <c r="R5" s="281"/>
      <c r="S5" s="281"/>
      <c r="T5" s="281"/>
      <c r="U5" s="281"/>
      <c r="V5" s="281"/>
      <c r="W5" s="282"/>
      <c r="X5" s="238" t="s">
        <v>408</v>
      </c>
      <c r="Y5" s="248"/>
      <c r="Z5" s="248"/>
      <c r="AA5" s="239"/>
      <c r="AC5" s="265" t="s">
        <v>506</v>
      </c>
      <c r="AD5" s="267"/>
      <c r="AE5" s="265" t="s">
        <v>521</v>
      </c>
      <c r="AF5" s="267"/>
      <c r="AG5" s="265" t="s">
        <v>522</v>
      </c>
      <c r="AH5" s="267"/>
      <c r="AI5" s="291"/>
      <c r="AJ5" s="291"/>
      <c r="AK5" s="291"/>
      <c r="AL5" s="291"/>
      <c r="AM5" s="291"/>
      <c r="AN5" s="292"/>
    </row>
    <row r="6" spans="2:40" ht="15" thickBot="1">
      <c r="B6" s="268"/>
      <c r="C6" s="269"/>
      <c r="D6" s="269"/>
      <c r="E6" s="270"/>
      <c r="F6" s="250"/>
      <c r="G6" s="251"/>
      <c r="H6" s="252"/>
      <c r="J6" s="242" t="s">
        <v>514</v>
      </c>
      <c r="K6" s="243"/>
      <c r="L6" s="243"/>
      <c r="M6" s="244"/>
      <c r="N6" s="242" t="s">
        <v>515</v>
      </c>
      <c r="O6" s="243"/>
      <c r="P6" s="243"/>
      <c r="Q6" s="244"/>
      <c r="R6" s="242" t="s">
        <v>516</v>
      </c>
      <c r="S6" s="243"/>
      <c r="T6" s="243"/>
      <c r="U6" s="244"/>
      <c r="V6" s="242" t="s">
        <v>517</v>
      </c>
      <c r="W6" s="244"/>
      <c r="X6" s="250"/>
      <c r="Y6" s="251"/>
      <c r="Z6" s="251"/>
      <c r="AA6" s="252"/>
      <c r="AC6" s="268" t="s">
        <v>525</v>
      </c>
      <c r="AD6" s="270"/>
      <c r="AE6" s="268" t="s">
        <v>526</v>
      </c>
      <c r="AF6" s="270"/>
      <c r="AG6" s="268" t="s">
        <v>526</v>
      </c>
      <c r="AH6" s="270"/>
      <c r="AI6" s="238" t="s">
        <v>506</v>
      </c>
      <c r="AJ6" s="239"/>
      <c r="AK6" s="238" t="s">
        <v>521</v>
      </c>
      <c r="AL6" s="239"/>
      <c r="AM6" s="238" t="s">
        <v>522</v>
      </c>
      <c r="AN6" s="239"/>
    </row>
    <row r="7" spans="2:40" ht="15" thickBot="1">
      <c r="B7" s="253" t="s">
        <v>448</v>
      </c>
      <c r="C7" s="254"/>
      <c r="D7" s="254"/>
      <c r="E7" s="255"/>
      <c r="F7" s="250"/>
      <c r="G7" s="251"/>
      <c r="H7" s="252"/>
      <c r="J7" s="245" t="s">
        <v>518</v>
      </c>
      <c r="K7" s="246"/>
      <c r="L7" s="246"/>
      <c r="M7" s="247"/>
      <c r="N7" s="245" t="s">
        <v>519</v>
      </c>
      <c r="O7" s="246"/>
      <c r="P7" s="246"/>
      <c r="Q7" s="247"/>
      <c r="R7" s="245" t="s">
        <v>519</v>
      </c>
      <c r="S7" s="246"/>
      <c r="T7" s="246"/>
      <c r="U7" s="247"/>
      <c r="V7" s="245" t="s">
        <v>502</v>
      </c>
      <c r="W7" s="247"/>
      <c r="X7" s="240"/>
      <c r="Y7" s="249"/>
      <c r="Z7" s="249"/>
      <c r="AA7" s="241"/>
      <c r="AC7" s="245" t="s">
        <v>523</v>
      </c>
      <c r="AD7" s="247"/>
      <c r="AE7" s="246" t="s">
        <v>524</v>
      </c>
      <c r="AF7" s="247"/>
      <c r="AG7" s="246" t="s">
        <v>524</v>
      </c>
      <c r="AH7" s="247"/>
      <c r="AI7" s="240" t="s">
        <v>525</v>
      </c>
      <c r="AJ7" s="241"/>
      <c r="AK7" s="240" t="s">
        <v>527</v>
      </c>
      <c r="AL7" s="241"/>
      <c r="AM7" s="240" t="s">
        <v>527</v>
      </c>
      <c r="AN7" s="241"/>
    </row>
    <row r="8" spans="2:40" ht="16.5">
      <c r="B8" s="31" t="s">
        <v>410</v>
      </c>
      <c r="C8" s="32" t="s">
        <v>507</v>
      </c>
      <c r="D8" s="32" t="s">
        <v>487</v>
      </c>
      <c r="E8" s="32" t="s">
        <v>508</v>
      </c>
      <c r="F8" s="35" t="s">
        <v>509</v>
      </c>
      <c r="G8" s="36" t="s">
        <v>507</v>
      </c>
      <c r="H8" s="85" t="s">
        <v>508</v>
      </c>
      <c r="J8" s="5" t="s">
        <v>410</v>
      </c>
      <c r="K8" s="11" t="s">
        <v>512</v>
      </c>
      <c r="L8" s="11" t="s">
        <v>487</v>
      </c>
      <c r="M8" s="6" t="s">
        <v>513</v>
      </c>
      <c r="N8" s="5" t="s">
        <v>410</v>
      </c>
      <c r="O8" s="11" t="s">
        <v>512</v>
      </c>
      <c r="P8" s="11" t="s">
        <v>487</v>
      </c>
      <c r="Q8" s="11" t="s">
        <v>513</v>
      </c>
      <c r="R8" s="5" t="s">
        <v>410</v>
      </c>
      <c r="S8" s="11" t="s">
        <v>512</v>
      </c>
      <c r="T8" s="11" t="s">
        <v>487</v>
      </c>
      <c r="U8" s="11" t="s">
        <v>513</v>
      </c>
      <c r="V8" s="5" t="s">
        <v>410</v>
      </c>
      <c r="W8" s="11" t="s">
        <v>512</v>
      </c>
      <c r="X8" s="74" t="s">
        <v>428</v>
      </c>
      <c r="Y8" s="36" t="s">
        <v>430</v>
      </c>
      <c r="Z8" s="51" t="s">
        <v>431</v>
      </c>
      <c r="AA8" s="52" t="s">
        <v>432</v>
      </c>
      <c r="AC8" s="31" t="s">
        <v>410</v>
      </c>
      <c r="AD8" s="142" t="s">
        <v>501</v>
      </c>
      <c r="AE8" s="32" t="s">
        <v>410</v>
      </c>
      <c r="AF8" s="32" t="s">
        <v>501</v>
      </c>
      <c r="AG8" s="31" t="s">
        <v>410</v>
      </c>
      <c r="AH8" s="142" t="s">
        <v>501</v>
      </c>
      <c r="AI8" s="35" t="s">
        <v>410</v>
      </c>
      <c r="AJ8" s="85" t="s">
        <v>501</v>
      </c>
      <c r="AK8" s="35" t="s">
        <v>410</v>
      </c>
      <c r="AL8" s="85" t="s">
        <v>501</v>
      </c>
      <c r="AM8" s="35" t="s">
        <v>410</v>
      </c>
      <c r="AN8" s="85" t="s">
        <v>501</v>
      </c>
    </row>
    <row r="9" spans="2:40">
      <c r="B9" s="145"/>
      <c r="C9" s="72"/>
      <c r="D9" s="68"/>
      <c r="E9" s="72"/>
      <c r="F9" s="86">
        <v>0</v>
      </c>
      <c r="G9" s="79">
        <v>373.62849999999997</v>
      </c>
      <c r="H9" s="61">
        <v>373.62849999999997</v>
      </c>
      <c r="J9" s="145"/>
      <c r="K9" s="71"/>
      <c r="L9" s="68"/>
      <c r="M9" s="66"/>
      <c r="N9" s="145"/>
      <c r="O9" s="11"/>
      <c r="P9" s="67"/>
      <c r="Q9" s="11"/>
      <c r="R9" s="145"/>
      <c r="S9" s="49"/>
      <c r="T9" s="67"/>
      <c r="U9" s="49"/>
      <c r="V9" s="145"/>
      <c r="W9" s="11"/>
      <c r="X9" s="53">
        <v>313</v>
      </c>
      <c r="Y9" s="78">
        <v>1</v>
      </c>
      <c r="Z9" s="75">
        <v>70.147000000000006</v>
      </c>
      <c r="AA9" s="60">
        <v>70.147000000000006</v>
      </c>
      <c r="AC9" s="5"/>
      <c r="AD9" s="6"/>
      <c r="AE9" s="11"/>
      <c r="AF9" s="11"/>
      <c r="AG9" s="5"/>
      <c r="AH9" s="6"/>
      <c r="AI9" s="86">
        <v>1</v>
      </c>
      <c r="AJ9" s="60">
        <v>-8.3673510000000004E-10</v>
      </c>
      <c r="AK9" s="86">
        <v>0</v>
      </c>
      <c r="AL9" s="60">
        <v>-4.1763996999999997E-9</v>
      </c>
      <c r="AM9" s="86">
        <v>0</v>
      </c>
      <c r="AN9" s="60">
        <v>-4.1763996999999997E-9</v>
      </c>
    </row>
    <row r="10" spans="2:40">
      <c r="B10" s="145"/>
      <c r="C10" s="72"/>
      <c r="D10" s="68"/>
      <c r="E10" s="72"/>
      <c r="F10" s="86">
        <v>2.0000000000000018E-2</v>
      </c>
      <c r="G10" s="79">
        <v>374.15440000000001</v>
      </c>
      <c r="H10" s="61">
        <v>385.32335999999998</v>
      </c>
      <c r="J10" s="145"/>
      <c r="K10" s="72"/>
      <c r="L10" s="68"/>
      <c r="M10" s="44"/>
      <c r="N10" s="145"/>
      <c r="O10" s="11"/>
      <c r="P10" s="67"/>
      <c r="Q10" s="11"/>
      <c r="R10" s="145"/>
      <c r="S10" s="49"/>
      <c r="T10" s="67"/>
      <c r="U10" s="49"/>
      <c r="V10" s="145"/>
      <c r="W10" s="11"/>
      <c r="X10" s="53">
        <v>313</v>
      </c>
      <c r="Y10" s="78">
        <v>0.99</v>
      </c>
      <c r="Z10" s="79">
        <v>113.82</v>
      </c>
      <c r="AA10" s="60">
        <v>70.846999999999994</v>
      </c>
      <c r="AC10" s="5"/>
      <c r="AD10" s="6"/>
      <c r="AE10" s="11"/>
      <c r="AF10" s="11"/>
      <c r="AG10" s="5"/>
      <c r="AH10" s="6"/>
      <c r="AI10" s="86">
        <v>0.98</v>
      </c>
      <c r="AJ10" s="60">
        <v>-46.386040000000001</v>
      </c>
      <c r="AK10" s="86">
        <v>0.02</v>
      </c>
      <c r="AL10" s="61">
        <v>-205.31417999999999</v>
      </c>
      <c r="AM10" s="86">
        <v>0.02</v>
      </c>
      <c r="AN10" s="61">
        <v>-205.31417999999999</v>
      </c>
    </row>
    <row r="11" spans="2:40">
      <c r="B11" s="145"/>
      <c r="C11" s="72"/>
      <c r="D11" s="68"/>
      <c r="E11" s="72"/>
      <c r="F11" s="86">
        <v>4.0000000000000036E-2</v>
      </c>
      <c r="G11" s="79">
        <v>374.64751999999999</v>
      </c>
      <c r="H11" s="61">
        <v>394.19922000000003</v>
      </c>
      <c r="J11" s="145"/>
      <c r="K11" s="72"/>
      <c r="L11" s="68"/>
      <c r="M11" s="44"/>
      <c r="N11" s="145"/>
      <c r="O11" s="49"/>
      <c r="P11" s="67"/>
      <c r="Q11" s="49"/>
      <c r="R11" s="145"/>
      <c r="S11" s="49"/>
      <c r="T11" s="67"/>
      <c r="U11" s="49"/>
      <c r="V11" s="145"/>
      <c r="W11" s="11"/>
      <c r="X11" s="53">
        <v>313</v>
      </c>
      <c r="Y11" s="78">
        <v>0.98</v>
      </c>
      <c r="Z11" s="79">
        <v>158.52000000000001</v>
      </c>
      <c r="AA11" s="60">
        <v>71.56</v>
      </c>
      <c r="AC11" s="5"/>
      <c r="AD11" s="6"/>
      <c r="AE11" s="11"/>
      <c r="AF11" s="11"/>
      <c r="AG11" s="5"/>
      <c r="AH11" s="6"/>
      <c r="AI11" s="86">
        <v>0.96</v>
      </c>
      <c r="AJ11" s="60">
        <v>-90.998954999999995</v>
      </c>
      <c r="AK11" s="86">
        <v>0.04</v>
      </c>
      <c r="AL11" s="61">
        <v>-382.61047000000002</v>
      </c>
      <c r="AM11" s="86">
        <v>0.04</v>
      </c>
      <c r="AN11" s="61">
        <v>-382.61047000000002</v>
      </c>
    </row>
    <row r="12" spans="2:40">
      <c r="B12" s="145"/>
      <c r="C12" s="72"/>
      <c r="D12" s="68"/>
      <c r="E12" s="72"/>
      <c r="F12" s="86">
        <v>6.0000000000000053E-2</v>
      </c>
      <c r="G12" s="79">
        <v>375.11856</v>
      </c>
      <c r="H12" s="61">
        <v>400.69819999999999</v>
      </c>
      <c r="J12" s="145"/>
      <c r="K12" s="72"/>
      <c r="L12" s="68"/>
      <c r="M12" s="44"/>
      <c r="N12" s="145"/>
      <c r="O12" s="49"/>
      <c r="P12" s="67"/>
      <c r="Q12" s="49"/>
      <c r="R12" s="145"/>
      <c r="S12" s="49"/>
      <c r="T12" s="67"/>
      <c r="U12" s="49"/>
      <c r="V12" s="145"/>
      <c r="W12" s="11"/>
      <c r="X12" s="53">
        <v>313</v>
      </c>
      <c r="Y12" s="78">
        <v>0.97</v>
      </c>
      <c r="Z12" s="79">
        <v>204.25</v>
      </c>
      <c r="AA12" s="60">
        <v>72.287999999999997</v>
      </c>
      <c r="AC12" s="5"/>
      <c r="AD12" s="6"/>
      <c r="AE12" s="11"/>
      <c r="AF12" s="11"/>
      <c r="AG12" s="5"/>
      <c r="AH12" s="6"/>
      <c r="AI12" s="86">
        <v>0.94</v>
      </c>
      <c r="AJ12" s="61">
        <v>-133.79155</v>
      </c>
      <c r="AK12" s="86">
        <v>0.06</v>
      </c>
      <c r="AL12" s="61">
        <v>-534.66234999999995</v>
      </c>
      <c r="AM12" s="86">
        <v>0.06</v>
      </c>
      <c r="AN12" s="61">
        <v>-534.66234999999995</v>
      </c>
    </row>
    <row r="13" spans="2:40">
      <c r="B13" s="145"/>
      <c r="C13" s="72"/>
      <c r="D13" s="68"/>
      <c r="E13" s="72"/>
      <c r="F13" s="86">
        <v>7.999999999999996E-2</v>
      </c>
      <c r="G13" s="79">
        <v>375.57650000000001</v>
      </c>
      <c r="H13" s="61">
        <v>405.8802</v>
      </c>
      <c r="J13" s="145"/>
      <c r="K13" s="72"/>
      <c r="L13" s="68"/>
      <c r="M13" s="44"/>
      <c r="N13" s="145"/>
      <c r="O13" s="49"/>
      <c r="P13" s="67"/>
      <c r="Q13" s="49"/>
      <c r="R13" s="145"/>
      <c r="S13" s="49"/>
      <c r="T13" s="67"/>
      <c r="U13" s="49"/>
      <c r="V13" s="145"/>
      <c r="W13" s="11"/>
      <c r="X13" s="53">
        <v>313</v>
      </c>
      <c r="Y13" s="78">
        <v>0.96</v>
      </c>
      <c r="Z13" s="79">
        <v>251.04</v>
      </c>
      <c r="AA13" s="60">
        <v>73.03</v>
      </c>
      <c r="AC13" s="5"/>
      <c r="AD13" s="6"/>
      <c r="AE13" s="11"/>
      <c r="AF13" s="11"/>
      <c r="AG13" s="5"/>
      <c r="AH13" s="6"/>
      <c r="AI13" s="86">
        <v>0.92</v>
      </c>
      <c r="AJ13" s="61">
        <v>-174.71863999999999</v>
      </c>
      <c r="AK13" s="86">
        <v>0.08</v>
      </c>
      <c r="AL13" s="61">
        <v>-664.27719999999999</v>
      </c>
      <c r="AM13" s="86">
        <v>0.08</v>
      </c>
      <c r="AN13" s="61">
        <v>-664.27719999999999</v>
      </c>
    </row>
    <row r="14" spans="2:40">
      <c r="B14" s="145"/>
      <c r="C14" s="72"/>
      <c r="D14" s="68"/>
      <c r="E14" s="72"/>
      <c r="F14" s="86">
        <v>9.9999999999999978E-2</v>
      </c>
      <c r="G14" s="79">
        <v>376.02913999999998</v>
      </c>
      <c r="H14" s="61">
        <v>410.22381999999999</v>
      </c>
      <c r="J14" s="145"/>
      <c r="K14" s="72"/>
      <c r="L14" s="68"/>
      <c r="M14" s="44"/>
      <c r="N14" s="145"/>
      <c r="O14" s="49"/>
      <c r="P14" s="67"/>
      <c r="Q14" s="49"/>
      <c r="R14" s="145"/>
      <c r="S14" s="49"/>
      <c r="T14" s="67"/>
      <c r="U14" s="49"/>
      <c r="V14" s="145"/>
      <c r="W14" s="11"/>
      <c r="X14" s="53">
        <v>313</v>
      </c>
      <c r="Y14" s="78">
        <v>0.95</v>
      </c>
      <c r="Z14" s="79">
        <v>298.89999999999998</v>
      </c>
      <c r="AA14" s="60">
        <v>73.789000000000001</v>
      </c>
      <c r="AC14" s="5"/>
      <c r="AD14" s="6"/>
      <c r="AE14" s="11"/>
      <c r="AF14" s="11"/>
      <c r="AG14" s="5"/>
      <c r="AH14" s="6"/>
      <c r="AI14" s="86">
        <v>0.9</v>
      </c>
      <c r="AJ14" s="61">
        <v>-213.73755</v>
      </c>
      <c r="AK14" s="86">
        <v>0.1</v>
      </c>
      <c r="AL14" s="61">
        <v>-774.11829999999998</v>
      </c>
      <c r="AM14" s="86">
        <v>0.1</v>
      </c>
      <c r="AN14" s="61">
        <v>-774.11829999999998</v>
      </c>
    </row>
    <row r="15" spans="2:40">
      <c r="B15" s="145"/>
      <c r="C15" s="72"/>
      <c r="D15" s="68"/>
      <c r="E15" s="72"/>
      <c r="F15" s="86">
        <v>0.12</v>
      </c>
      <c r="G15" s="79">
        <v>376.48349999999999</v>
      </c>
      <c r="H15" s="61">
        <v>413.98306000000002</v>
      </c>
      <c r="J15" s="145"/>
      <c r="K15" s="72"/>
      <c r="L15" s="68"/>
      <c r="M15" s="44"/>
      <c r="N15" s="145"/>
      <c r="O15" s="49"/>
      <c r="P15" s="67"/>
      <c r="Q15" s="49"/>
      <c r="R15" s="145"/>
      <c r="S15" s="49"/>
      <c r="T15" s="67"/>
      <c r="U15" s="49"/>
      <c r="V15" s="145"/>
      <c r="W15" s="11"/>
      <c r="X15" s="53">
        <v>313</v>
      </c>
      <c r="Y15" s="78">
        <v>0.94</v>
      </c>
      <c r="Z15" s="79">
        <v>347.85</v>
      </c>
      <c r="AA15" s="60">
        <v>74.563000000000002</v>
      </c>
      <c r="AC15" s="5"/>
      <c r="AD15" s="6"/>
      <c r="AE15" s="11"/>
      <c r="AF15" s="11"/>
      <c r="AG15" s="5"/>
      <c r="AH15" s="6"/>
      <c r="AI15" s="86">
        <v>0.88</v>
      </c>
      <c r="AJ15" s="61">
        <v>-250.80873</v>
      </c>
      <c r="AK15" s="86">
        <v>0.12</v>
      </c>
      <c r="AL15" s="61">
        <v>-866.61959999999999</v>
      </c>
      <c r="AM15" s="86">
        <v>0.12</v>
      </c>
      <c r="AN15" s="61">
        <v>-866.61959999999999</v>
      </c>
    </row>
    <row r="16" spans="2:40">
      <c r="B16" s="145"/>
      <c r="C16" s="72"/>
      <c r="D16" s="68"/>
      <c r="E16" s="72"/>
      <c r="F16" s="86">
        <v>0.14000000000000001</v>
      </c>
      <c r="G16" s="79">
        <v>376.94569999999999</v>
      </c>
      <c r="H16" s="61">
        <v>417.30948000000001</v>
      </c>
      <c r="J16" s="145"/>
      <c r="K16" s="12"/>
      <c r="L16" s="68"/>
      <c r="M16" s="8"/>
      <c r="N16" s="145"/>
      <c r="O16" s="49"/>
      <c r="P16" s="67"/>
      <c r="Q16" s="49"/>
      <c r="R16" s="145"/>
      <c r="S16" s="49"/>
      <c r="T16" s="67"/>
      <c r="U16" s="49"/>
      <c r="V16" s="145"/>
      <c r="W16" s="11"/>
      <c r="X16" s="53">
        <v>313</v>
      </c>
      <c r="Y16" s="78">
        <v>0.93</v>
      </c>
      <c r="Z16" s="79">
        <v>397.92</v>
      </c>
      <c r="AA16" s="60">
        <v>75.352999999999994</v>
      </c>
      <c r="AC16" s="5"/>
      <c r="AD16" s="6"/>
      <c r="AE16" s="11"/>
      <c r="AF16" s="11"/>
      <c r="AG16" s="5"/>
      <c r="AH16" s="6"/>
      <c r="AI16" s="86">
        <v>0.86</v>
      </c>
      <c r="AJ16" s="61">
        <v>-285.89636000000002</v>
      </c>
      <c r="AK16" s="86">
        <v>0.14000000000000001</v>
      </c>
      <c r="AL16" s="61">
        <v>-943.95590000000004</v>
      </c>
      <c r="AM16" s="86">
        <v>0.14000000000000001</v>
      </c>
      <c r="AN16" s="61">
        <v>-943.95590000000004</v>
      </c>
    </row>
    <row r="17" spans="2:40">
      <c r="B17" s="145"/>
      <c r="C17" s="72"/>
      <c r="D17" s="68"/>
      <c r="E17" s="72"/>
      <c r="F17" s="86">
        <v>0.16000000000000003</v>
      </c>
      <c r="G17" s="79">
        <v>377.42156999999997</v>
      </c>
      <c r="H17" s="61">
        <v>420.30119999999999</v>
      </c>
      <c r="J17" s="145"/>
      <c r="K17" s="12"/>
      <c r="L17" s="68"/>
      <c r="M17" s="8"/>
      <c r="N17" s="145"/>
      <c r="O17" s="49"/>
      <c r="P17" s="67"/>
      <c r="Q17" s="49"/>
      <c r="R17" s="145"/>
      <c r="S17" s="49"/>
      <c r="T17" s="67"/>
      <c r="U17" s="49"/>
      <c r="V17" s="145"/>
      <c r="W17" s="11"/>
      <c r="X17" s="53">
        <v>313</v>
      </c>
      <c r="Y17" s="78">
        <v>0.92</v>
      </c>
      <c r="Z17" s="79">
        <v>449.1</v>
      </c>
      <c r="AA17" s="60">
        <v>76.16</v>
      </c>
      <c r="AC17" s="5"/>
      <c r="AD17" s="6"/>
      <c r="AE17" s="11"/>
      <c r="AF17" s="11"/>
      <c r="AG17" s="5"/>
      <c r="AH17" s="6"/>
      <c r="AI17" s="86">
        <v>0.84</v>
      </c>
      <c r="AJ17" s="61">
        <v>-318.96906000000001</v>
      </c>
      <c r="AK17" s="86">
        <v>0.16</v>
      </c>
      <c r="AL17" s="62">
        <v>-1008.04193</v>
      </c>
      <c r="AM17" s="86">
        <v>0.16</v>
      </c>
      <c r="AN17" s="62">
        <v>-1008.04193</v>
      </c>
    </row>
    <row r="18" spans="2:40">
      <c r="B18" s="145"/>
      <c r="C18" s="72"/>
      <c r="D18" s="68"/>
      <c r="E18" s="72"/>
      <c r="F18" s="86">
        <v>0.18000000000000005</v>
      </c>
      <c r="G18" s="79">
        <v>377.91626000000002</v>
      </c>
      <c r="H18" s="61">
        <v>423.02553999999998</v>
      </c>
      <c r="J18" s="145"/>
      <c r="K18" s="12"/>
      <c r="L18" s="68"/>
      <c r="M18" s="8"/>
      <c r="N18" s="145"/>
      <c r="O18" s="49"/>
      <c r="P18" s="67"/>
      <c r="Q18" s="49"/>
      <c r="R18" s="145"/>
      <c r="S18" s="49"/>
      <c r="T18" s="67"/>
      <c r="U18" s="49"/>
      <c r="V18" s="145"/>
      <c r="W18" s="11"/>
      <c r="X18" s="53">
        <v>313</v>
      </c>
      <c r="Y18" s="78">
        <v>0.91</v>
      </c>
      <c r="Z18" s="79">
        <v>501.42</v>
      </c>
      <c r="AA18" s="60">
        <v>76.984999999999999</v>
      </c>
      <c r="AC18" s="5"/>
      <c r="AD18" s="6"/>
      <c r="AE18" s="11"/>
      <c r="AF18" s="11"/>
      <c r="AG18" s="5"/>
      <c r="AH18" s="6"/>
      <c r="AI18" s="86">
        <v>0.82000000000000006</v>
      </c>
      <c r="AJ18" s="61">
        <v>-350.00036999999998</v>
      </c>
      <c r="AK18" s="86">
        <v>0.18</v>
      </c>
      <c r="AL18" s="62">
        <v>-1060.5485000000001</v>
      </c>
      <c r="AM18" s="86">
        <v>0.18</v>
      </c>
      <c r="AN18" s="62">
        <v>-1060.5485000000001</v>
      </c>
    </row>
    <row r="19" spans="2:40" ht="15" thickBot="1">
      <c r="B19" s="145"/>
      <c r="C19" s="72"/>
      <c r="D19" s="68"/>
      <c r="E19" s="72"/>
      <c r="F19" s="86">
        <v>0.19999999999999996</v>
      </c>
      <c r="G19" s="79">
        <v>378.43463000000003</v>
      </c>
      <c r="H19" s="61">
        <v>425.53089999999997</v>
      </c>
      <c r="J19" s="145"/>
      <c r="K19" s="12"/>
      <c r="L19" s="68"/>
      <c r="M19" s="8"/>
      <c r="N19" s="146"/>
      <c r="O19" s="50"/>
      <c r="P19" s="133"/>
      <c r="Q19" s="50"/>
      <c r="R19" s="145"/>
      <c r="S19" s="49"/>
      <c r="T19" s="67"/>
      <c r="U19" s="49"/>
      <c r="V19" s="145"/>
      <c r="W19" s="11"/>
      <c r="X19" s="53">
        <v>313</v>
      </c>
      <c r="Y19" s="78">
        <v>0.9</v>
      </c>
      <c r="Z19" s="79">
        <v>554.89</v>
      </c>
      <c r="AA19" s="60">
        <v>77.828000000000003</v>
      </c>
      <c r="AC19" s="5"/>
      <c r="AD19" s="6"/>
      <c r="AE19" s="11"/>
      <c r="AF19" s="11"/>
      <c r="AG19" s="5"/>
      <c r="AH19" s="6"/>
      <c r="AI19" s="86">
        <v>0.8</v>
      </c>
      <c r="AJ19" s="61">
        <v>-378.96969999999999</v>
      </c>
      <c r="AK19" s="86">
        <v>0.2</v>
      </c>
      <c r="AL19" s="62">
        <v>-1102.9244000000001</v>
      </c>
      <c r="AM19" s="86">
        <v>0.2</v>
      </c>
      <c r="AN19" s="62">
        <v>-1102.9244000000001</v>
      </c>
    </row>
    <row r="20" spans="2:40" ht="15" thickBot="1">
      <c r="B20" s="145"/>
      <c r="C20" s="72"/>
      <c r="D20" s="68"/>
      <c r="E20" s="72"/>
      <c r="F20" s="86">
        <v>0.21999999999999997</v>
      </c>
      <c r="G20" s="79">
        <v>378.9812</v>
      </c>
      <c r="H20" s="61">
        <v>427.85340000000002</v>
      </c>
      <c r="J20" s="145"/>
      <c r="K20" s="12"/>
      <c r="L20" s="68"/>
      <c r="M20" s="8"/>
      <c r="R20" s="146"/>
      <c r="S20" s="50"/>
      <c r="T20" s="133"/>
      <c r="U20" s="50"/>
      <c r="V20" s="145"/>
      <c r="W20" s="11"/>
      <c r="X20" s="53">
        <v>313</v>
      </c>
      <c r="Y20" s="78">
        <v>0.89</v>
      </c>
      <c r="Z20" s="79">
        <v>609.53</v>
      </c>
      <c r="AA20" s="60">
        <v>78.69</v>
      </c>
      <c r="AC20" s="5"/>
      <c r="AD20" s="6"/>
      <c r="AE20" s="11"/>
      <c r="AF20" s="11"/>
      <c r="AG20" s="5"/>
      <c r="AH20" s="6"/>
      <c r="AI20" s="86">
        <v>0.78</v>
      </c>
      <c r="AJ20" s="61">
        <v>-405.86279999999999</v>
      </c>
      <c r="AK20" s="86">
        <v>0.22</v>
      </c>
      <c r="AL20" s="62">
        <v>-1136.4223999999999</v>
      </c>
      <c r="AM20" s="86">
        <v>0.22</v>
      </c>
      <c r="AN20" s="62">
        <v>-1136.4223999999999</v>
      </c>
    </row>
    <row r="21" spans="2:40">
      <c r="B21" s="145"/>
      <c r="C21" s="72"/>
      <c r="D21" s="68"/>
      <c r="E21" s="72"/>
      <c r="F21" s="86">
        <v>0.24</v>
      </c>
      <c r="G21" s="79">
        <v>379.56018</v>
      </c>
      <c r="H21" s="61">
        <v>430.02057000000002</v>
      </c>
      <c r="J21" s="145"/>
      <c r="K21" s="12"/>
      <c r="L21" s="68"/>
      <c r="M21" s="8"/>
      <c r="V21" s="145"/>
      <c r="W21" s="11"/>
      <c r="X21" s="53">
        <v>313</v>
      </c>
      <c r="Y21" s="78">
        <v>0.88</v>
      </c>
      <c r="Z21" s="79">
        <v>665.34</v>
      </c>
      <c r="AA21" s="60">
        <v>79.569999999999993</v>
      </c>
      <c r="AC21" s="5"/>
      <c r="AD21" s="6"/>
      <c r="AE21" s="11"/>
      <c r="AF21" s="11"/>
      <c r="AG21" s="5"/>
      <c r="AH21" s="6"/>
      <c r="AI21" s="86">
        <v>0.76</v>
      </c>
      <c r="AJ21" s="61">
        <v>-430.67241999999999</v>
      </c>
      <c r="AK21" s="86">
        <v>0.24</v>
      </c>
      <c r="AL21" s="62">
        <v>-1162.1215</v>
      </c>
      <c r="AM21" s="86">
        <v>0.24</v>
      </c>
      <c r="AN21" s="62">
        <v>-1162.1215</v>
      </c>
    </row>
    <row r="22" spans="2:40">
      <c r="B22" s="145"/>
      <c r="C22" s="72"/>
      <c r="D22" s="68"/>
      <c r="E22" s="72"/>
      <c r="F22" s="86">
        <v>0.26</v>
      </c>
      <c r="G22" s="79">
        <v>380.1755</v>
      </c>
      <c r="H22" s="61">
        <v>432.05401999999998</v>
      </c>
      <c r="J22" s="145"/>
      <c r="K22" s="12"/>
      <c r="L22" s="68"/>
      <c r="M22" s="8"/>
      <c r="V22" s="145"/>
      <c r="W22" s="11"/>
      <c r="X22" s="53">
        <v>313</v>
      </c>
      <c r="Y22" s="78">
        <v>0.87</v>
      </c>
      <c r="Z22" s="79">
        <v>722.34</v>
      </c>
      <c r="AA22" s="60">
        <v>80.471000000000004</v>
      </c>
      <c r="AC22" s="5"/>
      <c r="AD22" s="6"/>
      <c r="AE22" s="11"/>
      <c r="AF22" s="11"/>
      <c r="AG22" s="5"/>
      <c r="AH22" s="6"/>
      <c r="AI22" s="86">
        <v>0.74</v>
      </c>
      <c r="AJ22" s="61">
        <v>-453.39909999999998</v>
      </c>
      <c r="AK22" s="86">
        <v>0.26</v>
      </c>
      <c r="AL22" s="62">
        <v>-1180.9512999999999</v>
      </c>
      <c r="AM22" s="86">
        <v>0.26</v>
      </c>
      <c r="AN22" s="62">
        <v>-1180.9512999999999</v>
      </c>
    </row>
    <row r="23" spans="2:40">
      <c r="B23" s="145"/>
      <c r="C23" s="72"/>
      <c r="D23" s="68"/>
      <c r="E23" s="72"/>
      <c r="F23" s="86">
        <v>0.28000000000000003</v>
      </c>
      <c r="G23" s="79">
        <v>380.83100000000002</v>
      </c>
      <c r="H23" s="61">
        <v>433.97113000000002</v>
      </c>
      <c r="J23" s="145"/>
      <c r="K23" s="12"/>
      <c r="L23" s="68"/>
      <c r="M23" s="8"/>
      <c r="V23" s="145"/>
      <c r="W23" s="11"/>
      <c r="X23" s="53">
        <v>313</v>
      </c>
      <c r="Y23" s="78">
        <v>0.86</v>
      </c>
      <c r="Z23" s="79">
        <v>780.53</v>
      </c>
      <c r="AA23" s="60">
        <v>81.391999999999996</v>
      </c>
      <c r="AC23" s="5"/>
      <c r="AD23" s="6"/>
      <c r="AE23" s="11"/>
      <c r="AF23" s="11"/>
      <c r="AG23" s="5"/>
      <c r="AH23" s="6"/>
      <c r="AI23" s="86">
        <v>0.72</v>
      </c>
      <c r="AJ23" s="61">
        <v>-474.05142000000001</v>
      </c>
      <c r="AK23" s="86">
        <v>0.28000000000000003</v>
      </c>
      <c r="AL23" s="62">
        <v>-1193.7113999999999</v>
      </c>
      <c r="AM23" s="86">
        <v>0.28000000000000003</v>
      </c>
      <c r="AN23" s="62">
        <v>-1193.7113999999999</v>
      </c>
    </row>
    <row r="24" spans="2:40">
      <c r="B24" s="145"/>
      <c r="C24" s="72"/>
      <c r="D24" s="68"/>
      <c r="E24" s="72"/>
      <c r="F24" s="86">
        <v>0.30000000000000004</v>
      </c>
      <c r="G24" s="79">
        <v>381.53019999999998</v>
      </c>
      <c r="H24" s="61">
        <v>435.78590000000003</v>
      </c>
      <c r="J24" s="145"/>
      <c r="K24" s="12"/>
      <c r="L24" s="68"/>
      <c r="M24" s="8"/>
      <c r="V24" s="145"/>
      <c r="W24" s="11"/>
      <c r="X24" s="53">
        <v>313</v>
      </c>
      <c r="Y24" s="78">
        <v>0.85</v>
      </c>
      <c r="Z24" s="79">
        <v>839.92</v>
      </c>
      <c r="AA24" s="60">
        <v>82.334999999999994</v>
      </c>
      <c r="AC24" s="5"/>
      <c r="AD24" s="6"/>
      <c r="AE24" s="11"/>
      <c r="AF24" s="11"/>
      <c r="AG24" s="5"/>
      <c r="AH24" s="6"/>
      <c r="AI24" s="86">
        <v>0.7</v>
      </c>
      <c r="AJ24" s="61">
        <v>-492.64663999999999</v>
      </c>
      <c r="AK24" s="86">
        <v>0.3</v>
      </c>
      <c r="AL24" s="62">
        <v>-1201.0895</v>
      </c>
      <c r="AM24" s="86">
        <v>0.3</v>
      </c>
      <c r="AN24" s="62">
        <v>-1201.0895</v>
      </c>
    </row>
    <row r="25" spans="2:40" ht="15" thickBot="1">
      <c r="B25" s="145"/>
      <c r="C25" s="72"/>
      <c r="D25" s="68"/>
      <c r="E25" s="72"/>
      <c r="F25" s="86">
        <v>0.31999999999999995</v>
      </c>
      <c r="G25" s="79">
        <v>382.27654999999999</v>
      </c>
      <c r="H25" s="61">
        <v>437.50992000000002</v>
      </c>
      <c r="J25" s="145"/>
      <c r="K25" s="12"/>
      <c r="L25" s="68"/>
      <c r="M25" s="8"/>
      <c r="V25" s="145"/>
      <c r="W25" s="11"/>
      <c r="X25" s="53">
        <v>313</v>
      </c>
      <c r="Y25" s="78">
        <v>0.84</v>
      </c>
      <c r="Z25" s="79">
        <v>900.52</v>
      </c>
      <c r="AA25" s="60">
        <v>83.3</v>
      </c>
      <c r="AC25" s="5"/>
      <c r="AD25" s="6"/>
      <c r="AE25" s="33"/>
      <c r="AF25" s="33"/>
      <c r="AG25" s="5"/>
      <c r="AH25" s="6"/>
      <c r="AI25" s="86">
        <v>0.67999999999999994</v>
      </c>
      <c r="AJ25" s="61">
        <v>-509.21100000000001</v>
      </c>
      <c r="AK25" s="86">
        <v>0.32</v>
      </c>
      <c r="AL25" s="62">
        <v>-1203.6766</v>
      </c>
      <c r="AM25" s="86">
        <v>0.32</v>
      </c>
      <c r="AN25" s="62">
        <v>-1203.6766</v>
      </c>
    </row>
    <row r="26" spans="2:40" ht="15" thickBot="1">
      <c r="B26" s="145"/>
      <c r="C26" s="72"/>
      <c r="D26" s="68"/>
      <c r="E26" s="72"/>
      <c r="F26" s="86">
        <v>0.33999999999999997</v>
      </c>
      <c r="G26" s="79">
        <v>383.07330000000002</v>
      </c>
      <c r="H26" s="61">
        <v>439.15289999999999</v>
      </c>
      <c r="J26" s="145"/>
      <c r="K26" s="12"/>
      <c r="L26" s="68"/>
      <c r="M26" s="8"/>
      <c r="V26" s="145"/>
      <c r="W26" s="11"/>
      <c r="X26" s="53">
        <v>313</v>
      </c>
      <c r="Y26" s="78">
        <v>0.83</v>
      </c>
      <c r="Z26" s="79">
        <v>962.33</v>
      </c>
      <c r="AA26" s="60">
        <v>84.287000000000006</v>
      </c>
      <c r="AC26" s="5"/>
      <c r="AD26" s="6"/>
      <c r="AG26" s="23"/>
      <c r="AH26" s="26"/>
      <c r="AI26" s="86">
        <v>0.65999999999999992</v>
      </c>
      <c r="AJ26" s="61">
        <v>-523.77985000000001</v>
      </c>
      <c r="AK26" s="86">
        <v>0.34</v>
      </c>
      <c r="AL26" s="62">
        <v>-1201.9813999999999</v>
      </c>
      <c r="AM26" s="86">
        <v>0.34</v>
      </c>
      <c r="AN26" s="62">
        <v>-1201.9813999999999</v>
      </c>
    </row>
    <row r="27" spans="2:40" ht="15" thickBot="1">
      <c r="B27" s="145"/>
      <c r="C27" s="72"/>
      <c r="D27" s="68"/>
      <c r="E27" s="72"/>
      <c r="F27" s="86">
        <v>0.36</v>
      </c>
      <c r="G27" s="79">
        <v>383.92367999999999</v>
      </c>
      <c r="H27" s="61">
        <v>440.72300000000001</v>
      </c>
      <c r="J27" s="145"/>
      <c r="K27" s="12"/>
      <c r="L27" s="68"/>
      <c r="M27" s="8"/>
      <c r="V27" s="145"/>
      <c r="W27" s="11"/>
      <c r="X27" s="53">
        <v>313</v>
      </c>
      <c r="Y27" s="78">
        <v>0.82</v>
      </c>
      <c r="Z27" s="150">
        <v>1025.4000000000001</v>
      </c>
      <c r="AA27" s="60">
        <v>85.298000000000002</v>
      </c>
      <c r="AC27" s="23"/>
      <c r="AD27" s="26"/>
      <c r="AI27" s="86">
        <v>0.64</v>
      </c>
      <c r="AJ27" s="61">
        <v>-536.39769999999999</v>
      </c>
      <c r="AK27" s="86">
        <v>0.36</v>
      </c>
      <c r="AL27" s="62">
        <v>-1196.4408000000001</v>
      </c>
      <c r="AM27" s="86">
        <v>0.36</v>
      </c>
      <c r="AN27" s="62">
        <v>-1196.4408000000001</v>
      </c>
    </row>
    <row r="28" spans="2:40" ht="15" thickBot="1">
      <c r="B28" s="145"/>
      <c r="C28" s="72"/>
      <c r="D28" s="68"/>
      <c r="E28" s="72"/>
      <c r="F28" s="86">
        <v>0.38</v>
      </c>
      <c r="G28" s="79">
        <v>384.83071999999999</v>
      </c>
      <c r="H28" s="61">
        <v>442.22719999999998</v>
      </c>
      <c r="J28" s="145"/>
      <c r="K28" s="12"/>
      <c r="L28" s="68"/>
      <c r="M28" s="8"/>
      <c r="V28" s="146"/>
      <c r="W28" s="33"/>
      <c r="X28" s="53">
        <v>313</v>
      </c>
      <c r="Y28" s="78">
        <v>0.81</v>
      </c>
      <c r="Z28" s="150">
        <v>1089.5999999999999</v>
      </c>
      <c r="AA28" s="60">
        <v>86.334000000000003</v>
      </c>
      <c r="AI28" s="86">
        <v>0.62</v>
      </c>
      <c r="AJ28" s="61">
        <v>-547.11800000000005</v>
      </c>
      <c r="AK28" s="86">
        <v>0.38</v>
      </c>
      <c r="AL28" s="62">
        <v>-1187.4304999999999</v>
      </c>
      <c r="AM28" s="86">
        <v>0.38</v>
      </c>
      <c r="AN28" s="62">
        <v>-1187.4304999999999</v>
      </c>
    </row>
    <row r="29" spans="2:40">
      <c r="B29" s="145"/>
      <c r="C29" s="72"/>
      <c r="D29" s="68"/>
      <c r="E29" s="72"/>
      <c r="F29" s="86">
        <v>0.4</v>
      </c>
      <c r="G29" s="79">
        <v>385.79745000000003</v>
      </c>
      <c r="H29" s="61">
        <v>443.67149999999998</v>
      </c>
      <c r="J29" s="145"/>
      <c r="K29" s="12"/>
      <c r="L29" s="68"/>
      <c r="M29" s="8"/>
      <c r="X29" s="53">
        <v>313</v>
      </c>
      <c r="Y29" s="78">
        <v>0.8</v>
      </c>
      <c r="Z29" s="150">
        <v>1155</v>
      </c>
      <c r="AA29" s="60">
        <v>87.394999999999996</v>
      </c>
      <c r="AI29" s="86">
        <v>0.6</v>
      </c>
      <c r="AJ29" s="61">
        <v>-556.00274999999999</v>
      </c>
      <c r="AK29" s="86">
        <v>0.4</v>
      </c>
      <c r="AL29" s="62">
        <v>-1175.2736</v>
      </c>
      <c r="AM29" s="86">
        <v>0.4</v>
      </c>
      <c r="AN29" s="62">
        <v>-1175.2736</v>
      </c>
    </row>
    <row r="30" spans="2:40">
      <c r="B30" s="145"/>
      <c r="C30" s="72"/>
      <c r="D30" s="68"/>
      <c r="E30" s="72"/>
      <c r="F30" s="86">
        <v>0.42000000000000004</v>
      </c>
      <c r="G30" s="79">
        <v>386.82679999999999</v>
      </c>
      <c r="H30" s="61">
        <v>445.06106999999997</v>
      </c>
      <c r="J30" s="145"/>
      <c r="K30" s="12"/>
      <c r="L30" s="68"/>
      <c r="M30" s="8"/>
      <c r="X30" s="53">
        <v>313</v>
      </c>
      <c r="Y30" s="78">
        <v>0.79</v>
      </c>
      <c r="Z30" s="150">
        <v>1221.7</v>
      </c>
      <c r="AA30" s="60">
        <v>88.483000000000004</v>
      </c>
      <c r="AI30" s="86">
        <v>0.58000000000000007</v>
      </c>
      <c r="AJ30" s="61">
        <v>-563.12194999999997</v>
      </c>
      <c r="AK30" s="86">
        <v>0.42</v>
      </c>
      <c r="AL30" s="62">
        <v>-1160.2476999999999</v>
      </c>
      <c r="AM30" s="86">
        <v>0.42</v>
      </c>
      <c r="AN30" s="62">
        <v>-1160.2476999999999</v>
      </c>
    </row>
    <row r="31" spans="2:40">
      <c r="B31" s="145"/>
      <c r="C31" s="72"/>
      <c r="D31" s="68"/>
      <c r="E31" s="72"/>
      <c r="F31" s="86">
        <v>0.43999999999999995</v>
      </c>
      <c r="G31" s="79">
        <v>387.92180000000002</v>
      </c>
      <c r="H31" s="61">
        <v>446.40044999999998</v>
      </c>
      <c r="J31" s="145"/>
      <c r="K31" s="12"/>
      <c r="L31" s="68"/>
      <c r="M31" s="8"/>
      <c r="X31" s="53">
        <v>313</v>
      </c>
      <c r="Y31" s="78">
        <v>0.78</v>
      </c>
      <c r="Z31" s="150">
        <v>1289.5</v>
      </c>
      <c r="AA31" s="60">
        <v>89.597999999999999</v>
      </c>
      <c r="AI31" s="86">
        <v>0.56000000000000005</v>
      </c>
      <c r="AJ31" s="61">
        <v>-568.55240000000003</v>
      </c>
      <c r="AK31" s="86">
        <v>0.44</v>
      </c>
      <c r="AL31" s="62">
        <v>-1142.5916</v>
      </c>
      <c r="AM31" s="86">
        <v>0.44</v>
      </c>
      <c r="AN31" s="62">
        <v>-1142.5916</v>
      </c>
    </row>
    <row r="32" spans="2:40" ht="15" thickBot="1">
      <c r="B32" s="145"/>
      <c r="C32" s="72"/>
      <c r="D32" s="68"/>
      <c r="E32" s="72"/>
      <c r="F32" s="86">
        <v>0.45999999999999996</v>
      </c>
      <c r="G32" s="79">
        <v>389.08535999999998</v>
      </c>
      <c r="H32" s="61">
        <v>447.69357000000002</v>
      </c>
      <c r="J32" s="146"/>
      <c r="K32" s="13"/>
      <c r="L32" s="69"/>
      <c r="M32" s="149"/>
      <c r="X32" s="53">
        <v>313</v>
      </c>
      <c r="Y32" s="78">
        <v>0.77</v>
      </c>
      <c r="Z32" s="150">
        <v>1358.6</v>
      </c>
      <c r="AA32" s="60">
        <v>90.741</v>
      </c>
      <c r="AI32" s="86">
        <v>0.54</v>
      </c>
      <c r="AJ32" s="61">
        <v>-572.37694999999997</v>
      </c>
      <c r="AK32" s="86">
        <v>0.46</v>
      </c>
      <c r="AL32" s="62">
        <v>-1122.5105000000001</v>
      </c>
      <c r="AM32" s="86">
        <v>0.46</v>
      </c>
      <c r="AN32" s="62">
        <v>-1122.5105000000001</v>
      </c>
    </row>
    <row r="33" spans="2:40">
      <c r="B33" s="145"/>
      <c r="C33" s="72"/>
      <c r="D33" s="68"/>
      <c r="E33" s="72"/>
      <c r="F33" s="86">
        <v>0.48</v>
      </c>
      <c r="G33" s="79">
        <v>390.32047</v>
      </c>
      <c r="H33" s="61">
        <v>448.94403</v>
      </c>
      <c r="X33" s="53">
        <v>313</v>
      </c>
      <c r="Y33" s="78">
        <v>0.76</v>
      </c>
      <c r="Z33" s="150">
        <v>1428.8</v>
      </c>
      <c r="AA33" s="60">
        <v>91.914000000000001</v>
      </c>
      <c r="AI33" s="86">
        <v>0.52</v>
      </c>
      <c r="AJ33" s="61">
        <v>-574.68242999999995</v>
      </c>
      <c r="AK33" s="86">
        <v>0.48</v>
      </c>
      <c r="AL33" s="62">
        <v>-1100.181</v>
      </c>
      <c r="AM33" s="86">
        <v>0.48</v>
      </c>
      <c r="AN33" s="62">
        <v>-1100.181</v>
      </c>
    </row>
    <row r="34" spans="2:40">
      <c r="B34" s="145"/>
      <c r="C34" s="72"/>
      <c r="D34" s="68"/>
      <c r="E34" s="72"/>
      <c r="F34" s="86">
        <v>0.5</v>
      </c>
      <c r="G34" s="79">
        <v>391.6302</v>
      </c>
      <c r="H34" s="61">
        <v>450.15487999999999</v>
      </c>
      <c r="X34" s="53">
        <v>313</v>
      </c>
      <c r="Y34" s="78">
        <v>0.75</v>
      </c>
      <c r="Z34" s="150">
        <v>1500.2</v>
      </c>
      <c r="AA34" s="60">
        <v>93.117999999999995</v>
      </c>
      <c r="AI34" s="86">
        <v>0.5</v>
      </c>
      <c r="AJ34" s="61">
        <v>-575.55840000000001</v>
      </c>
      <c r="AK34" s="86">
        <v>0.5</v>
      </c>
      <c r="AL34" s="62">
        <v>-1075.7551000000001</v>
      </c>
      <c r="AM34" s="86">
        <v>0.5</v>
      </c>
      <c r="AN34" s="62">
        <v>-1075.7551000000001</v>
      </c>
    </row>
    <row r="35" spans="2:40">
      <c r="B35" s="145"/>
      <c r="C35" s="72"/>
      <c r="D35" s="68"/>
      <c r="E35" s="72"/>
      <c r="F35" s="86">
        <v>0.52</v>
      </c>
      <c r="G35" s="79">
        <v>393.01776000000001</v>
      </c>
      <c r="H35" s="61">
        <v>451.32891999999998</v>
      </c>
      <c r="X35" s="53">
        <v>313</v>
      </c>
      <c r="Y35" s="78">
        <v>0.74</v>
      </c>
      <c r="Z35" s="150">
        <v>1572.7</v>
      </c>
      <c r="AA35" s="60">
        <v>94.352999999999994</v>
      </c>
      <c r="AI35" s="86">
        <v>0.48</v>
      </c>
      <c r="AJ35" s="61">
        <v>-575.09466999999995</v>
      </c>
      <c r="AK35" s="86">
        <v>0.52</v>
      </c>
      <c r="AL35" s="62">
        <v>-1049.3639000000001</v>
      </c>
      <c r="AM35" s="86">
        <v>0.52</v>
      </c>
      <c r="AN35" s="62">
        <v>-1049.3639000000001</v>
      </c>
    </row>
    <row r="36" spans="2:40">
      <c r="B36" s="145"/>
      <c r="C36" s="72"/>
      <c r="D36" s="68"/>
      <c r="E36" s="72"/>
      <c r="F36" s="86">
        <v>0.54</v>
      </c>
      <c r="G36" s="79">
        <v>394.48656999999997</v>
      </c>
      <c r="H36" s="61">
        <v>452.46863000000002</v>
      </c>
      <c r="X36" s="53">
        <v>313</v>
      </c>
      <c r="Y36" s="78">
        <v>0.73</v>
      </c>
      <c r="Z36" s="150">
        <v>1646.4</v>
      </c>
      <c r="AA36" s="60">
        <v>95.622</v>
      </c>
      <c r="AI36" s="86">
        <v>0.45999999999999996</v>
      </c>
      <c r="AJ36" s="61">
        <v>-573.37896999999998</v>
      </c>
      <c r="AK36" s="86">
        <v>0.54</v>
      </c>
      <c r="AL36" s="62">
        <v>-1021.12085</v>
      </c>
      <c r="AM36" s="86">
        <v>0.54</v>
      </c>
      <c r="AN36" s="62">
        <v>-1021.12085</v>
      </c>
    </row>
    <row r="37" spans="2:40">
      <c r="B37" s="145"/>
      <c r="C37" s="72"/>
      <c r="D37" s="68"/>
      <c r="E37" s="72"/>
      <c r="F37" s="86">
        <v>0.56000000000000005</v>
      </c>
      <c r="G37" s="79">
        <v>396.04025000000001</v>
      </c>
      <c r="H37" s="61">
        <v>453.57625999999999</v>
      </c>
      <c r="X37" s="53">
        <v>313</v>
      </c>
      <c r="Y37" s="78">
        <v>0.72</v>
      </c>
      <c r="Z37" s="150">
        <v>1721.2</v>
      </c>
      <c r="AA37" s="60">
        <v>96.924999999999997</v>
      </c>
      <c r="AI37" s="86">
        <v>0.43999999999999995</v>
      </c>
      <c r="AJ37" s="61">
        <v>-570.49426000000005</v>
      </c>
      <c r="AK37" s="86">
        <v>0.56000000000000005</v>
      </c>
      <c r="AL37" s="61">
        <v>-991.12419999999997</v>
      </c>
      <c r="AM37" s="86">
        <v>0.56000000000000005</v>
      </c>
      <c r="AN37" s="61">
        <v>-991.12419999999997</v>
      </c>
    </row>
    <row r="38" spans="2:40">
      <c r="B38" s="145"/>
      <c r="C38" s="72"/>
      <c r="D38" s="68"/>
      <c r="E38" s="72"/>
      <c r="F38" s="86">
        <v>0.58000000000000007</v>
      </c>
      <c r="G38" s="79">
        <v>397.68274000000002</v>
      </c>
      <c r="H38" s="61">
        <v>454.65384</v>
      </c>
      <c r="X38" s="53">
        <v>313</v>
      </c>
      <c r="Y38" s="78">
        <v>0.71</v>
      </c>
      <c r="Z38" s="150">
        <v>1797</v>
      </c>
      <c r="AA38" s="60">
        <v>98.263999999999996</v>
      </c>
      <c r="AI38" s="86">
        <v>0.42000000000000004</v>
      </c>
      <c r="AJ38" s="61">
        <v>-566.51544000000001</v>
      </c>
      <c r="AK38" s="86">
        <v>0.57999999999999996</v>
      </c>
      <c r="AL38" s="61">
        <v>-959.45965999999999</v>
      </c>
      <c r="AM38" s="86">
        <v>0.57999999999999996</v>
      </c>
      <c r="AN38" s="61">
        <v>-959.45965999999999</v>
      </c>
    </row>
    <row r="39" spans="2:40">
      <c r="B39" s="145"/>
      <c r="C39" s="72"/>
      <c r="D39" s="68"/>
      <c r="E39" s="72"/>
      <c r="F39" s="86">
        <v>0.6</v>
      </c>
      <c r="G39" s="79">
        <v>399.41845999999998</v>
      </c>
      <c r="H39" s="61">
        <v>455.70321999999999</v>
      </c>
      <c r="X39" s="53">
        <v>313</v>
      </c>
      <c r="Y39" s="78">
        <v>0.7</v>
      </c>
      <c r="Z39" s="150">
        <v>1873.9</v>
      </c>
      <c r="AA39" s="60">
        <v>99.641000000000005</v>
      </c>
      <c r="AI39" s="86">
        <v>0.4</v>
      </c>
      <c r="AJ39" s="61">
        <v>-561.50609999999995</v>
      </c>
      <c r="AK39" s="86">
        <v>0.6</v>
      </c>
      <c r="AL39" s="61">
        <v>-926.20240000000001</v>
      </c>
      <c r="AM39" s="86">
        <v>0.6</v>
      </c>
      <c r="AN39" s="61">
        <v>-926.20240000000001</v>
      </c>
    </row>
    <row r="40" spans="2:40">
      <c r="B40" s="145"/>
      <c r="C40" s="72"/>
      <c r="D40" s="68"/>
      <c r="E40" s="72"/>
      <c r="F40" s="86">
        <v>0.62</v>
      </c>
      <c r="G40" s="79">
        <v>401.25225999999998</v>
      </c>
      <c r="H40" s="61">
        <v>456.72604000000001</v>
      </c>
      <c r="X40" s="53">
        <v>313</v>
      </c>
      <c r="Y40" s="78">
        <v>0.69</v>
      </c>
      <c r="Z40" s="150">
        <v>1951.9</v>
      </c>
      <c r="AA40" s="61">
        <v>101.06</v>
      </c>
      <c r="AI40" s="86">
        <v>0.38</v>
      </c>
      <c r="AJ40" s="61">
        <v>-555.51440000000002</v>
      </c>
      <c r="AK40" s="86">
        <v>0.62</v>
      </c>
      <c r="AL40" s="61">
        <v>-891.41890000000001</v>
      </c>
      <c r="AM40" s="86">
        <v>0.62</v>
      </c>
      <c r="AN40" s="61">
        <v>-891.41890000000001</v>
      </c>
    </row>
    <row r="41" spans="2:40">
      <c r="B41" s="145"/>
      <c r="C41" s="72"/>
      <c r="D41" s="68"/>
      <c r="E41" s="72"/>
      <c r="F41" s="86">
        <v>0.64</v>
      </c>
      <c r="G41" s="79">
        <v>403.18966999999998</v>
      </c>
      <c r="H41" s="61">
        <v>457.72385000000003</v>
      </c>
      <c r="X41" s="53">
        <v>313</v>
      </c>
      <c r="Y41" s="78">
        <v>0.68</v>
      </c>
      <c r="Z41" s="150">
        <v>2030.8</v>
      </c>
      <c r="AA41" s="61">
        <v>102.51</v>
      </c>
      <c r="AI41" s="86">
        <v>0.36</v>
      </c>
      <c r="AJ41" s="61">
        <v>-548.56915000000004</v>
      </c>
      <c r="AK41" s="86">
        <v>0.64</v>
      </c>
      <c r="AL41" s="61">
        <v>-855.16845999999998</v>
      </c>
      <c r="AM41" s="86">
        <v>0.64</v>
      </c>
      <c r="AN41" s="61">
        <v>-855.16845999999998</v>
      </c>
    </row>
    <row r="42" spans="2:40">
      <c r="B42" s="145"/>
      <c r="C42" s="72"/>
      <c r="D42" s="68"/>
      <c r="E42" s="72"/>
      <c r="F42" s="86">
        <v>0.65999999999999992</v>
      </c>
      <c r="G42" s="79">
        <v>405.23703</v>
      </c>
      <c r="H42" s="61">
        <v>458.69799999999998</v>
      </c>
      <c r="X42" s="53">
        <v>313</v>
      </c>
      <c r="Y42" s="78">
        <v>0.67</v>
      </c>
      <c r="Z42" s="150">
        <v>2110.6999999999998</v>
      </c>
      <c r="AA42" s="61">
        <v>104.01</v>
      </c>
      <c r="AI42" s="86">
        <v>0.33999999999999997</v>
      </c>
      <c r="AJ42" s="61">
        <v>-540.67489999999998</v>
      </c>
      <c r="AK42" s="86">
        <v>0.66</v>
      </c>
      <c r="AL42" s="61">
        <v>-817.50463999999999</v>
      </c>
      <c r="AM42" s="86">
        <v>0.66</v>
      </c>
      <c r="AN42" s="61">
        <v>-817.50463999999999</v>
      </c>
    </row>
    <row r="43" spans="2:40">
      <c r="B43" s="145"/>
      <c r="C43" s="72"/>
      <c r="D43" s="68"/>
      <c r="E43" s="72"/>
      <c r="F43" s="86">
        <v>0.67999999999999994</v>
      </c>
      <c r="G43" s="79">
        <v>407.40152</v>
      </c>
      <c r="H43" s="61">
        <v>459.64980000000003</v>
      </c>
      <c r="X43" s="53">
        <v>313</v>
      </c>
      <c r="Y43" s="78">
        <v>0.66</v>
      </c>
      <c r="Z43" s="150">
        <v>2191.4</v>
      </c>
      <c r="AA43" s="61">
        <v>105.56</v>
      </c>
      <c r="AI43" s="86">
        <v>0.31999999999999995</v>
      </c>
      <c r="AJ43" s="61">
        <v>-531.80695000000003</v>
      </c>
      <c r="AK43" s="86">
        <v>0.68</v>
      </c>
      <c r="AL43" s="61">
        <v>-778.47626000000002</v>
      </c>
      <c r="AM43" s="86">
        <v>0.68</v>
      </c>
      <c r="AN43" s="61">
        <v>-778.47626000000002</v>
      </c>
    </row>
    <row r="44" spans="2:40">
      <c r="B44" s="145"/>
      <c r="C44" s="72"/>
      <c r="D44" s="68"/>
      <c r="E44" s="72"/>
      <c r="F44" s="86">
        <v>0.7</v>
      </c>
      <c r="G44" s="79">
        <v>409.69162</v>
      </c>
      <c r="H44" s="61">
        <v>460.58044000000001</v>
      </c>
      <c r="X44" s="53">
        <v>313</v>
      </c>
      <c r="Y44" s="78">
        <v>0.65</v>
      </c>
      <c r="Z44" s="150">
        <v>2273.1</v>
      </c>
      <c r="AA44" s="61">
        <v>107.15</v>
      </c>
      <c r="AI44" s="86">
        <v>0.30000000000000004</v>
      </c>
      <c r="AJ44" s="61">
        <v>-521.90530000000001</v>
      </c>
      <c r="AK44" s="86">
        <v>0.7</v>
      </c>
      <c r="AL44" s="61">
        <v>-738.12850000000003</v>
      </c>
      <c r="AM44" s="86">
        <v>0.7</v>
      </c>
      <c r="AN44" s="61">
        <v>-738.12850000000003</v>
      </c>
    </row>
    <row r="45" spans="2:40">
      <c r="B45" s="145"/>
      <c r="C45" s="72"/>
      <c r="D45" s="68"/>
      <c r="E45" s="72"/>
      <c r="F45" s="86">
        <v>0.72</v>
      </c>
      <c r="G45" s="79">
        <v>412.11707000000001</v>
      </c>
      <c r="H45" s="61">
        <v>461.49099999999999</v>
      </c>
      <c r="X45" s="53">
        <v>313</v>
      </c>
      <c r="Y45" s="78">
        <v>0.64</v>
      </c>
      <c r="Z45" s="150">
        <v>2355.6</v>
      </c>
      <c r="AA45" s="61">
        <v>108.79</v>
      </c>
      <c r="AI45" s="86">
        <v>0.28000000000000003</v>
      </c>
      <c r="AJ45" s="61">
        <v>-510.86869999999999</v>
      </c>
      <c r="AK45" s="86">
        <v>0.72</v>
      </c>
      <c r="AL45" s="61">
        <v>-696.50350000000003</v>
      </c>
      <c r="AM45" s="86">
        <v>0.72</v>
      </c>
      <c r="AN45" s="61">
        <v>-696.50350000000003</v>
      </c>
    </row>
    <row r="46" spans="2:40">
      <c r="B46" s="145"/>
      <c r="C46" s="72"/>
      <c r="D46" s="68"/>
      <c r="E46" s="72"/>
      <c r="F46" s="86">
        <v>0.74</v>
      </c>
      <c r="G46" s="79">
        <v>414.68927000000002</v>
      </c>
      <c r="H46" s="61">
        <v>462.38245000000001</v>
      </c>
      <c r="X46" s="53">
        <v>313</v>
      </c>
      <c r="Y46" s="78">
        <v>0.63</v>
      </c>
      <c r="Z46" s="150">
        <v>2438.8000000000002</v>
      </c>
      <c r="AA46" s="61">
        <v>110.48</v>
      </c>
      <c r="AI46" s="86">
        <v>0.26</v>
      </c>
      <c r="AJ46" s="61">
        <v>-498.54736000000003</v>
      </c>
      <c r="AK46" s="86">
        <v>0.74</v>
      </c>
      <c r="AL46" s="61">
        <v>-653.64120000000003</v>
      </c>
      <c r="AM46" s="86">
        <v>0.74</v>
      </c>
      <c r="AN46" s="61">
        <v>-653.64120000000003</v>
      </c>
    </row>
    <row r="47" spans="2:40">
      <c r="B47" s="145"/>
      <c r="C47" s="72"/>
      <c r="D47" s="68"/>
      <c r="E47" s="72"/>
      <c r="F47" s="86">
        <v>0.76</v>
      </c>
      <c r="G47" s="79">
        <v>417.42169999999999</v>
      </c>
      <c r="H47" s="61">
        <v>463.25574</v>
      </c>
      <c r="X47" s="53">
        <v>313</v>
      </c>
      <c r="Y47" s="78">
        <v>0.62</v>
      </c>
      <c r="Z47" s="150">
        <v>2522.8000000000002</v>
      </c>
      <c r="AA47" s="61">
        <v>112.22</v>
      </c>
      <c r="AI47" s="86">
        <v>0.24</v>
      </c>
      <c r="AJ47" s="61">
        <v>-484.73482999999999</v>
      </c>
      <c r="AK47" s="86">
        <v>0.76</v>
      </c>
      <c r="AL47" s="61">
        <v>-609.57989999999995</v>
      </c>
      <c r="AM47" s="86">
        <v>0.76</v>
      </c>
      <c r="AN47" s="61">
        <v>-609.57989999999995</v>
      </c>
    </row>
    <row r="48" spans="2:40">
      <c r="B48" s="145"/>
      <c r="C48" s="72"/>
      <c r="D48" s="68"/>
      <c r="E48" s="72"/>
      <c r="F48" s="86">
        <v>0.78</v>
      </c>
      <c r="G48" s="79">
        <v>420.33017000000001</v>
      </c>
      <c r="H48" s="61">
        <v>464.11171999999999</v>
      </c>
      <c r="X48" s="53">
        <v>313</v>
      </c>
      <c r="Y48" s="78">
        <v>0.61</v>
      </c>
      <c r="Z48" s="150">
        <v>2607.4</v>
      </c>
      <c r="AA48" s="61">
        <v>114.02</v>
      </c>
      <c r="AI48" s="86">
        <v>0.21999999999999997</v>
      </c>
      <c r="AJ48" s="61">
        <v>-469.15917999999999</v>
      </c>
      <c r="AK48" s="86">
        <v>0.78</v>
      </c>
      <c r="AL48" s="61">
        <v>-564.35645</v>
      </c>
      <c r="AM48" s="86">
        <v>0.78</v>
      </c>
      <c r="AN48" s="61">
        <v>-564.35645</v>
      </c>
    </row>
    <row r="49" spans="2:40">
      <c r="B49" s="145"/>
      <c r="C49" s="72"/>
      <c r="D49" s="68"/>
      <c r="E49" s="72"/>
      <c r="F49" s="86">
        <v>0.8</v>
      </c>
      <c r="G49" s="79">
        <v>423.43331999999998</v>
      </c>
      <c r="H49" s="61">
        <v>464.95119999999997</v>
      </c>
      <c r="X49" s="53">
        <v>313</v>
      </c>
      <c r="Y49" s="78">
        <v>0.6</v>
      </c>
      <c r="Z49" s="150">
        <v>2692.7</v>
      </c>
      <c r="AA49" s="61">
        <v>115.87</v>
      </c>
      <c r="AI49" s="86">
        <v>0.19999999999999996</v>
      </c>
      <c r="AJ49" s="61">
        <v>-451.4726</v>
      </c>
      <c r="AK49" s="86">
        <v>0.8</v>
      </c>
      <c r="AL49" s="61">
        <v>-518.00665000000004</v>
      </c>
      <c r="AM49" s="86">
        <v>0.8</v>
      </c>
      <c r="AN49" s="61">
        <v>-518.00665000000004</v>
      </c>
    </row>
    <row r="50" spans="2:40">
      <c r="B50" s="145"/>
      <c r="C50" s="72"/>
      <c r="D50" s="68"/>
      <c r="E50" s="72"/>
      <c r="F50" s="86">
        <v>0.82000000000000006</v>
      </c>
      <c r="G50" s="79">
        <v>426.75330000000002</v>
      </c>
      <c r="H50" s="61">
        <v>465.77492999999998</v>
      </c>
      <c r="X50" s="53">
        <v>313</v>
      </c>
      <c r="Y50" s="78">
        <v>0.59</v>
      </c>
      <c r="Z50" s="150">
        <v>2778.5</v>
      </c>
      <c r="AA50" s="61">
        <v>117.79</v>
      </c>
      <c r="AI50" s="86">
        <v>0.18000000000000005</v>
      </c>
      <c r="AJ50" s="61">
        <v>-431.23993000000002</v>
      </c>
      <c r="AK50" s="86">
        <v>0.82</v>
      </c>
      <c r="AL50" s="61">
        <v>-470.56567000000001</v>
      </c>
      <c r="AM50" s="86">
        <v>0.82</v>
      </c>
      <c r="AN50" s="61">
        <v>-470.56567000000001</v>
      </c>
    </row>
    <row r="51" spans="2:40">
      <c r="B51" s="145"/>
      <c r="C51" s="72"/>
      <c r="D51" s="68"/>
      <c r="E51" s="72"/>
      <c r="F51" s="86">
        <v>0.84</v>
      </c>
      <c r="G51" s="79">
        <v>430.31625000000003</v>
      </c>
      <c r="H51" s="61">
        <v>466.58362</v>
      </c>
      <c r="X51" s="53">
        <v>313</v>
      </c>
      <c r="Y51" s="78">
        <v>0.57999999999999996</v>
      </c>
      <c r="Z51" s="150">
        <v>2864.8</v>
      </c>
      <c r="AA51" s="61">
        <v>119.78</v>
      </c>
      <c r="AI51" s="86">
        <v>0.16000000000000003</v>
      </c>
      <c r="AJ51" s="61">
        <v>-407.92540000000002</v>
      </c>
      <c r="AK51" s="86">
        <v>0.84</v>
      </c>
      <c r="AL51" s="61">
        <v>-422.06779999999998</v>
      </c>
      <c r="AM51" s="86">
        <v>0.84</v>
      </c>
      <c r="AN51" s="61">
        <v>-422.06779999999998</v>
      </c>
    </row>
    <row r="52" spans="2:40">
      <c r="B52" s="145"/>
      <c r="C52" s="72"/>
      <c r="D52" s="68"/>
      <c r="E52" s="72"/>
      <c r="F52" s="86">
        <v>0.86</v>
      </c>
      <c r="G52" s="79">
        <v>434.15316999999999</v>
      </c>
      <c r="H52" s="61">
        <v>467.37786999999997</v>
      </c>
      <c r="X52" s="53">
        <v>313</v>
      </c>
      <c r="Y52" s="78">
        <v>0.56999999999999995</v>
      </c>
      <c r="Z52" s="150">
        <v>2951.5</v>
      </c>
      <c r="AA52" s="61">
        <v>121.83</v>
      </c>
      <c r="AI52" s="86">
        <v>0.14000000000000001</v>
      </c>
      <c r="AJ52" s="61">
        <v>-380.87790000000001</v>
      </c>
      <c r="AK52" s="86">
        <v>0.86</v>
      </c>
      <c r="AL52" s="61">
        <v>-372.54696999999999</v>
      </c>
      <c r="AM52" s="86">
        <v>0.86</v>
      </c>
      <c r="AN52" s="61">
        <v>-372.54696999999999</v>
      </c>
    </row>
    <row r="53" spans="2:40">
      <c r="B53" s="145"/>
      <c r="C53" s="72"/>
      <c r="D53" s="68"/>
      <c r="E53" s="72"/>
      <c r="F53" s="86">
        <v>0.88</v>
      </c>
      <c r="G53" s="79">
        <v>438.30072000000001</v>
      </c>
      <c r="H53" s="61">
        <v>468.15832999999998</v>
      </c>
      <c r="X53" s="53">
        <v>313</v>
      </c>
      <c r="Y53" s="78">
        <v>0.56000000000000005</v>
      </c>
      <c r="Z53" s="150">
        <v>3038.7</v>
      </c>
      <c r="AA53" s="61">
        <v>123.95</v>
      </c>
      <c r="AI53" s="86">
        <v>0.12</v>
      </c>
      <c r="AJ53" s="61">
        <v>-349.31420000000003</v>
      </c>
      <c r="AK53" s="86">
        <v>0.88</v>
      </c>
      <c r="AL53" s="61">
        <v>-322.03649999999999</v>
      </c>
      <c r="AM53" s="86">
        <v>0.88</v>
      </c>
      <c r="AN53" s="61">
        <v>-322.03649999999999</v>
      </c>
    </row>
    <row r="54" spans="2:40">
      <c r="B54" s="145"/>
      <c r="C54" s="72"/>
      <c r="D54" s="68"/>
      <c r="E54" s="72"/>
      <c r="F54" s="86">
        <v>0.9</v>
      </c>
      <c r="G54" s="79">
        <v>442.80196999999998</v>
      </c>
      <c r="H54" s="61">
        <v>468.92554000000001</v>
      </c>
      <c r="X54" s="53">
        <v>313</v>
      </c>
      <c r="Y54" s="78">
        <v>0.55000000000000004</v>
      </c>
      <c r="Z54" s="150">
        <v>3126.1</v>
      </c>
      <c r="AA54" s="61">
        <v>126.15</v>
      </c>
      <c r="AI54" s="86">
        <v>9.9999999999999978E-2</v>
      </c>
      <c r="AJ54" s="61">
        <v>-312.30099999999999</v>
      </c>
      <c r="AK54" s="86">
        <v>0.9</v>
      </c>
      <c r="AL54" s="61">
        <v>-270.56934000000001</v>
      </c>
      <c r="AM54" s="86">
        <v>0.9</v>
      </c>
      <c r="AN54" s="61">
        <v>-270.56934000000001</v>
      </c>
    </row>
    <row r="55" spans="2:40">
      <c r="B55" s="145"/>
      <c r="C55" s="72"/>
      <c r="D55" s="68"/>
      <c r="E55" s="72"/>
      <c r="F55" s="86">
        <v>0.92</v>
      </c>
      <c r="G55" s="79">
        <v>447.70699999999999</v>
      </c>
      <c r="H55" s="61">
        <v>469.68007999999998</v>
      </c>
      <c r="X55" s="53">
        <v>313</v>
      </c>
      <c r="Y55" s="78">
        <v>0.54</v>
      </c>
      <c r="Z55" s="150">
        <v>3213.8</v>
      </c>
      <c r="AA55" s="61">
        <v>128.43</v>
      </c>
      <c r="AI55" s="86">
        <v>7.999999999999996E-2</v>
      </c>
      <c r="AJ55" s="61">
        <v>-268.73543999999998</v>
      </c>
      <c r="AK55" s="86">
        <v>0.92</v>
      </c>
      <c r="AL55" s="61">
        <v>-218.17789999999999</v>
      </c>
      <c r="AM55" s="86">
        <v>0.92</v>
      </c>
      <c r="AN55" s="61">
        <v>-218.17789999999999</v>
      </c>
    </row>
    <row r="56" spans="2:40">
      <c r="B56" s="145"/>
      <c r="C56" s="72"/>
      <c r="D56" s="68"/>
      <c r="E56" s="72"/>
      <c r="F56" s="86">
        <v>0.94</v>
      </c>
      <c r="G56" s="79">
        <v>453.07310000000001</v>
      </c>
      <c r="H56" s="61">
        <v>470.42241999999999</v>
      </c>
      <c r="X56" s="53">
        <v>313</v>
      </c>
      <c r="Y56" s="78">
        <v>0.53</v>
      </c>
      <c r="Z56" s="150">
        <v>3301.7</v>
      </c>
      <c r="AA56" s="61">
        <v>130.79</v>
      </c>
      <c r="AI56" s="86">
        <v>6.0000000000000053E-2</v>
      </c>
      <c r="AJ56" s="61">
        <v>-217.32615999999999</v>
      </c>
      <c r="AK56" s="86">
        <v>0.94</v>
      </c>
      <c r="AL56" s="61">
        <v>-164.89415</v>
      </c>
      <c r="AM56" s="86">
        <v>0.94</v>
      </c>
      <c r="AN56" s="61">
        <v>-164.89415</v>
      </c>
    </row>
    <row r="57" spans="2:40">
      <c r="B57" s="145"/>
      <c r="C57" s="72"/>
      <c r="D57" s="68"/>
      <c r="E57" s="72"/>
      <c r="F57" s="86">
        <v>0.96</v>
      </c>
      <c r="G57" s="79">
        <v>458.96364999999997</v>
      </c>
      <c r="H57" s="61">
        <v>471.15305000000001</v>
      </c>
      <c r="X57" s="53">
        <v>313</v>
      </c>
      <c r="Y57" s="78">
        <v>0.52</v>
      </c>
      <c r="Z57" s="150">
        <v>3389.7</v>
      </c>
      <c r="AA57" s="61">
        <v>133.24</v>
      </c>
      <c r="AI57" s="86">
        <v>4.0000000000000036E-2</v>
      </c>
      <c r="AJ57" s="61">
        <v>-156.57658000000001</v>
      </c>
      <c r="AK57" s="86">
        <v>0.96</v>
      </c>
      <c r="AL57" s="61">
        <v>-110.74946</v>
      </c>
      <c r="AM57" s="86">
        <v>0.96</v>
      </c>
      <c r="AN57" s="61">
        <v>-110.74946</v>
      </c>
    </row>
    <row r="58" spans="2:40">
      <c r="B58" s="145"/>
      <c r="C58" s="72"/>
      <c r="D58" s="68"/>
      <c r="E58" s="72"/>
      <c r="F58" s="86">
        <v>0.98</v>
      </c>
      <c r="G58" s="79">
        <v>465.44515999999999</v>
      </c>
      <c r="H58" s="61">
        <v>471.87238000000002</v>
      </c>
      <c r="X58" s="53">
        <v>313</v>
      </c>
      <c r="Y58" s="78">
        <v>0.51</v>
      </c>
      <c r="Z58" s="150">
        <v>3477.7</v>
      </c>
      <c r="AA58" s="61">
        <v>135.78</v>
      </c>
      <c r="AI58" s="86">
        <v>2.0000000000000018E-2</v>
      </c>
      <c r="AJ58" s="60">
        <v>-84.775149999999996</v>
      </c>
      <c r="AK58" s="86">
        <v>0.98</v>
      </c>
      <c r="AL58" s="60">
        <v>-55.774673</v>
      </c>
      <c r="AM58" s="86">
        <v>0.98</v>
      </c>
      <c r="AN58" s="60">
        <v>-55.774673</v>
      </c>
    </row>
    <row r="59" spans="2:40" ht="15" thickBot="1">
      <c r="B59" s="145"/>
      <c r="C59" s="72"/>
      <c r="D59" s="68"/>
      <c r="E59" s="72"/>
      <c r="F59" s="143">
        <v>0.99999999999999933</v>
      </c>
      <c r="G59" s="148">
        <v>472.58087</v>
      </c>
      <c r="H59" s="112">
        <v>472.58087</v>
      </c>
      <c r="X59" s="53">
        <v>313</v>
      </c>
      <c r="Y59" s="78">
        <v>0.5</v>
      </c>
      <c r="Z59" s="150">
        <v>3565.8</v>
      </c>
      <c r="AA59" s="61">
        <v>138.41999999999999</v>
      </c>
      <c r="AI59" s="143">
        <v>0</v>
      </c>
      <c r="AJ59" s="82">
        <v>-1.8553691999999999E-9</v>
      </c>
      <c r="AK59" s="143">
        <v>1</v>
      </c>
      <c r="AL59" s="82">
        <v>-1.0550139000000001E-9</v>
      </c>
      <c r="AM59" s="143">
        <v>1</v>
      </c>
      <c r="AN59" s="82">
        <v>-1.0550139000000001E-9</v>
      </c>
    </row>
    <row r="60" spans="2:40">
      <c r="B60" s="145"/>
      <c r="C60" s="72"/>
      <c r="D60" s="68"/>
      <c r="E60" s="44"/>
      <c r="X60" s="53">
        <v>313</v>
      </c>
      <c r="Y60" s="78">
        <v>0.49</v>
      </c>
      <c r="Z60" s="150">
        <v>3653.8</v>
      </c>
      <c r="AA60" s="61">
        <v>141.16999999999999</v>
      </c>
    </row>
    <row r="61" spans="2:40">
      <c r="B61" s="145"/>
      <c r="C61" s="72"/>
      <c r="D61" s="68"/>
      <c r="E61" s="44"/>
      <c r="X61" s="53">
        <v>313</v>
      </c>
      <c r="Y61" s="78">
        <v>0.48</v>
      </c>
      <c r="Z61" s="150">
        <v>3741.6</v>
      </c>
      <c r="AA61" s="61">
        <v>144.03</v>
      </c>
    </row>
    <row r="62" spans="2:40">
      <c r="B62" s="145"/>
      <c r="C62" s="72"/>
      <c r="D62" s="68"/>
      <c r="E62" s="44"/>
      <c r="X62" s="53">
        <v>313</v>
      </c>
      <c r="Y62" s="78">
        <v>0.47</v>
      </c>
      <c r="Z62" s="150">
        <v>3829.3</v>
      </c>
      <c r="AA62" s="61">
        <v>147</v>
      </c>
    </row>
    <row r="63" spans="2:40">
      <c r="B63" s="145"/>
      <c r="C63" s="72"/>
      <c r="D63" s="68"/>
      <c r="E63" s="44"/>
      <c r="X63" s="53">
        <v>313</v>
      </c>
      <c r="Y63" s="78">
        <v>0.46</v>
      </c>
      <c r="Z63" s="150">
        <v>3916.6</v>
      </c>
      <c r="AA63" s="61">
        <v>150.11000000000001</v>
      </c>
    </row>
    <row r="64" spans="2:40">
      <c r="B64" s="145"/>
      <c r="C64" s="72"/>
      <c r="D64" s="68"/>
      <c r="E64" s="44"/>
      <c r="X64" s="53">
        <v>313</v>
      </c>
      <c r="Y64" s="78">
        <v>0.45</v>
      </c>
      <c r="Z64" s="150">
        <v>4003.7</v>
      </c>
      <c r="AA64" s="61">
        <v>153.34</v>
      </c>
    </row>
    <row r="65" spans="2:27">
      <c r="B65" s="145"/>
      <c r="C65" s="72"/>
      <c r="D65" s="68"/>
      <c r="E65" s="44"/>
      <c r="X65" s="53">
        <v>313</v>
      </c>
      <c r="Y65" s="78">
        <v>0.44</v>
      </c>
      <c r="Z65" s="150">
        <v>4090.4</v>
      </c>
      <c r="AA65" s="61">
        <v>156.72</v>
      </c>
    </row>
    <row r="66" spans="2:27">
      <c r="B66" s="145"/>
      <c r="C66" s="72"/>
      <c r="D66" s="68"/>
      <c r="E66" s="44"/>
      <c r="X66" s="53">
        <v>313</v>
      </c>
      <c r="Y66" s="78">
        <v>0.43</v>
      </c>
      <c r="Z66" s="150">
        <v>4176.7</v>
      </c>
      <c r="AA66" s="61">
        <v>160.25</v>
      </c>
    </row>
    <row r="67" spans="2:27">
      <c r="B67" s="145"/>
      <c r="C67" s="72"/>
      <c r="D67" s="68"/>
      <c r="E67" s="44"/>
      <c r="X67" s="53">
        <v>313</v>
      </c>
      <c r="Y67" s="78">
        <v>0.42</v>
      </c>
      <c r="Z67" s="150">
        <v>4262.5</v>
      </c>
      <c r="AA67" s="61">
        <v>163.94</v>
      </c>
    </row>
    <row r="68" spans="2:27">
      <c r="B68" s="145"/>
      <c r="C68" s="72"/>
      <c r="D68" s="68"/>
      <c r="E68" s="44"/>
      <c r="X68" s="53">
        <v>313</v>
      </c>
      <c r="Y68" s="78">
        <v>0.41</v>
      </c>
      <c r="Z68" s="150">
        <v>4347.7</v>
      </c>
      <c r="AA68" s="61">
        <v>167.81</v>
      </c>
    </row>
    <row r="69" spans="2:27">
      <c r="B69" s="145"/>
      <c r="C69" s="72"/>
      <c r="D69" s="68"/>
      <c r="E69" s="44"/>
      <c r="X69" s="53">
        <v>313</v>
      </c>
      <c r="Y69" s="78">
        <v>0.4</v>
      </c>
      <c r="Z69" s="150">
        <v>4432.3999999999996</v>
      </c>
      <c r="AA69" s="61">
        <v>171.86</v>
      </c>
    </row>
    <row r="70" spans="2:27">
      <c r="B70" s="145"/>
      <c r="C70" s="72"/>
      <c r="D70" s="68"/>
      <c r="E70" s="44"/>
      <c r="X70" s="53">
        <v>313</v>
      </c>
      <c r="Y70" s="78">
        <v>0.39</v>
      </c>
      <c r="Z70" s="150">
        <v>4516.5</v>
      </c>
      <c r="AA70" s="61">
        <v>176.12</v>
      </c>
    </row>
    <row r="71" spans="2:27">
      <c r="B71" s="145"/>
      <c r="C71" s="72"/>
      <c r="D71" s="68"/>
      <c r="E71" s="44"/>
      <c r="X71" s="53">
        <v>313</v>
      </c>
      <c r="Y71" s="78">
        <v>0.38</v>
      </c>
      <c r="Z71" s="150">
        <v>4599.8999999999996</v>
      </c>
      <c r="AA71" s="61">
        <v>180.59</v>
      </c>
    </row>
    <row r="72" spans="2:27">
      <c r="B72" s="145"/>
      <c r="C72" s="72"/>
      <c r="D72" s="68"/>
      <c r="E72" s="44"/>
      <c r="X72" s="53">
        <v>313</v>
      </c>
      <c r="Y72" s="78">
        <v>0.37</v>
      </c>
      <c r="Z72" s="150">
        <v>4682.6000000000004</v>
      </c>
      <c r="AA72" s="61">
        <v>185.29</v>
      </c>
    </row>
    <row r="73" spans="2:27">
      <c r="B73" s="145"/>
      <c r="C73" s="72"/>
      <c r="D73" s="68"/>
      <c r="E73" s="44"/>
      <c r="X73" s="53">
        <v>313</v>
      </c>
      <c r="Y73" s="78">
        <v>0.36</v>
      </c>
      <c r="Z73" s="150">
        <v>4764.6000000000004</v>
      </c>
      <c r="AA73" s="61">
        <v>190.25</v>
      </c>
    </row>
    <row r="74" spans="2:27">
      <c r="B74" s="145"/>
      <c r="C74" s="72"/>
      <c r="D74" s="68"/>
      <c r="E74" s="44"/>
      <c r="X74" s="53">
        <v>313</v>
      </c>
      <c r="Y74" s="78">
        <v>0.35</v>
      </c>
      <c r="Z74" s="150">
        <v>4845.8999999999996</v>
      </c>
      <c r="AA74" s="61">
        <v>195.48</v>
      </c>
    </row>
    <row r="75" spans="2:27">
      <c r="B75" s="145"/>
      <c r="C75" s="72"/>
      <c r="D75" s="68"/>
      <c r="E75" s="44"/>
      <c r="X75" s="53">
        <v>313</v>
      </c>
      <c r="Y75" s="78">
        <v>0.34</v>
      </c>
      <c r="Z75" s="150">
        <v>4926.3</v>
      </c>
      <c r="AA75" s="61">
        <v>201</v>
      </c>
    </row>
    <row r="76" spans="2:27">
      <c r="B76" s="145"/>
      <c r="C76" s="72"/>
      <c r="D76" s="68"/>
      <c r="E76" s="44"/>
      <c r="X76" s="53">
        <v>313</v>
      </c>
      <c r="Y76" s="78">
        <v>0.33</v>
      </c>
      <c r="Z76" s="150">
        <v>5006</v>
      </c>
      <c r="AA76" s="61">
        <v>206.85</v>
      </c>
    </row>
    <row r="77" spans="2:27">
      <c r="B77" s="145"/>
      <c r="C77" s="72"/>
      <c r="D77" s="68"/>
      <c r="E77" s="44"/>
      <c r="X77" s="53">
        <v>313</v>
      </c>
      <c r="Y77" s="78">
        <v>0.32</v>
      </c>
      <c r="Z77" s="150">
        <v>5084.8999999999996</v>
      </c>
      <c r="AA77" s="61">
        <v>213.04</v>
      </c>
    </row>
    <row r="78" spans="2:27">
      <c r="B78" s="145"/>
      <c r="C78" s="72"/>
      <c r="D78" s="68"/>
      <c r="E78" s="44"/>
      <c r="X78" s="53">
        <v>313</v>
      </c>
      <c r="Y78" s="78">
        <v>0.31</v>
      </c>
      <c r="Z78" s="150">
        <v>5163</v>
      </c>
      <c r="AA78" s="61">
        <v>219.62</v>
      </c>
    </row>
    <row r="79" spans="2:27">
      <c r="B79" s="145"/>
      <c r="C79" s="72"/>
      <c r="D79" s="68"/>
      <c r="E79" s="44"/>
      <c r="X79" s="53">
        <v>313</v>
      </c>
      <c r="Y79" s="78">
        <v>0.3</v>
      </c>
      <c r="Z79" s="150">
        <v>5240.3</v>
      </c>
      <c r="AA79" s="61">
        <v>226.62</v>
      </c>
    </row>
    <row r="80" spans="2:27">
      <c r="B80" s="145"/>
      <c r="C80" s="72"/>
      <c r="D80" s="68"/>
      <c r="E80" s="44"/>
      <c r="X80" s="53">
        <v>313</v>
      </c>
      <c r="Y80" s="78">
        <v>0.28999999999999998</v>
      </c>
      <c r="Z80" s="150">
        <v>5316.8</v>
      </c>
      <c r="AA80" s="61">
        <v>234.08</v>
      </c>
    </row>
    <row r="81" spans="2:27">
      <c r="B81" s="145"/>
      <c r="C81" s="72"/>
      <c r="D81" s="68"/>
      <c r="E81" s="44"/>
      <c r="X81" s="53">
        <v>313</v>
      </c>
      <c r="Y81" s="78">
        <v>0.28000000000000003</v>
      </c>
      <c r="Z81" s="150">
        <v>5392.4</v>
      </c>
      <c r="AA81" s="61">
        <v>242.04</v>
      </c>
    </row>
    <row r="82" spans="2:27">
      <c r="B82" s="145"/>
      <c r="C82" s="72"/>
      <c r="D82" s="68"/>
      <c r="E82" s="44"/>
      <c r="X82" s="53">
        <v>313</v>
      </c>
      <c r="Y82" s="78">
        <v>0.27</v>
      </c>
      <c r="Z82" s="150">
        <v>5467.3</v>
      </c>
      <c r="AA82" s="61">
        <v>250.57</v>
      </c>
    </row>
    <row r="83" spans="2:27">
      <c r="B83" s="145"/>
      <c r="C83" s="72"/>
      <c r="D83" s="68"/>
      <c r="E83" s="44"/>
      <c r="X83" s="53">
        <v>313</v>
      </c>
      <c r="Y83" s="78">
        <v>0.26</v>
      </c>
      <c r="Z83" s="150">
        <v>5541.4</v>
      </c>
      <c r="AA83" s="61">
        <v>259.73</v>
      </c>
    </row>
    <row r="84" spans="2:27">
      <c r="B84" s="145"/>
      <c r="C84" s="72"/>
      <c r="D84" s="68"/>
      <c r="E84" s="44"/>
      <c r="X84" s="53">
        <v>313</v>
      </c>
      <c r="Y84" s="78">
        <v>0.25</v>
      </c>
      <c r="Z84" s="150">
        <v>5614.7</v>
      </c>
      <c r="AA84" s="61">
        <v>269.57</v>
      </c>
    </row>
    <row r="85" spans="2:27">
      <c r="B85" s="145"/>
      <c r="C85" s="72"/>
      <c r="D85" s="68"/>
      <c r="E85" s="44"/>
      <c r="X85" s="53">
        <v>313</v>
      </c>
      <c r="Y85" s="78">
        <v>0.24</v>
      </c>
      <c r="Z85" s="150">
        <v>5687.2</v>
      </c>
      <c r="AA85" s="61">
        <v>280.2</v>
      </c>
    </row>
    <row r="86" spans="2:27">
      <c r="B86" s="145"/>
      <c r="C86" s="72"/>
      <c r="D86" s="68"/>
      <c r="E86" s="44"/>
      <c r="X86" s="53">
        <v>313</v>
      </c>
      <c r="Y86" s="78">
        <v>0.23</v>
      </c>
      <c r="Z86" s="150">
        <v>5759.1</v>
      </c>
      <c r="AA86" s="61">
        <v>291.7</v>
      </c>
    </row>
    <row r="87" spans="2:27">
      <c r="B87" s="145"/>
      <c r="C87" s="72"/>
      <c r="D87" s="68"/>
      <c r="E87" s="44"/>
      <c r="X87" s="53">
        <v>313</v>
      </c>
      <c r="Y87" s="78">
        <v>0.22</v>
      </c>
      <c r="Z87" s="150">
        <v>5830.2</v>
      </c>
      <c r="AA87" s="61">
        <v>304.18</v>
      </c>
    </row>
    <row r="88" spans="2:27">
      <c r="B88" s="145"/>
      <c r="C88" s="72"/>
      <c r="D88" s="68"/>
      <c r="E88" s="44"/>
      <c r="X88" s="53">
        <v>313</v>
      </c>
      <c r="Y88" s="78">
        <v>0.21</v>
      </c>
      <c r="Z88" s="150">
        <v>5900.7</v>
      </c>
      <c r="AA88" s="61">
        <v>317.77999999999997</v>
      </c>
    </row>
    <row r="89" spans="2:27">
      <c r="B89" s="145"/>
      <c r="C89" s="72"/>
      <c r="D89" s="68"/>
      <c r="E89" s="44"/>
      <c r="X89" s="53">
        <v>313</v>
      </c>
      <c r="Y89" s="78">
        <v>0.2</v>
      </c>
      <c r="Z89" s="150">
        <v>5970.7</v>
      </c>
      <c r="AA89" s="61">
        <v>332.66</v>
      </c>
    </row>
    <row r="90" spans="2:27" ht="15" thickBot="1">
      <c r="B90" s="146"/>
      <c r="C90" s="73"/>
      <c r="D90" s="69"/>
      <c r="E90" s="70"/>
      <c r="X90" s="53">
        <v>313</v>
      </c>
      <c r="Y90" s="78">
        <v>0.19</v>
      </c>
      <c r="Z90" s="150">
        <v>6040</v>
      </c>
      <c r="AA90" s="61">
        <v>349.01</v>
      </c>
    </row>
    <row r="91" spans="2:27">
      <c r="X91" s="53">
        <v>313</v>
      </c>
      <c r="Y91" s="78">
        <v>0.18</v>
      </c>
      <c r="Z91" s="150">
        <v>6108.8</v>
      </c>
      <c r="AA91" s="61">
        <v>367.04</v>
      </c>
    </row>
    <row r="92" spans="2:27">
      <c r="X92" s="53">
        <v>313</v>
      </c>
      <c r="Y92" s="78">
        <v>0.17</v>
      </c>
      <c r="Z92" s="150">
        <v>6177.2</v>
      </c>
      <c r="AA92" s="61">
        <v>387.05</v>
      </c>
    </row>
    <row r="93" spans="2:27">
      <c r="X93" s="53">
        <v>313</v>
      </c>
      <c r="Y93" s="78">
        <v>0.16</v>
      </c>
      <c r="Z93" s="150">
        <v>6245.1</v>
      </c>
      <c r="AA93" s="61">
        <v>409.38</v>
      </c>
    </row>
    <row r="94" spans="2:27">
      <c r="X94" s="53">
        <v>313</v>
      </c>
      <c r="Y94" s="78">
        <v>0.15</v>
      </c>
      <c r="Z94" s="150">
        <v>6312.7</v>
      </c>
      <c r="AA94" s="61">
        <v>434.44</v>
      </c>
    </row>
    <row r="95" spans="2:27">
      <c r="X95" s="53">
        <v>313</v>
      </c>
      <c r="Y95" s="78">
        <v>0.14000000000000001</v>
      </c>
      <c r="Z95" s="150">
        <v>6380</v>
      </c>
      <c r="AA95" s="61">
        <v>462.79</v>
      </c>
    </row>
    <row r="96" spans="2:27">
      <c r="X96" s="53">
        <v>313</v>
      </c>
      <c r="Y96" s="78">
        <v>0.13</v>
      </c>
      <c r="Z96" s="150">
        <v>6447</v>
      </c>
      <c r="AA96" s="61">
        <v>495.12</v>
      </c>
    </row>
    <row r="97" spans="24:27">
      <c r="X97" s="53">
        <v>313</v>
      </c>
      <c r="Y97" s="78">
        <v>0.12</v>
      </c>
      <c r="Z97" s="150">
        <v>6513.8</v>
      </c>
      <c r="AA97" s="61">
        <v>532.33000000000004</v>
      </c>
    </row>
    <row r="98" spans="24:27">
      <c r="X98" s="53">
        <v>313</v>
      </c>
      <c r="Y98" s="78">
        <v>0.11</v>
      </c>
      <c r="Z98" s="150">
        <v>6580.6</v>
      </c>
      <c r="AA98" s="61">
        <v>575.63</v>
      </c>
    </row>
    <row r="99" spans="24:27">
      <c r="X99" s="53">
        <v>313</v>
      </c>
      <c r="Y99" s="78">
        <v>0.1</v>
      </c>
      <c r="Z99" s="150">
        <v>6647.3</v>
      </c>
      <c r="AA99" s="61">
        <v>626.65</v>
      </c>
    </row>
    <row r="100" spans="24:27">
      <c r="X100" s="53">
        <v>313</v>
      </c>
      <c r="Y100" s="78">
        <v>0.09</v>
      </c>
      <c r="Z100" s="150">
        <v>6714</v>
      </c>
      <c r="AA100" s="61">
        <v>687.68</v>
      </c>
    </row>
    <row r="101" spans="24:27">
      <c r="X101" s="53">
        <v>313</v>
      </c>
      <c r="Y101" s="78">
        <v>0.08</v>
      </c>
      <c r="Z101" s="150">
        <v>6780.8</v>
      </c>
      <c r="AA101" s="61">
        <v>762.01</v>
      </c>
    </row>
    <row r="102" spans="24:27">
      <c r="X102" s="53">
        <v>313</v>
      </c>
      <c r="Y102" s="78">
        <v>7.0000000000000007E-2</v>
      </c>
      <c r="Z102" s="150">
        <v>6847.9</v>
      </c>
      <c r="AA102" s="61">
        <v>854.6</v>
      </c>
    </row>
    <row r="103" spans="24:27">
      <c r="X103" s="53">
        <v>313</v>
      </c>
      <c r="Y103" s="78">
        <v>0.06</v>
      </c>
      <c r="Z103" s="150">
        <v>6915.2</v>
      </c>
      <c r="AA103" s="61">
        <v>973.2</v>
      </c>
    </row>
    <row r="104" spans="24:27">
      <c r="X104" s="53">
        <v>313</v>
      </c>
      <c r="Y104" s="78">
        <v>0.05</v>
      </c>
      <c r="Z104" s="150">
        <v>6982.9</v>
      </c>
      <c r="AA104" s="62">
        <v>1130.8</v>
      </c>
    </row>
    <row r="105" spans="24:27">
      <c r="X105" s="53">
        <v>313</v>
      </c>
      <c r="Y105" s="78">
        <v>0.04</v>
      </c>
      <c r="Z105" s="150">
        <v>7051.2</v>
      </c>
      <c r="AA105" s="62">
        <v>1350.9</v>
      </c>
    </row>
    <row r="106" spans="24:27">
      <c r="X106" s="53">
        <v>313</v>
      </c>
      <c r="Y106" s="78">
        <v>0.03</v>
      </c>
      <c r="Z106" s="150">
        <v>7120.1</v>
      </c>
      <c r="AA106" s="62">
        <v>1681.6</v>
      </c>
    </row>
    <row r="107" spans="24:27">
      <c r="X107" s="53">
        <v>313</v>
      </c>
      <c r="Y107" s="78">
        <v>0.02</v>
      </c>
      <c r="Z107" s="150">
        <v>7189.9</v>
      </c>
      <c r="AA107" s="62">
        <v>2239.1</v>
      </c>
    </row>
    <row r="108" spans="24:27">
      <c r="X108" s="53">
        <v>313</v>
      </c>
      <c r="Y108" s="78">
        <v>0.01</v>
      </c>
      <c r="Z108" s="150">
        <v>7260.8</v>
      </c>
      <c r="AA108" s="62">
        <v>3408</v>
      </c>
    </row>
    <row r="109" spans="24:27">
      <c r="X109" s="53">
        <v>313</v>
      </c>
      <c r="Y109" s="78">
        <v>0</v>
      </c>
      <c r="Z109" s="150">
        <v>7333.1</v>
      </c>
      <c r="AA109" s="62">
        <v>7333.1</v>
      </c>
    </row>
    <row r="110" spans="24:27">
      <c r="X110" s="53"/>
      <c r="Y110" s="38"/>
      <c r="Z110" s="38"/>
      <c r="AA110" s="15"/>
    </row>
    <row r="111" spans="24:27">
      <c r="X111" s="53">
        <v>333</v>
      </c>
      <c r="Y111" s="78">
        <v>1</v>
      </c>
      <c r="Z111" s="79">
        <v>270.98</v>
      </c>
      <c r="AA111" s="61">
        <v>270.98</v>
      </c>
    </row>
    <row r="112" spans="24:27">
      <c r="X112" s="53">
        <v>333</v>
      </c>
      <c r="Y112" s="78">
        <v>0.99</v>
      </c>
      <c r="Z112" s="79">
        <v>395.34</v>
      </c>
      <c r="AA112" s="61">
        <v>273.68</v>
      </c>
    </row>
    <row r="113" spans="24:27">
      <c r="X113" s="53">
        <v>333</v>
      </c>
      <c r="Y113" s="78">
        <v>0.98</v>
      </c>
      <c r="Z113" s="79">
        <v>522.47</v>
      </c>
      <c r="AA113" s="61">
        <v>276.42</v>
      </c>
    </row>
    <row r="114" spans="24:27">
      <c r="X114" s="53">
        <v>333</v>
      </c>
      <c r="Y114" s="78">
        <v>0.97</v>
      </c>
      <c r="Z114" s="79">
        <v>652.41999999999996</v>
      </c>
      <c r="AA114" s="61">
        <v>279.23</v>
      </c>
    </row>
    <row r="115" spans="24:27">
      <c r="X115" s="53">
        <v>333</v>
      </c>
      <c r="Y115" s="78">
        <v>0.96</v>
      </c>
      <c r="Z115" s="79">
        <v>785.24</v>
      </c>
      <c r="AA115" s="61">
        <v>282.08999999999997</v>
      </c>
    </row>
    <row r="116" spans="24:27">
      <c r="X116" s="53">
        <v>333</v>
      </c>
      <c r="Y116" s="78">
        <v>0.95</v>
      </c>
      <c r="Z116" s="79">
        <v>920.98</v>
      </c>
      <c r="AA116" s="61">
        <v>285.01</v>
      </c>
    </row>
    <row r="117" spans="24:27">
      <c r="X117" s="53">
        <v>333</v>
      </c>
      <c r="Y117" s="78">
        <v>0.94</v>
      </c>
      <c r="Z117" s="150">
        <v>1059.7</v>
      </c>
      <c r="AA117" s="61">
        <v>287.99</v>
      </c>
    </row>
    <row r="118" spans="24:27">
      <c r="X118" s="53">
        <v>333</v>
      </c>
      <c r="Y118" s="78">
        <v>0.93</v>
      </c>
      <c r="Z118" s="150">
        <v>1201.3</v>
      </c>
      <c r="AA118" s="61">
        <v>291.02999999999997</v>
      </c>
    </row>
    <row r="119" spans="24:27">
      <c r="X119" s="53">
        <v>333</v>
      </c>
      <c r="Y119" s="78">
        <v>0.92</v>
      </c>
      <c r="Z119" s="150">
        <v>1346.1</v>
      </c>
      <c r="AA119" s="61">
        <v>294.14</v>
      </c>
    </row>
    <row r="120" spans="24:27">
      <c r="X120" s="53">
        <v>333</v>
      </c>
      <c r="Y120" s="78">
        <v>0.91</v>
      </c>
      <c r="Z120" s="150">
        <v>1493.8</v>
      </c>
      <c r="AA120" s="61">
        <v>297.31</v>
      </c>
    </row>
    <row r="121" spans="24:27">
      <c r="X121" s="53">
        <v>333</v>
      </c>
      <c r="Y121" s="78">
        <v>0.9</v>
      </c>
      <c r="Z121" s="150">
        <v>1644.7</v>
      </c>
      <c r="AA121" s="61">
        <v>300.56</v>
      </c>
    </row>
    <row r="122" spans="24:27">
      <c r="X122" s="53">
        <v>333</v>
      </c>
      <c r="Y122" s="78">
        <v>0.89</v>
      </c>
      <c r="Z122" s="150">
        <v>1798.7</v>
      </c>
      <c r="AA122" s="61">
        <v>303.87</v>
      </c>
    </row>
    <row r="123" spans="24:27">
      <c r="X123" s="53">
        <v>333</v>
      </c>
      <c r="Y123" s="78">
        <v>0.88</v>
      </c>
      <c r="Z123" s="150">
        <v>1955.9</v>
      </c>
      <c r="AA123" s="61">
        <v>307.26</v>
      </c>
    </row>
    <row r="124" spans="24:27">
      <c r="X124" s="53">
        <v>333</v>
      </c>
      <c r="Y124" s="78">
        <v>0.87</v>
      </c>
      <c r="Z124" s="150">
        <v>2116.1999999999998</v>
      </c>
      <c r="AA124" s="61">
        <v>310.73</v>
      </c>
    </row>
    <row r="125" spans="24:27">
      <c r="X125" s="53">
        <v>333</v>
      </c>
      <c r="Y125" s="78">
        <v>0.86</v>
      </c>
      <c r="Z125" s="150">
        <v>2279.8000000000002</v>
      </c>
      <c r="AA125" s="61">
        <v>314.27</v>
      </c>
    </row>
    <row r="126" spans="24:27">
      <c r="X126" s="53">
        <v>333</v>
      </c>
      <c r="Y126" s="78">
        <v>0.85</v>
      </c>
      <c r="Z126" s="150">
        <v>2446.5</v>
      </c>
      <c r="AA126" s="61">
        <v>317.89999999999998</v>
      </c>
    </row>
    <row r="127" spans="24:27">
      <c r="X127" s="53">
        <v>333</v>
      </c>
      <c r="Y127" s="78">
        <v>0.84</v>
      </c>
      <c r="Z127" s="150">
        <v>2616.4</v>
      </c>
      <c r="AA127" s="61">
        <v>321.61</v>
      </c>
    </row>
    <row r="128" spans="24:27">
      <c r="X128" s="53">
        <v>333</v>
      </c>
      <c r="Y128" s="78">
        <v>0.83</v>
      </c>
      <c r="Z128" s="150">
        <v>2789.6</v>
      </c>
      <c r="AA128" s="61">
        <v>325.39999999999998</v>
      </c>
    </row>
    <row r="129" spans="24:27">
      <c r="X129" s="53">
        <v>333</v>
      </c>
      <c r="Y129" s="78">
        <v>0.82</v>
      </c>
      <c r="Z129" s="150">
        <v>2966</v>
      </c>
      <c r="AA129" s="61">
        <v>329.29</v>
      </c>
    </row>
    <row r="130" spans="24:27">
      <c r="X130" s="53">
        <v>333</v>
      </c>
      <c r="Y130" s="78">
        <v>0.81</v>
      </c>
      <c r="Z130" s="150">
        <v>3145.6</v>
      </c>
      <c r="AA130" s="61">
        <v>333.28</v>
      </c>
    </row>
    <row r="131" spans="24:27">
      <c r="X131" s="53">
        <v>333</v>
      </c>
      <c r="Y131" s="78">
        <v>0.8</v>
      </c>
      <c r="Z131" s="150">
        <v>3328.4</v>
      </c>
      <c r="AA131" s="61">
        <v>337.36</v>
      </c>
    </row>
    <row r="132" spans="24:27">
      <c r="X132" s="53">
        <v>333</v>
      </c>
      <c r="Y132" s="78">
        <v>0.79</v>
      </c>
      <c r="Z132" s="150">
        <v>3514.4</v>
      </c>
      <c r="AA132" s="61">
        <v>341.54</v>
      </c>
    </row>
    <row r="133" spans="24:27">
      <c r="X133" s="53">
        <v>333</v>
      </c>
      <c r="Y133" s="78">
        <v>0.78</v>
      </c>
      <c r="Z133" s="150">
        <v>3703.5</v>
      </c>
      <c r="AA133" s="61">
        <v>345.82</v>
      </c>
    </row>
    <row r="134" spans="24:27">
      <c r="X134" s="53">
        <v>333</v>
      </c>
      <c r="Y134" s="78">
        <v>0.77</v>
      </c>
      <c r="Z134" s="150">
        <v>3895.8</v>
      </c>
      <c r="AA134" s="61">
        <v>350.22</v>
      </c>
    </row>
    <row r="135" spans="24:27">
      <c r="X135" s="53">
        <v>333</v>
      </c>
      <c r="Y135" s="78">
        <v>0.76</v>
      </c>
      <c r="Z135" s="150">
        <v>4091.1</v>
      </c>
      <c r="AA135" s="61">
        <v>354.72</v>
      </c>
    </row>
    <row r="136" spans="24:27">
      <c r="X136" s="53">
        <v>333</v>
      </c>
      <c r="Y136" s="78">
        <v>0.75</v>
      </c>
      <c r="Z136" s="150">
        <v>4289.5</v>
      </c>
      <c r="AA136" s="61">
        <v>359.35</v>
      </c>
    </row>
    <row r="137" spans="24:27">
      <c r="X137" s="53">
        <v>333</v>
      </c>
      <c r="Y137" s="78">
        <v>0.74</v>
      </c>
      <c r="Z137" s="150">
        <v>4490.8999999999996</v>
      </c>
      <c r="AA137" s="61">
        <v>364.09</v>
      </c>
    </row>
    <row r="138" spans="24:27">
      <c r="X138" s="53">
        <v>333</v>
      </c>
      <c r="Y138" s="78">
        <v>0.73</v>
      </c>
      <c r="Z138" s="150">
        <v>4695.2</v>
      </c>
      <c r="AA138" s="61">
        <v>368.97</v>
      </c>
    </row>
    <row r="139" spans="24:27">
      <c r="X139" s="53">
        <v>333</v>
      </c>
      <c r="Y139" s="78">
        <v>0.72</v>
      </c>
      <c r="Z139" s="150">
        <v>4902.3</v>
      </c>
      <c r="AA139" s="61">
        <v>373.97</v>
      </c>
    </row>
    <row r="140" spans="24:27">
      <c r="X140" s="53">
        <v>333</v>
      </c>
      <c r="Y140" s="78">
        <v>0.71</v>
      </c>
      <c r="Z140" s="150">
        <v>5112.3</v>
      </c>
      <c r="AA140" s="61">
        <v>379.12</v>
      </c>
    </row>
    <row r="141" spans="24:27">
      <c r="X141" s="53">
        <v>333</v>
      </c>
      <c r="Y141" s="78">
        <v>0.7</v>
      </c>
      <c r="Z141" s="150">
        <v>5324.9</v>
      </c>
      <c r="AA141" s="61">
        <v>384.4</v>
      </c>
    </row>
    <row r="142" spans="24:27">
      <c r="X142" s="53">
        <v>333</v>
      </c>
      <c r="Y142" s="78">
        <v>0.69</v>
      </c>
      <c r="Z142" s="150">
        <v>5540.1</v>
      </c>
      <c r="AA142" s="61">
        <v>389.84</v>
      </c>
    </row>
    <row r="143" spans="24:27">
      <c r="X143" s="53">
        <v>333</v>
      </c>
      <c r="Y143" s="78">
        <v>0.68</v>
      </c>
      <c r="Z143" s="150">
        <v>5757.8</v>
      </c>
      <c r="AA143" s="61">
        <v>395.43</v>
      </c>
    </row>
    <row r="144" spans="24:27">
      <c r="X144" s="53">
        <v>333</v>
      </c>
      <c r="Y144" s="78">
        <v>0.67</v>
      </c>
      <c r="Z144" s="150">
        <v>5977.9</v>
      </c>
      <c r="AA144" s="61">
        <v>401.18</v>
      </c>
    </row>
    <row r="145" spans="24:27">
      <c r="X145" s="53">
        <v>333</v>
      </c>
      <c r="Y145" s="78">
        <v>0.66</v>
      </c>
      <c r="Z145" s="150">
        <v>6200.2</v>
      </c>
      <c r="AA145" s="61">
        <v>407.11</v>
      </c>
    </row>
    <row r="146" spans="24:27">
      <c r="X146" s="53">
        <v>333</v>
      </c>
      <c r="Y146" s="78">
        <v>0.65</v>
      </c>
      <c r="Z146" s="150">
        <v>6424.7</v>
      </c>
      <c r="AA146" s="61">
        <v>413.21</v>
      </c>
    </row>
    <row r="147" spans="24:27">
      <c r="X147" s="53">
        <v>333</v>
      </c>
      <c r="Y147" s="78">
        <v>0.64</v>
      </c>
      <c r="Z147" s="150">
        <v>6651.2</v>
      </c>
      <c r="AA147" s="61">
        <v>419.49</v>
      </c>
    </row>
    <row r="148" spans="24:27">
      <c r="X148" s="53">
        <v>333</v>
      </c>
      <c r="Y148" s="78">
        <v>0.63</v>
      </c>
      <c r="Z148" s="150">
        <v>6879.6</v>
      </c>
      <c r="AA148" s="61">
        <v>425.97</v>
      </c>
    </row>
    <row r="149" spans="24:27">
      <c r="X149" s="53">
        <v>333</v>
      </c>
      <c r="Y149" s="78">
        <v>0.62</v>
      </c>
      <c r="Z149" s="150">
        <v>7109.8</v>
      </c>
      <c r="AA149" s="61">
        <v>432.66</v>
      </c>
    </row>
    <row r="150" spans="24:27">
      <c r="X150" s="53">
        <v>333</v>
      </c>
      <c r="Y150" s="78">
        <v>0.61</v>
      </c>
      <c r="Z150" s="150">
        <v>7341.4</v>
      </c>
      <c r="AA150" s="61">
        <v>439.55</v>
      </c>
    </row>
    <row r="151" spans="24:27">
      <c r="X151" s="53">
        <v>333</v>
      </c>
      <c r="Y151" s="78">
        <v>0.6</v>
      </c>
      <c r="Z151" s="150">
        <v>7574.5</v>
      </c>
      <c r="AA151" s="61">
        <v>446.67</v>
      </c>
    </row>
    <row r="152" spans="24:27">
      <c r="X152" s="53">
        <v>333</v>
      </c>
      <c r="Y152" s="78">
        <v>0.59</v>
      </c>
      <c r="Z152" s="150">
        <v>7808.9</v>
      </c>
      <c r="AA152" s="61">
        <v>454.03</v>
      </c>
    </row>
    <row r="153" spans="24:27">
      <c r="X153" s="53">
        <v>333</v>
      </c>
      <c r="Y153" s="78">
        <v>0.57999999999999996</v>
      </c>
      <c r="Z153" s="150">
        <v>8044.3</v>
      </c>
      <c r="AA153" s="61">
        <v>461.63</v>
      </c>
    </row>
    <row r="154" spans="24:27">
      <c r="X154" s="53">
        <v>333</v>
      </c>
      <c r="Y154" s="78">
        <v>0.56999999999999995</v>
      </c>
      <c r="Z154" s="150">
        <v>8280.6</v>
      </c>
      <c r="AA154" s="61">
        <v>469.48</v>
      </c>
    </row>
    <row r="155" spans="24:27">
      <c r="X155" s="53">
        <v>333</v>
      </c>
      <c r="Y155" s="78">
        <v>0.56000000000000005</v>
      </c>
      <c r="Z155" s="150">
        <v>8517.6</v>
      </c>
      <c r="AA155" s="61">
        <v>477.61</v>
      </c>
    </row>
    <row r="156" spans="24:27">
      <c r="X156" s="53">
        <v>333</v>
      </c>
      <c r="Y156" s="78">
        <v>0.55000000000000004</v>
      </c>
      <c r="Z156" s="150">
        <v>8755.2000000000007</v>
      </c>
      <c r="AA156" s="61">
        <v>486.03</v>
      </c>
    </row>
    <row r="157" spans="24:27">
      <c r="X157" s="53">
        <v>333</v>
      </c>
      <c r="Y157" s="78">
        <v>0.54</v>
      </c>
      <c r="Z157" s="150">
        <v>8993.2000000000007</v>
      </c>
      <c r="AA157" s="61">
        <v>494.75</v>
      </c>
    </row>
    <row r="158" spans="24:27">
      <c r="X158" s="53">
        <v>333</v>
      </c>
      <c r="Y158" s="78">
        <v>0.53</v>
      </c>
      <c r="Z158" s="150">
        <v>9231.2999999999993</v>
      </c>
      <c r="AA158" s="61">
        <v>503.78</v>
      </c>
    </row>
    <row r="159" spans="24:27">
      <c r="X159" s="53">
        <v>333</v>
      </c>
      <c r="Y159" s="78">
        <v>0.52</v>
      </c>
      <c r="Z159" s="150">
        <v>9469.2999999999993</v>
      </c>
      <c r="AA159" s="61">
        <v>513.16</v>
      </c>
    </row>
    <row r="160" spans="24:27">
      <c r="X160" s="53">
        <v>333</v>
      </c>
      <c r="Y160" s="78">
        <v>0.51</v>
      </c>
      <c r="Z160" s="150">
        <v>9707.2000000000007</v>
      </c>
      <c r="AA160" s="61">
        <v>522.88</v>
      </c>
    </row>
    <row r="161" spans="24:27">
      <c r="X161" s="53">
        <v>333</v>
      </c>
      <c r="Y161" s="78">
        <v>0.5</v>
      </c>
      <c r="Z161" s="150">
        <v>9944.7000000000007</v>
      </c>
      <c r="AA161" s="61">
        <v>532.99</v>
      </c>
    </row>
    <row r="162" spans="24:27">
      <c r="X162" s="53">
        <v>333</v>
      </c>
      <c r="Y162" s="78">
        <v>0.49</v>
      </c>
      <c r="Z162" s="151">
        <v>10182</v>
      </c>
      <c r="AA162" s="61">
        <v>543.49</v>
      </c>
    </row>
    <row r="163" spans="24:27">
      <c r="X163" s="53">
        <v>333</v>
      </c>
      <c r="Y163" s="78">
        <v>0.48</v>
      </c>
      <c r="Z163" s="151">
        <v>10418</v>
      </c>
      <c r="AA163" s="61">
        <v>554.41</v>
      </c>
    </row>
    <row r="164" spans="24:27">
      <c r="X164" s="53">
        <v>333</v>
      </c>
      <c r="Y164" s="78">
        <v>0.47</v>
      </c>
      <c r="Z164" s="151">
        <v>10653</v>
      </c>
      <c r="AA164" s="61">
        <v>565.78</v>
      </c>
    </row>
    <row r="165" spans="24:27">
      <c r="X165" s="53">
        <v>333</v>
      </c>
      <c r="Y165" s="78">
        <v>0.46</v>
      </c>
      <c r="Z165" s="151">
        <v>10887</v>
      </c>
      <c r="AA165" s="61">
        <v>577.63</v>
      </c>
    </row>
    <row r="166" spans="24:27">
      <c r="X166" s="53">
        <v>333</v>
      </c>
      <c r="Y166" s="78">
        <v>0.45</v>
      </c>
      <c r="Z166" s="151">
        <v>11120</v>
      </c>
      <c r="AA166" s="61">
        <v>589.98</v>
      </c>
    </row>
    <row r="167" spans="24:27">
      <c r="X167" s="53">
        <v>333</v>
      </c>
      <c r="Y167" s="78">
        <v>0.44</v>
      </c>
      <c r="Z167" s="151">
        <v>11351</v>
      </c>
      <c r="AA167" s="61">
        <v>602.88</v>
      </c>
    </row>
    <row r="168" spans="24:27">
      <c r="X168" s="53">
        <v>333</v>
      </c>
      <c r="Y168" s="78">
        <v>0.43</v>
      </c>
      <c r="Z168" s="151">
        <v>11581</v>
      </c>
      <c r="AA168" s="61">
        <v>616.34</v>
      </c>
    </row>
    <row r="169" spans="24:27">
      <c r="X169" s="53">
        <v>333</v>
      </c>
      <c r="Y169" s="78">
        <v>0.42</v>
      </c>
      <c r="Z169" s="151">
        <v>11809</v>
      </c>
      <c r="AA169" s="61">
        <v>630.42999999999995</v>
      </c>
    </row>
    <row r="170" spans="24:27">
      <c r="X170" s="53">
        <v>333</v>
      </c>
      <c r="Y170" s="78">
        <v>0.41</v>
      </c>
      <c r="Z170" s="151">
        <v>12035</v>
      </c>
      <c r="AA170" s="61">
        <v>645.16999999999996</v>
      </c>
    </row>
    <row r="171" spans="24:27">
      <c r="X171" s="53">
        <v>333</v>
      </c>
      <c r="Y171" s="78">
        <v>0.4</v>
      </c>
      <c r="Z171" s="151">
        <v>12259</v>
      </c>
      <c r="AA171" s="61">
        <v>660.62</v>
      </c>
    </row>
    <row r="172" spans="24:27">
      <c r="X172" s="53">
        <v>333</v>
      </c>
      <c r="Y172" s="78">
        <v>0.39</v>
      </c>
      <c r="Z172" s="151">
        <v>12481</v>
      </c>
      <c r="AA172" s="61">
        <v>676.83</v>
      </c>
    </row>
    <row r="173" spans="24:27">
      <c r="X173" s="53">
        <v>333</v>
      </c>
      <c r="Y173" s="78">
        <v>0.38</v>
      </c>
      <c r="Z173" s="151">
        <v>12700</v>
      </c>
      <c r="AA173" s="61">
        <v>693.85</v>
      </c>
    </row>
    <row r="174" spans="24:27">
      <c r="X174" s="53">
        <v>333</v>
      </c>
      <c r="Y174" s="78">
        <v>0.37</v>
      </c>
      <c r="Z174" s="151">
        <v>12917</v>
      </c>
      <c r="AA174" s="61">
        <v>711.75</v>
      </c>
    </row>
    <row r="175" spans="24:27">
      <c r="X175" s="53">
        <v>333</v>
      </c>
      <c r="Y175" s="78">
        <v>0.36</v>
      </c>
      <c r="Z175" s="151">
        <v>13132</v>
      </c>
      <c r="AA175" s="61">
        <v>730.6</v>
      </c>
    </row>
    <row r="176" spans="24:27">
      <c r="X176" s="53">
        <v>333</v>
      </c>
      <c r="Y176" s="78">
        <v>0.35</v>
      </c>
      <c r="Z176" s="151">
        <v>13344</v>
      </c>
      <c r="AA176" s="61">
        <v>750.48</v>
      </c>
    </row>
    <row r="177" spans="24:27">
      <c r="X177" s="53">
        <v>333</v>
      </c>
      <c r="Y177" s="78">
        <v>0.34</v>
      </c>
      <c r="Z177" s="151">
        <v>13553</v>
      </c>
      <c r="AA177" s="61">
        <v>771.47</v>
      </c>
    </row>
    <row r="178" spans="24:27">
      <c r="X178" s="53">
        <v>333</v>
      </c>
      <c r="Y178" s="78">
        <v>0.33</v>
      </c>
      <c r="Z178" s="151">
        <v>13760</v>
      </c>
      <c r="AA178" s="61">
        <v>793.67</v>
      </c>
    </row>
    <row r="179" spans="24:27">
      <c r="X179" s="53">
        <v>333</v>
      </c>
      <c r="Y179" s="78">
        <v>0.32</v>
      </c>
      <c r="Z179" s="151">
        <v>13964</v>
      </c>
      <c r="AA179" s="61">
        <v>817.18</v>
      </c>
    </row>
    <row r="180" spans="24:27">
      <c r="X180" s="53">
        <v>333</v>
      </c>
      <c r="Y180" s="78">
        <v>0.31</v>
      </c>
      <c r="Z180" s="151">
        <v>14165</v>
      </c>
      <c r="AA180" s="61">
        <v>842.13</v>
      </c>
    </row>
    <row r="181" spans="24:27">
      <c r="X181" s="53">
        <v>333</v>
      </c>
      <c r="Y181" s="78">
        <v>0.3</v>
      </c>
      <c r="Z181" s="151">
        <v>14364</v>
      </c>
      <c r="AA181" s="61">
        <v>868.65</v>
      </c>
    </row>
    <row r="182" spans="24:27">
      <c r="X182" s="53">
        <v>333</v>
      </c>
      <c r="Y182" s="78">
        <v>0.28999999999999998</v>
      </c>
      <c r="Z182" s="151">
        <v>14560</v>
      </c>
      <c r="AA182" s="61">
        <v>896.9</v>
      </c>
    </row>
    <row r="183" spans="24:27">
      <c r="X183" s="53">
        <v>333</v>
      </c>
      <c r="Y183" s="78">
        <v>0.28000000000000003</v>
      </c>
      <c r="Z183" s="151">
        <v>14753</v>
      </c>
      <c r="AA183" s="61">
        <v>927.05</v>
      </c>
    </row>
    <row r="184" spans="24:27">
      <c r="X184" s="53">
        <v>333</v>
      </c>
      <c r="Y184" s="78">
        <v>0.27</v>
      </c>
      <c r="Z184" s="151">
        <v>14943</v>
      </c>
      <c r="AA184" s="61">
        <v>959.31</v>
      </c>
    </row>
    <row r="185" spans="24:27">
      <c r="X185" s="53">
        <v>333</v>
      </c>
      <c r="Y185" s="78">
        <v>0.26</v>
      </c>
      <c r="Z185" s="151">
        <v>15131</v>
      </c>
      <c r="AA185" s="61">
        <v>993.89</v>
      </c>
    </row>
    <row r="186" spans="24:27">
      <c r="X186" s="53">
        <v>333</v>
      </c>
      <c r="Y186" s="78">
        <v>0.25</v>
      </c>
      <c r="Z186" s="151">
        <v>15316</v>
      </c>
      <c r="AA186" s="62">
        <v>1031.0999999999999</v>
      </c>
    </row>
    <row r="187" spans="24:27">
      <c r="X187" s="53">
        <v>333</v>
      </c>
      <c r="Y187" s="78">
        <v>0.24</v>
      </c>
      <c r="Z187" s="151">
        <v>15498</v>
      </c>
      <c r="AA187" s="62">
        <v>1071.0999999999999</v>
      </c>
    </row>
    <row r="188" spans="24:27">
      <c r="X188" s="53">
        <v>333</v>
      </c>
      <c r="Y188" s="78">
        <v>0.23</v>
      </c>
      <c r="Z188" s="151">
        <v>15678</v>
      </c>
      <c r="AA188" s="62">
        <v>1114.4000000000001</v>
      </c>
    </row>
    <row r="189" spans="24:27">
      <c r="X189" s="53">
        <v>333</v>
      </c>
      <c r="Y189" s="78">
        <v>0.22</v>
      </c>
      <c r="Z189" s="151">
        <v>15856</v>
      </c>
      <c r="AA189" s="62">
        <v>1161.4000000000001</v>
      </c>
    </row>
    <row r="190" spans="24:27">
      <c r="X190" s="53">
        <v>333</v>
      </c>
      <c r="Y190" s="78">
        <v>0.21</v>
      </c>
      <c r="Z190" s="151">
        <v>16031</v>
      </c>
      <c r="AA190" s="62">
        <v>1212.5</v>
      </c>
    </row>
    <row r="191" spans="24:27">
      <c r="X191" s="53">
        <v>333</v>
      </c>
      <c r="Y191" s="78">
        <v>0.2</v>
      </c>
      <c r="Z191" s="151">
        <v>16205</v>
      </c>
      <c r="AA191" s="62">
        <v>1268.4000000000001</v>
      </c>
    </row>
    <row r="192" spans="24:27">
      <c r="X192" s="53">
        <v>333</v>
      </c>
      <c r="Y192" s="78">
        <v>0.19</v>
      </c>
      <c r="Z192" s="151">
        <v>16376</v>
      </c>
      <c r="AA192" s="62">
        <v>1329.6</v>
      </c>
    </row>
    <row r="193" spans="24:27">
      <c r="X193" s="53">
        <v>333</v>
      </c>
      <c r="Y193" s="78">
        <v>0.18</v>
      </c>
      <c r="Z193" s="151">
        <v>16546</v>
      </c>
      <c r="AA193" s="62">
        <v>1397.1</v>
      </c>
    </row>
    <row r="194" spans="24:27">
      <c r="X194" s="53">
        <v>333</v>
      </c>
      <c r="Y194" s="78">
        <v>0.17</v>
      </c>
      <c r="Z194" s="151">
        <v>16714</v>
      </c>
      <c r="AA194" s="62">
        <v>1471.8</v>
      </c>
    </row>
    <row r="195" spans="24:27">
      <c r="X195" s="53">
        <v>333</v>
      </c>
      <c r="Y195" s="78">
        <v>0.16</v>
      </c>
      <c r="Z195" s="151">
        <v>16881</v>
      </c>
      <c r="AA195" s="62">
        <v>1555</v>
      </c>
    </row>
    <row r="196" spans="24:27">
      <c r="X196" s="53">
        <v>333</v>
      </c>
      <c r="Y196" s="78">
        <v>0.15</v>
      </c>
      <c r="Z196" s="151">
        <v>17046</v>
      </c>
      <c r="AA196" s="62">
        <v>1648.3</v>
      </c>
    </row>
    <row r="197" spans="24:27">
      <c r="X197" s="53">
        <v>333</v>
      </c>
      <c r="Y197" s="78">
        <v>0.14000000000000001</v>
      </c>
      <c r="Z197" s="151">
        <v>17211</v>
      </c>
      <c r="AA197" s="62">
        <v>1753.5</v>
      </c>
    </row>
    <row r="198" spans="24:27">
      <c r="X198" s="53">
        <v>333</v>
      </c>
      <c r="Y198" s="78">
        <v>0.13</v>
      </c>
      <c r="Z198" s="151">
        <v>17375</v>
      </c>
      <c r="AA198" s="62">
        <v>1873.1</v>
      </c>
    </row>
    <row r="199" spans="24:27">
      <c r="X199" s="53">
        <v>333</v>
      </c>
      <c r="Y199" s="78">
        <v>0.12</v>
      </c>
      <c r="Z199" s="151">
        <v>17539</v>
      </c>
      <c r="AA199" s="62">
        <v>2010.4</v>
      </c>
    </row>
    <row r="200" spans="24:27">
      <c r="X200" s="53">
        <v>333</v>
      </c>
      <c r="Y200" s="78">
        <v>0.11</v>
      </c>
      <c r="Z200" s="151">
        <v>17702</v>
      </c>
      <c r="AA200" s="62">
        <v>2169.6</v>
      </c>
    </row>
    <row r="201" spans="24:27">
      <c r="X201" s="53">
        <v>333</v>
      </c>
      <c r="Y201" s="78">
        <v>0.1</v>
      </c>
      <c r="Z201" s="151">
        <v>17866</v>
      </c>
      <c r="AA201" s="62">
        <v>2356.5</v>
      </c>
    </row>
    <row r="202" spans="24:27">
      <c r="X202" s="53">
        <v>333</v>
      </c>
      <c r="Y202" s="78">
        <v>0.09</v>
      </c>
      <c r="Z202" s="151">
        <v>18030</v>
      </c>
      <c r="AA202" s="62">
        <v>2579</v>
      </c>
    </row>
    <row r="203" spans="24:27">
      <c r="X203" s="53">
        <v>333</v>
      </c>
      <c r="Y203" s="78">
        <v>0.08</v>
      </c>
      <c r="Z203" s="151">
        <v>18195</v>
      </c>
      <c r="AA203" s="62">
        <v>2848.5</v>
      </c>
    </row>
    <row r="204" spans="24:27">
      <c r="X204" s="53">
        <v>333</v>
      </c>
      <c r="Y204" s="78">
        <v>7.0000000000000007E-2</v>
      </c>
      <c r="Z204" s="151">
        <v>18362</v>
      </c>
      <c r="AA204" s="62">
        <v>3182</v>
      </c>
    </row>
    <row r="205" spans="24:27">
      <c r="X205" s="53">
        <v>333</v>
      </c>
      <c r="Y205" s="78">
        <v>0.06</v>
      </c>
      <c r="Z205" s="151">
        <v>18530</v>
      </c>
      <c r="AA205" s="62">
        <v>3605.6</v>
      </c>
    </row>
    <row r="206" spans="24:27">
      <c r="X206" s="53">
        <v>333</v>
      </c>
      <c r="Y206" s="78">
        <v>0.05</v>
      </c>
      <c r="Z206" s="151">
        <v>18700</v>
      </c>
      <c r="AA206" s="62">
        <v>4162.7</v>
      </c>
    </row>
    <row r="207" spans="24:27">
      <c r="X207" s="53">
        <v>333</v>
      </c>
      <c r="Y207" s="78">
        <v>0.04</v>
      </c>
      <c r="Z207" s="151">
        <v>18873</v>
      </c>
      <c r="AA207" s="62">
        <v>4929.8</v>
      </c>
    </row>
    <row r="208" spans="24:27">
      <c r="X208" s="53">
        <v>333</v>
      </c>
      <c r="Y208" s="78">
        <v>0.03</v>
      </c>
      <c r="Z208" s="151">
        <v>19049</v>
      </c>
      <c r="AA208" s="62">
        <v>6058.3</v>
      </c>
    </row>
    <row r="209" spans="24:27">
      <c r="X209" s="53">
        <v>333</v>
      </c>
      <c r="Y209" s="78">
        <v>0.02</v>
      </c>
      <c r="Z209" s="151">
        <v>19230</v>
      </c>
      <c r="AA209" s="62">
        <v>7896.8</v>
      </c>
    </row>
    <row r="210" spans="24:27">
      <c r="X210" s="53">
        <v>333</v>
      </c>
      <c r="Y210" s="78">
        <v>0.01</v>
      </c>
      <c r="Z210" s="151">
        <v>19415</v>
      </c>
      <c r="AA210" s="63">
        <v>11468</v>
      </c>
    </row>
    <row r="211" spans="24:27">
      <c r="X211" s="53">
        <v>333</v>
      </c>
      <c r="Y211" s="78">
        <v>0</v>
      </c>
      <c r="Z211" s="151">
        <v>19606</v>
      </c>
      <c r="AA211" s="63">
        <v>19606</v>
      </c>
    </row>
    <row r="212" spans="24:27">
      <c r="X212" s="53"/>
      <c r="Y212" s="38"/>
      <c r="Z212" s="38"/>
      <c r="AA212" s="15"/>
    </row>
    <row r="213" spans="24:27">
      <c r="X213" s="53">
        <v>373</v>
      </c>
      <c r="Y213" s="78">
        <v>1</v>
      </c>
      <c r="Z213" s="150">
        <v>2485.1</v>
      </c>
      <c r="AA213" s="62">
        <v>2485.1</v>
      </c>
    </row>
    <row r="214" spans="24:27">
      <c r="X214" s="53">
        <v>373</v>
      </c>
      <c r="Y214" s="78">
        <v>0.99</v>
      </c>
      <c r="Z214" s="150">
        <v>3172.5</v>
      </c>
      <c r="AA214" s="62">
        <v>2509.6999999999998</v>
      </c>
    </row>
    <row r="215" spans="24:27">
      <c r="X215" s="53">
        <v>373</v>
      </c>
      <c r="Y215" s="78">
        <v>0.98</v>
      </c>
      <c r="Z215" s="150">
        <v>3873.7</v>
      </c>
      <c r="AA215" s="62">
        <v>2534.8000000000002</v>
      </c>
    </row>
    <row r="216" spans="24:27">
      <c r="X216" s="53">
        <v>373</v>
      </c>
      <c r="Y216" s="78">
        <v>0.97</v>
      </c>
      <c r="Z216" s="150">
        <v>4588.8</v>
      </c>
      <c r="AA216" s="62">
        <v>2560.4</v>
      </c>
    </row>
    <row r="217" spans="24:27">
      <c r="X217" s="53">
        <v>373</v>
      </c>
      <c r="Y217" s="78">
        <v>0.96</v>
      </c>
      <c r="Z217" s="150">
        <v>5318.2</v>
      </c>
      <c r="AA217" s="62">
        <v>2586.5</v>
      </c>
    </row>
    <row r="218" spans="24:27">
      <c r="X218" s="53">
        <v>373</v>
      </c>
      <c r="Y218" s="78">
        <v>0.95</v>
      </c>
      <c r="Z218" s="150">
        <v>6061.9</v>
      </c>
      <c r="AA218" s="62">
        <v>2613.1999999999998</v>
      </c>
    </row>
    <row r="219" spans="24:27">
      <c r="X219" s="53">
        <v>373</v>
      </c>
      <c r="Y219" s="78">
        <v>0.94</v>
      </c>
      <c r="Z219" s="150">
        <v>6820.1</v>
      </c>
      <c r="AA219" s="62">
        <v>2640.4</v>
      </c>
    </row>
    <row r="220" spans="24:27">
      <c r="X220" s="53">
        <v>373</v>
      </c>
      <c r="Y220" s="78">
        <v>0.93</v>
      </c>
      <c r="Z220" s="150">
        <v>7592.9</v>
      </c>
      <c r="AA220" s="62">
        <v>2668.2</v>
      </c>
    </row>
    <row r="221" spans="24:27">
      <c r="X221" s="53">
        <v>373</v>
      </c>
      <c r="Y221" s="78">
        <v>0.92</v>
      </c>
      <c r="Z221" s="150">
        <v>8380.6</v>
      </c>
      <c r="AA221" s="62">
        <v>2696.5</v>
      </c>
    </row>
    <row r="222" spans="24:27">
      <c r="X222" s="53">
        <v>373</v>
      </c>
      <c r="Y222" s="78">
        <v>0.91</v>
      </c>
      <c r="Z222" s="150">
        <v>9183.2000000000007</v>
      </c>
      <c r="AA222" s="62">
        <v>2725.5</v>
      </c>
    </row>
    <row r="223" spans="24:27">
      <c r="X223" s="53">
        <v>373</v>
      </c>
      <c r="Y223" s="78">
        <v>0.9</v>
      </c>
      <c r="Z223" s="151">
        <v>10001</v>
      </c>
      <c r="AA223" s="62">
        <v>2755.1</v>
      </c>
    </row>
    <row r="224" spans="24:27">
      <c r="X224" s="53">
        <v>373</v>
      </c>
      <c r="Y224" s="78">
        <v>0.89</v>
      </c>
      <c r="Z224" s="151">
        <v>10834</v>
      </c>
      <c r="AA224" s="62">
        <v>2785.4</v>
      </c>
    </row>
    <row r="225" spans="24:27">
      <c r="X225" s="53">
        <v>373</v>
      </c>
      <c r="Y225" s="78">
        <v>0.88</v>
      </c>
      <c r="Z225" s="151">
        <v>11682</v>
      </c>
      <c r="AA225" s="62">
        <v>2816.3</v>
      </c>
    </row>
    <row r="226" spans="24:27">
      <c r="X226" s="53">
        <v>373</v>
      </c>
      <c r="Y226" s="78">
        <v>0.87</v>
      </c>
      <c r="Z226" s="151">
        <v>12545</v>
      </c>
      <c r="AA226" s="62">
        <v>2847.9</v>
      </c>
    </row>
    <row r="227" spans="24:27">
      <c r="X227" s="53">
        <v>373</v>
      </c>
      <c r="Y227" s="78">
        <v>0.86</v>
      </c>
      <c r="Z227" s="151">
        <v>13423</v>
      </c>
      <c r="AA227" s="62">
        <v>2880.2</v>
      </c>
    </row>
    <row r="228" spans="24:27">
      <c r="X228" s="53">
        <v>373</v>
      </c>
      <c r="Y228" s="78">
        <v>0.85</v>
      </c>
      <c r="Z228" s="151">
        <v>14317</v>
      </c>
      <c r="AA228" s="62">
        <v>2913.3</v>
      </c>
    </row>
    <row r="229" spans="24:27">
      <c r="X229" s="53">
        <v>373</v>
      </c>
      <c r="Y229" s="78">
        <v>0.84</v>
      </c>
      <c r="Z229" s="151">
        <v>15226</v>
      </c>
      <c r="AA229" s="62">
        <v>2947.1</v>
      </c>
    </row>
    <row r="230" spans="24:27">
      <c r="X230" s="53">
        <v>373</v>
      </c>
      <c r="Y230" s="78">
        <v>0.83</v>
      </c>
      <c r="Z230" s="151">
        <v>16151</v>
      </c>
      <c r="AA230" s="62">
        <v>2981.7</v>
      </c>
    </row>
    <row r="231" spans="24:27">
      <c r="X231" s="53">
        <v>373</v>
      </c>
      <c r="Y231" s="78">
        <v>0.82</v>
      </c>
      <c r="Z231" s="151">
        <v>17091</v>
      </c>
      <c r="AA231" s="62">
        <v>3017.1</v>
      </c>
    </row>
    <row r="232" spans="24:27">
      <c r="X232" s="53">
        <v>373</v>
      </c>
      <c r="Y232" s="78">
        <v>0.81</v>
      </c>
      <c r="Z232" s="151">
        <v>18045</v>
      </c>
      <c r="AA232" s="62">
        <v>3053.4</v>
      </c>
    </row>
    <row r="233" spans="24:27">
      <c r="X233" s="53">
        <v>373</v>
      </c>
      <c r="Y233" s="78">
        <v>0.8</v>
      </c>
      <c r="Z233" s="151">
        <v>19015</v>
      </c>
      <c r="AA233" s="62">
        <v>3090.6</v>
      </c>
    </row>
    <row r="234" spans="24:27">
      <c r="X234" s="53">
        <v>373</v>
      </c>
      <c r="Y234" s="78">
        <v>0.79</v>
      </c>
      <c r="Z234" s="151">
        <v>20000</v>
      </c>
      <c r="AA234" s="62">
        <v>3128.6</v>
      </c>
    </row>
    <row r="235" spans="24:27">
      <c r="X235" s="53">
        <v>373</v>
      </c>
      <c r="Y235" s="78">
        <v>0.78</v>
      </c>
      <c r="Z235" s="151">
        <v>21000</v>
      </c>
      <c r="AA235" s="62">
        <v>3167.6</v>
      </c>
    </row>
    <row r="236" spans="24:27">
      <c r="X236" s="53">
        <v>373</v>
      </c>
      <c r="Y236" s="78">
        <v>0.77</v>
      </c>
      <c r="Z236" s="151">
        <v>22014</v>
      </c>
      <c r="AA236" s="62">
        <v>3207.6</v>
      </c>
    </row>
    <row r="237" spans="24:27">
      <c r="X237" s="53">
        <v>373</v>
      </c>
      <c r="Y237" s="78">
        <v>0.76</v>
      </c>
      <c r="Z237" s="151">
        <v>23042</v>
      </c>
      <c r="AA237" s="62">
        <v>3248.7</v>
      </c>
    </row>
    <row r="238" spans="24:27">
      <c r="X238" s="53">
        <v>373</v>
      </c>
      <c r="Y238" s="78">
        <v>0.75</v>
      </c>
      <c r="Z238" s="151">
        <v>24084</v>
      </c>
      <c r="AA238" s="62">
        <v>3290.7</v>
      </c>
    </row>
    <row r="239" spans="24:27">
      <c r="X239" s="53">
        <v>373</v>
      </c>
      <c r="Y239" s="78">
        <v>0.74</v>
      </c>
      <c r="Z239" s="151">
        <v>25140</v>
      </c>
      <c r="AA239" s="62">
        <v>3333.9</v>
      </c>
    </row>
    <row r="240" spans="24:27">
      <c r="X240" s="53">
        <v>373</v>
      </c>
      <c r="Y240" s="78">
        <v>0.73</v>
      </c>
      <c r="Z240" s="151">
        <v>26210</v>
      </c>
      <c r="AA240" s="62">
        <v>3378.2</v>
      </c>
    </row>
    <row r="241" spans="24:27">
      <c r="X241" s="53">
        <v>373</v>
      </c>
      <c r="Y241" s="78">
        <v>0.72</v>
      </c>
      <c r="Z241" s="151">
        <v>27292</v>
      </c>
      <c r="AA241" s="62">
        <v>3423.7</v>
      </c>
    </row>
    <row r="242" spans="24:27">
      <c r="X242" s="53">
        <v>373</v>
      </c>
      <c r="Y242" s="78">
        <v>0.71</v>
      </c>
      <c r="Z242" s="151">
        <v>28387</v>
      </c>
      <c r="AA242" s="62">
        <v>3470.5</v>
      </c>
    </row>
    <row r="243" spans="24:27">
      <c r="X243" s="53">
        <v>373</v>
      </c>
      <c r="Y243" s="78">
        <v>0.7</v>
      </c>
      <c r="Z243" s="151">
        <v>29493</v>
      </c>
      <c r="AA243" s="62">
        <v>3518.5</v>
      </c>
    </row>
    <row r="244" spans="24:27">
      <c r="X244" s="53">
        <v>373</v>
      </c>
      <c r="Y244" s="78">
        <v>0.69</v>
      </c>
      <c r="Z244" s="151">
        <v>30612</v>
      </c>
      <c r="AA244" s="62">
        <v>3567.9</v>
      </c>
    </row>
    <row r="245" spans="24:27">
      <c r="X245" s="53">
        <v>373</v>
      </c>
      <c r="Y245" s="78">
        <v>0.68</v>
      </c>
      <c r="Z245" s="151">
        <v>31741</v>
      </c>
      <c r="AA245" s="62">
        <v>3618.6</v>
      </c>
    </row>
    <row r="246" spans="24:27">
      <c r="X246" s="53">
        <v>373</v>
      </c>
      <c r="Y246" s="78">
        <v>0.67</v>
      </c>
      <c r="Z246" s="151">
        <v>32881</v>
      </c>
      <c r="AA246" s="62">
        <v>3670.9</v>
      </c>
    </row>
    <row r="247" spans="24:27">
      <c r="X247" s="53">
        <v>373</v>
      </c>
      <c r="Y247" s="78">
        <v>0.66</v>
      </c>
      <c r="Z247" s="151">
        <v>34031</v>
      </c>
      <c r="AA247" s="62">
        <v>3724.6</v>
      </c>
    </row>
    <row r="248" spans="24:27">
      <c r="X248" s="53">
        <v>373</v>
      </c>
      <c r="Y248" s="78">
        <v>0.65</v>
      </c>
      <c r="Z248" s="151">
        <v>35190</v>
      </c>
      <c r="AA248" s="62">
        <v>3780</v>
      </c>
    </row>
    <row r="249" spans="24:27">
      <c r="X249" s="53">
        <v>373</v>
      </c>
      <c r="Y249" s="78">
        <v>0.64</v>
      </c>
      <c r="Z249" s="151">
        <v>36358</v>
      </c>
      <c r="AA249" s="62">
        <v>3837</v>
      </c>
    </row>
    <row r="250" spans="24:27">
      <c r="X250" s="53">
        <v>373</v>
      </c>
      <c r="Y250" s="78">
        <v>0.63</v>
      </c>
      <c r="Z250" s="151">
        <v>37533</v>
      </c>
      <c r="AA250" s="62">
        <v>3895.7</v>
      </c>
    </row>
    <row r="251" spans="24:27">
      <c r="X251" s="53">
        <v>373</v>
      </c>
      <c r="Y251" s="78">
        <v>0.62</v>
      </c>
      <c r="Z251" s="151">
        <v>38715</v>
      </c>
      <c r="AA251" s="62">
        <v>3956.3</v>
      </c>
    </row>
    <row r="252" spans="24:27">
      <c r="X252" s="53">
        <v>373</v>
      </c>
      <c r="Y252" s="78">
        <v>0.61</v>
      </c>
      <c r="Z252" s="151">
        <v>39904</v>
      </c>
      <c r="AA252" s="62">
        <v>4018.8</v>
      </c>
    </row>
    <row r="253" spans="24:27">
      <c r="X253" s="53">
        <v>373</v>
      </c>
      <c r="Y253" s="78">
        <v>0.6</v>
      </c>
      <c r="Z253" s="151">
        <v>41098</v>
      </c>
      <c r="AA253" s="62">
        <v>4083.3</v>
      </c>
    </row>
    <row r="254" spans="24:27">
      <c r="X254" s="53">
        <v>373</v>
      </c>
      <c r="Y254" s="78">
        <v>0.59</v>
      </c>
      <c r="Z254" s="151">
        <v>42296</v>
      </c>
      <c r="AA254" s="62">
        <v>4149.8999999999996</v>
      </c>
    </row>
    <row r="255" spans="24:27">
      <c r="X255" s="53">
        <v>373</v>
      </c>
      <c r="Y255" s="78">
        <v>0.57999999999999996</v>
      </c>
      <c r="Z255" s="151">
        <v>43499</v>
      </c>
      <c r="AA255" s="62">
        <v>4218.7</v>
      </c>
    </row>
    <row r="256" spans="24:27">
      <c r="X256" s="53">
        <v>373</v>
      </c>
      <c r="Y256" s="78">
        <v>0.56999999999999995</v>
      </c>
      <c r="Z256" s="151">
        <v>44704</v>
      </c>
      <c r="AA256" s="62">
        <v>4289.7</v>
      </c>
    </row>
    <row r="257" spans="24:27">
      <c r="X257" s="53">
        <v>373</v>
      </c>
      <c r="Y257" s="78">
        <v>0.56000000000000005</v>
      </c>
      <c r="Z257" s="151">
        <v>45911</v>
      </c>
      <c r="AA257" s="62">
        <v>4363.3</v>
      </c>
    </row>
    <row r="258" spans="24:27">
      <c r="X258" s="53">
        <v>373</v>
      </c>
      <c r="Y258" s="78">
        <v>0.55000000000000004</v>
      </c>
      <c r="Z258" s="151">
        <v>47119</v>
      </c>
      <c r="AA258" s="62">
        <v>4439.3999999999996</v>
      </c>
    </row>
    <row r="259" spans="24:27">
      <c r="X259" s="53">
        <v>373</v>
      </c>
      <c r="Y259" s="78">
        <v>0.54</v>
      </c>
      <c r="Z259" s="151">
        <v>48327</v>
      </c>
      <c r="AA259" s="62">
        <v>4518.1000000000004</v>
      </c>
    </row>
    <row r="260" spans="24:27">
      <c r="X260" s="53">
        <v>373</v>
      </c>
      <c r="Y260" s="78">
        <v>0.53</v>
      </c>
      <c r="Z260" s="151">
        <v>49534</v>
      </c>
      <c r="AA260" s="62">
        <v>4599.7</v>
      </c>
    </row>
    <row r="261" spans="24:27">
      <c r="X261" s="53">
        <v>373</v>
      </c>
      <c r="Y261" s="78">
        <v>0.52</v>
      </c>
      <c r="Z261" s="151">
        <v>50739</v>
      </c>
      <c r="AA261" s="62">
        <v>4684.3</v>
      </c>
    </row>
    <row r="262" spans="24:27">
      <c r="X262" s="53">
        <v>373</v>
      </c>
      <c r="Y262" s="78">
        <v>0.51</v>
      </c>
      <c r="Z262" s="151">
        <v>51941</v>
      </c>
      <c r="AA262" s="62">
        <v>4772.1000000000004</v>
      </c>
    </row>
    <row r="263" spans="24:27">
      <c r="X263" s="53">
        <v>373</v>
      </c>
      <c r="Y263" s="78">
        <v>0.5</v>
      </c>
      <c r="Z263" s="151">
        <v>53139</v>
      </c>
      <c r="AA263" s="62">
        <v>4863.2</v>
      </c>
    </row>
    <row r="264" spans="24:27">
      <c r="X264" s="53">
        <v>373</v>
      </c>
      <c r="Y264" s="78">
        <v>0.49</v>
      </c>
      <c r="Z264" s="151">
        <v>54333</v>
      </c>
      <c r="AA264" s="62">
        <v>4957.8999999999996</v>
      </c>
    </row>
    <row r="265" spans="24:27">
      <c r="X265" s="53">
        <v>373</v>
      </c>
      <c r="Y265" s="78">
        <v>0.48</v>
      </c>
      <c r="Z265" s="151">
        <v>55520</v>
      </c>
      <c r="AA265" s="62">
        <v>5056.3</v>
      </c>
    </row>
    <row r="266" spans="24:27">
      <c r="X266" s="53">
        <v>373</v>
      </c>
      <c r="Y266" s="78">
        <v>0.47</v>
      </c>
      <c r="Z266" s="151">
        <v>56701</v>
      </c>
      <c r="AA266" s="62">
        <v>5158.7</v>
      </c>
    </row>
    <row r="267" spans="24:27">
      <c r="X267" s="53">
        <v>373</v>
      </c>
      <c r="Y267" s="78">
        <v>0.46</v>
      </c>
      <c r="Z267" s="151">
        <v>57874</v>
      </c>
      <c r="AA267" s="62">
        <v>5265.3</v>
      </c>
    </row>
    <row r="268" spans="24:27">
      <c r="X268" s="53">
        <v>373</v>
      </c>
      <c r="Y268" s="78">
        <v>0.45</v>
      </c>
      <c r="Z268" s="151">
        <v>59039</v>
      </c>
      <c r="AA268" s="62">
        <v>5376.4</v>
      </c>
    </row>
    <row r="269" spans="24:27">
      <c r="X269" s="53">
        <v>373</v>
      </c>
      <c r="Y269" s="78">
        <v>0.44</v>
      </c>
      <c r="Z269" s="151">
        <v>60194</v>
      </c>
      <c r="AA269" s="62">
        <v>5492.3</v>
      </c>
    </row>
    <row r="270" spans="24:27">
      <c r="X270" s="53">
        <v>373</v>
      </c>
      <c r="Y270" s="78">
        <v>0.43</v>
      </c>
      <c r="Z270" s="151">
        <v>61338</v>
      </c>
      <c r="AA270" s="62">
        <v>5613.2</v>
      </c>
    </row>
    <row r="271" spans="24:27">
      <c r="X271" s="53">
        <v>373</v>
      </c>
      <c r="Y271" s="78">
        <v>0.42</v>
      </c>
      <c r="Z271" s="151">
        <v>62472</v>
      </c>
      <c r="AA271" s="62">
        <v>5739.7</v>
      </c>
    </row>
    <row r="272" spans="24:27">
      <c r="X272" s="53">
        <v>373</v>
      </c>
      <c r="Y272" s="78">
        <v>0.41</v>
      </c>
      <c r="Z272" s="151">
        <v>63593</v>
      </c>
      <c r="AA272" s="62">
        <v>5871.9</v>
      </c>
    </row>
    <row r="273" spans="24:27">
      <c r="X273" s="53">
        <v>373</v>
      </c>
      <c r="Y273" s="78">
        <v>0.4</v>
      </c>
      <c r="Z273" s="151">
        <v>64701</v>
      </c>
      <c r="AA273" s="62">
        <v>6010.4</v>
      </c>
    </row>
    <row r="274" spans="24:27">
      <c r="X274" s="53">
        <v>373</v>
      </c>
      <c r="Y274" s="78">
        <v>0.39</v>
      </c>
      <c r="Z274" s="151">
        <v>65796</v>
      </c>
      <c r="AA274" s="62">
        <v>6155.5</v>
      </c>
    </row>
    <row r="275" spans="24:27">
      <c r="X275" s="53">
        <v>373</v>
      </c>
      <c r="Y275" s="78">
        <v>0.38</v>
      </c>
      <c r="Z275" s="151">
        <v>66877</v>
      </c>
      <c r="AA275" s="62">
        <v>6307.9</v>
      </c>
    </row>
    <row r="276" spans="24:27">
      <c r="X276" s="53">
        <v>373</v>
      </c>
      <c r="Y276" s="78">
        <v>0.37</v>
      </c>
      <c r="Z276" s="151">
        <v>67943</v>
      </c>
      <c r="AA276" s="62">
        <v>6467.9</v>
      </c>
    </row>
    <row r="277" spans="24:27">
      <c r="X277" s="53">
        <v>373</v>
      </c>
      <c r="Y277" s="78">
        <v>0.36</v>
      </c>
      <c r="Z277" s="151">
        <v>68994</v>
      </c>
      <c r="AA277" s="62">
        <v>6636.3</v>
      </c>
    </row>
    <row r="278" spans="24:27">
      <c r="X278" s="53">
        <v>373</v>
      </c>
      <c r="Y278" s="78">
        <v>0.35</v>
      </c>
      <c r="Z278" s="151">
        <v>70029</v>
      </c>
      <c r="AA278" s="62">
        <v>6813.7</v>
      </c>
    </row>
    <row r="279" spans="24:27">
      <c r="X279" s="53">
        <v>373</v>
      </c>
      <c r="Y279" s="78">
        <v>0.34</v>
      </c>
      <c r="Z279" s="151">
        <v>71048</v>
      </c>
      <c r="AA279" s="62">
        <v>7000.8</v>
      </c>
    </row>
    <row r="280" spans="24:27">
      <c r="X280" s="53">
        <v>373</v>
      </c>
      <c r="Y280" s="78">
        <v>0.33</v>
      </c>
      <c r="Z280" s="151">
        <v>72050</v>
      </c>
      <c r="AA280" s="62">
        <v>7198.5</v>
      </c>
    </row>
    <row r="281" spans="24:27">
      <c r="X281" s="53">
        <v>373</v>
      </c>
      <c r="Y281" s="78">
        <v>0.32</v>
      </c>
      <c r="Z281" s="151">
        <v>73035</v>
      </c>
      <c r="AA281" s="62">
        <v>7407.7</v>
      </c>
    </row>
    <row r="282" spans="24:27">
      <c r="X282" s="53">
        <v>373</v>
      </c>
      <c r="Y282" s="78">
        <v>0.31</v>
      </c>
      <c r="Z282" s="151">
        <v>74004</v>
      </c>
      <c r="AA282" s="62">
        <v>7629.4</v>
      </c>
    </row>
    <row r="283" spans="24:27">
      <c r="X283" s="53">
        <v>373</v>
      </c>
      <c r="Y283" s="78">
        <v>0.3</v>
      </c>
      <c r="Z283" s="151">
        <v>74955</v>
      </c>
      <c r="AA283" s="62">
        <v>7864.7</v>
      </c>
    </row>
    <row r="284" spans="24:27">
      <c r="X284" s="53">
        <v>373</v>
      </c>
      <c r="Y284" s="78">
        <v>0.28999999999999998</v>
      </c>
      <c r="Z284" s="151">
        <v>75888</v>
      </c>
      <c r="AA284" s="62">
        <v>8115.1</v>
      </c>
    </row>
    <row r="285" spans="24:27">
      <c r="X285" s="53">
        <v>373</v>
      </c>
      <c r="Y285" s="78">
        <v>0.28000000000000003</v>
      </c>
      <c r="Z285" s="151">
        <v>76805</v>
      </c>
      <c r="AA285" s="62">
        <v>8382</v>
      </c>
    </row>
    <row r="286" spans="24:27">
      <c r="X286" s="53">
        <v>373</v>
      </c>
      <c r="Y286" s="78">
        <v>0.27</v>
      </c>
      <c r="Z286" s="151">
        <v>77704</v>
      </c>
      <c r="AA286" s="62">
        <v>8667</v>
      </c>
    </row>
    <row r="287" spans="24:27">
      <c r="X287" s="53">
        <v>373</v>
      </c>
      <c r="Y287" s="78">
        <v>0.26</v>
      </c>
      <c r="Z287" s="151">
        <v>78587</v>
      </c>
      <c r="AA287" s="62">
        <v>8972.1</v>
      </c>
    </row>
    <row r="288" spans="24:27">
      <c r="X288" s="53">
        <v>373</v>
      </c>
      <c r="Y288" s="78">
        <v>0.25</v>
      </c>
      <c r="Z288" s="151">
        <v>79453</v>
      </c>
      <c r="AA288" s="62">
        <v>9299.6</v>
      </c>
    </row>
    <row r="289" spans="24:27">
      <c r="X289" s="53">
        <v>373</v>
      </c>
      <c r="Y289" s="78">
        <v>0.24</v>
      </c>
      <c r="Z289" s="151">
        <v>80303</v>
      </c>
      <c r="AA289" s="62">
        <v>9651.7999999999993</v>
      </c>
    </row>
    <row r="290" spans="24:27">
      <c r="X290" s="53">
        <v>373</v>
      </c>
      <c r="Y290" s="78">
        <v>0.23</v>
      </c>
      <c r="Z290" s="151">
        <v>81137</v>
      </c>
      <c r="AA290" s="63">
        <v>10032</v>
      </c>
    </row>
    <row r="291" spans="24:27">
      <c r="X291" s="53">
        <v>373</v>
      </c>
      <c r="Y291" s="78">
        <v>0.22</v>
      </c>
      <c r="Z291" s="151">
        <v>81956</v>
      </c>
      <c r="AA291" s="63">
        <v>10443</v>
      </c>
    </row>
    <row r="292" spans="24:27">
      <c r="X292" s="53">
        <v>373</v>
      </c>
      <c r="Y292" s="78">
        <v>0.21</v>
      </c>
      <c r="Z292" s="151">
        <v>82760</v>
      </c>
      <c r="AA292" s="63">
        <v>10890</v>
      </c>
    </row>
    <row r="293" spans="24:27">
      <c r="X293" s="53">
        <v>373</v>
      </c>
      <c r="Y293" s="78">
        <v>0.2</v>
      </c>
      <c r="Z293" s="151">
        <v>83551</v>
      </c>
      <c r="AA293" s="63">
        <v>11376</v>
      </c>
    </row>
    <row r="294" spans="24:27">
      <c r="X294" s="53">
        <v>373</v>
      </c>
      <c r="Y294" s="78">
        <v>0.19</v>
      </c>
      <c r="Z294" s="151">
        <v>84330</v>
      </c>
      <c r="AA294" s="63">
        <v>11909</v>
      </c>
    </row>
    <row r="295" spans="24:27">
      <c r="X295" s="53">
        <v>373</v>
      </c>
      <c r="Y295" s="78">
        <v>0.18</v>
      </c>
      <c r="Z295" s="151">
        <v>85096</v>
      </c>
      <c r="AA295" s="63">
        <v>12493</v>
      </c>
    </row>
    <row r="296" spans="24:27">
      <c r="X296" s="53">
        <v>373</v>
      </c>
      <c r="Y296" s="78">
        <v>0.17</v>
      </c>
      <c r="Z296" s="151">
        <v>85853</v>
      </c>
      <c r="AA296" s="63">
        <v>13139</v>
      </c>
    </row>
    <row r="297" spans="24:27">
      <c r="X297" s="53">
        <v>373</v>
      </c>
      <c r="Y297" s="78">
        <v>0.16</v>
      </c>
      <c r="Z297" s="151">
        <v>86600</v>
      </c>
      <c r="AA297" s="63">
        <v>13855</v>
      </c>
    </row>
    <row r="298" spans="24:27">
      <c r="X298" s="53">
        <v>373</v>
      </c>
      <c r="Y298" s="78">
        <v>0.15</v>
      </c>
      <c r="Z298" s="151">
        <v>87340</v>
      </c>
      <c r="AA298" s="63">
        <v>14654</v>
      </c>
    </row>
    <row r="299" spans="24:27">
      <c r="X299" s="53">
        <v>373</v>
      </c>
      <c r="Y299" s="78">
        <v>0.14000000000000001</v>
      </c>
      <c r="Z299" s="151">
        <v>88074</v>
      </c>
      <c r="AA299" s="63">
        <v>15551</v>
      </c>
    </row>
    <row r="300" spans="24:27">
      <c r="X300" s="53">
        <v>373</v>
      </c>
      <c r="Y300" s="78">
        <v>0.13</v>
      </c>
      <c r="Z300" s="151">
        <v>88803</v>
      </c>
      <c r="AA300" s="63">
        <v>16567</v>
      </c>
    </row>
    <row r="301" spans="24:27">
      <c r="X301" s="53">
        <v>373</v>
      </c>
      <c r="Y301" s="78">
        <v>0.12</v>
      </c>
      <c r="Z301" s="151">
        <v>89530</v>
      </c>
      <c r="AA301" s="63">
        <v>17725</v>
      </c>
    </row>
    <row r="302" spans="24:27">
      <c r="X302" s="53">
        <v>373</v>
      </c>
      <c r="Y302" s="78">
        <v>0.11</v>
      </c>
      <c r="Z302" s="151">
        <v>90257</v>
      </c>
      <c r="AA302" s="63">
        <v>19059</v>
      </c>
    </row>
    <row r="303" spans="24:27">
      <c r="X303" s="53">
        <v>373</v>
      </c>
      <c r="Y303" s="78">
        <v>0.1</v>
      </c>
      <c r="Z303" s="151">
        <v>90986</v>
      </c>
      <c r="AA303" s="63">
        <v>20612</v>
      </c>
    </row>
    <row r="304" spans="24:27">
      <c r="X304" s="53">
        <v>373</v>
      </c>
      <c r="Y304" s="78">
        <v>0.09</v>
      </c>
      <c r="Z304" s="151">
        <v>91720</v>
      </c>
      <c r="AA304" s="63">
        <v>22444</v>
      </c>
    </row>
    <row r="305" spans="24:27">
      <c r="X305" s="53">
        <v>373</v>
      </c>
      <c r="Y305" s="78">
        <v>0.08</v>
      </c>
      <c r="Z305" s="151">
        <v>92460</v>
      </c>
      <c r="AA305" s="63">
        <v>24639</v>
      </c>
    </row>
    <row r="306" spans="24:27">
      <c r="X306" s="53">
        <v>373</v>
      </c>
      <c r="Y306" s="78">
        <v>7.0000000000000007E-2</v>
      </c>
      <c r="Z306" s="151">
        <v>93211</v>
      </c>
      <c r="AA306" s="63">
        <v>27315</v>
      </c>
    </row>
    <row r="307" spans="24:27">
      <c r="X307" s="53">
        <v>373</v>
      </c>
      <c r="Y307" s="78">
        <v>0.06</v>
      </c>
      <c r="Z307" s="151">
        <v>93976</v>
      </c>
      <c r="AA307" s="63">
        <v>30653</v>
      </c>
    </row>
    <row r="308" spans="24:27">
      <c r="X308" s="53">
        <v>373</v>
      </c>
      <c r="Y308" s="78">
        <v>0.05</v>
      </c>
      <c r="Z308" s="151">
        <v>94758</v>
      </c>
      <c r="AA308" s="63">
        <v>34937</v>
      </c>
    </row>
    <row r="309" spans="24:27">
      <c r="X309" s="53">
        <v>373</v>
      </c>
      <c r="Y309" s="78">
        <v>0.04</v>
      </c>
      <c r="Z309" s="151">
        <v>95561</v>
      </c>
      <c r="AA309" s="63">
        <v>40635</v>
      </c>
    </row>
    <row r="310" spans="24:27">
      <c r="X310" s="53">
        <v>373</v>
      </c>
      <c r="Y310" s="78">
        <v>0.03</v>
      </c>
      <c r="Z310" s="151">
        <v>96390</v>
      </c>
      <c r="AA310" s="63">
        <v>48580</v>
      </c>
    </row>
    <row r="311" spans="24:27">
      <c r="X311" s="53">
        <v>373</v>
      </c>
      <c r="Y311" s="78">
        <v>0.02</v>
      </c>
      <c r="Z311" s="151">
        <v>97250</v>
      </c>
      <c r="AA311" s="63">
        <v>60335</v>
      </c>
    </row>
    <row r="312" spans="24:27">
      <c r="X312" s="53">
        <v>373</v>
      </c>
      <c r="Y312" s="78">
        <v>0.01</v>
      </c>
      <c r="Z312" s="151">
        <v>98146</v>
      </c>
      <c r="AA312" s="63">
        <v>78516</v>
      </c>
    </row>
    <row r="313" spans="24:27">
      <c r="X313" s="53">
        <v>373</v>
      </c>
      <c r="Y313" s="78">
        <v>0</v>
      </c>
      <c r="Z313" s="151">
        <v>99085</v>
      </c>
      <c r="AA313" s="63">
        <v>99085</v>
      </c>
    </row>
    <row r="314" spans="24:27">
      <c r="X314" s="53"/>
      <c r="Y314" s="38"/>
      <c r="Z314" s="38"/>
      <c r="AA314" s="15"/>
    </row>
    <row r="315" spans="24:27">
      <c r="X315" s="53">
        <v>413</v>
      </c>
      <c r="Y315" s="78">
        <v>1</v>
      </c>
      <c r="Z315" s="151">
        <v>14086</v>
      </c>
      <c r="AA315" s="63">
        <v>14086</v>
      </c>
    </row>
    <row r="316" spans="24:27">
      <c r="X316" s="53">
        <v>413</v>
      </c>
      <c r="Y316" s="78">
        <v>0.99</v>
      </c>
      <c r="Z316" s="151">
        <v>16650</v>
      </c>
      <c r="AA316" s="63">
        <v>14225</v>
      </c>
    </row>
    <row r="317" spans="24:27">
      <c r="X317" s="53">
        <v>413</v>
      </c>
      <c r="Y317" s="78">
        <v>0.98</v>
      </c>
      <c r="Z317" s="151">
        <v>19261</v>
      </c>
      <c r="AA317" s="63">
        <v>14368</v>
      </c>
    </row>
    <row r="318" spans="24:27">
      <c r="X318" s="53">
        <v>413</v>
      </c>
      <c r="Y318" s="78">
        <v>0.97</v>
      </c>
      <c r="Z318" s="151">
        <v>21917</v>
      </c>
      <c r="AA318" s="63">
        <v>14513</v>
      </c>
    </row>
    <row r="319" spans="24:27">
      <c r="X319" s="53">
        <v>413</v>
      </c>
      <c r="Y319" s="78">
        <v>0.96</v>
      </c>
      <c r="Z319" s="151">
        <v>24621</v>
      </c>
      <c r="AA319" s="63">
        <v>14661</v>
      </c>
    </row>
    <row r="320" spans="24:27">
      <c r="X320" s="53">
        <v>413</v>
      </c>
      <c r="Y320" s="78">
        <v>0.95</v>
      </c>
      <c r="Z320" s="151">
        <v>27371</v>
      </c>
      <c r="AA320" s="63">
        <v>14813</v>
      </c>
    </row>
    <row r="321" spans="24:27">
      <c r="X321" s="53">
        <v>413</v>
      </c>
      <c r="Y321" s="78">
        <v>0.94</v>
      </c>
      <c r="Z321" s="151">
        <v>30169</v>
      </c>
      <c r="AA321" s="63">
        <v>14967</v>
      </c>
    </row>
    <row r="322" spans="24:27">
      <c r="X322" s="53">
        <v>413</v>
      </c>
      <c r="Y322" s="78">
        <v>0.93</v>
      </c>
      <c r="Z322" s="151">
        <v>33015</v>
      </c>
      <c r="AA322" s="63">
        <v>15125</v>
      </c>
    </row>
    <row r="323" spans="24:27">
      <c r="X323" s="53">
        <v>413</v>
      </c>
      <c r="Y323" s="78">
        <v>0.92</v>
      </c>
      <c r="Z323" s="151">
        <v>35910</v>
      </c>
      <c r="AA323" s="63">
        <v>15286</v>
      </c>
    </row>
    <row r="324" spans="24:27">
      <c r="X324" s="53">
        <v>413</v>
      </c>
      <c r="Y324" s="78">
        <v>0.91</v>
      </c>
      <c r="Z324" s="151">
        <v>38853</v>
      </c>
      <c r="AA324" s="63">
        <v>15450</v>
      </c>
    </row>
    <row r="325" spans="24:27">
      <c r="X325" s="53">
        <v>413</v>
      </c>
      <c r="Y325" s="78">
        <v>0.9</v>
      </c>
      <c r="Z325" s="151">
        <v>41845</v>
      </c>
      <c r="AA325" s="63">
        <v>15618</v>
      </c>
    </row>
    <row r="326" spans="24:27">
      <c r="X326" s="53">
        <v>413</v>
      </c>
      <c r="Y326" s="78">
        <v>0.89</v>
      </c>
      <c r="Z326" s="151">
        <v>44887</v>
      </c>
      <c r="AA326" s="63">
        <v>15789</v>
      </c>
    </row>
    <row r="327" spans="24:27">
      <c r="X327" s="53">
        <v>413</v>
      </c>
      <c r="Y327" s="78">
        <v>0.88</v>
      </c>
      <c r="Z327" s="151">
        <v>47977</v>
      </c>
      <c r="AA327" s="63">
        <v>15965</v>
      </c>
    </row>
    <row r="328" spans="24:27">
      <c r="X328" s="53">
        <v>413</v>
      </c>
      <c r="Y328" s="78">
        <v>0.87</v>
      </c>
      <c r="Z328" s="151">
        <v>51118</v>
      </c>
      <c r="AA328" s="63">
        <v>16144</v>
      </c>
    </row>
    <row r="329" spans="24:27">
      <c r="X329" s="53">
        <v>413</v>
      </c>
      <c r="Y329" s="78">
        <v>0.86</v>
      </c>
      <c r="Z329" s="151">
        <v>54307</v>
      </c>
      <c r="AA329" s="63">
        <v>16327</v>
      </c>
    </row>
    <row r="330" spans="24:27">
      <c r="X330" s="53">
        <v>413</v>
      </c>
      <c r="Y330" s="78">
        <v>0.85</v>
      </c>
      <c r="Z330" s="151">
        <v>57547</v>
      </c>
      <c r="AA330" s="63">
        <v>16514</v>
      </c>
    </row>
    <row r="331" spans="24:27">
      <c r="X331" s="53">
        <v>413</v>
      </c>
      <c r="Y331" s="78">
        <v>0.84</v>
      </c>
      <c r="Z331" s="151">
        <v>60836</v>
      </c>
      <c r="AA331" s="63">
        <v>16706</v>
      </c>
    </row>
    <row r="332" spans="24:27">
      <c r="X332" s="53">
        <v>413</v>
      </c>
      <c r="Y332" s="78">
        <v>0.83</v>
      </c>
      <c r="Z332" s="151">
        <v>64174</v>
      </c>
      <c r="AA332" s="63">
        <v>16902</v>
      </c>
    </row>
    <row r="333" spans="24:27">
      <c r="X333" s="53">
        <v>413</v>
      </c>
      <c r="Y333" s="78">
        <v>0.82</v>
      </c>
      <c r="Z333" s="151">
        <v>67561</v>
      </c>
      <c r="AA333" s="63">
        <v>17103</v>
      </c>
    </row>
    <row r="334" spans="24:27">
      <c r="X334" s="53">
        <v>413</v>
      </c>
      <c r="Y334" s="78">
        <v>0.81</v>
      </c>
      <c r="Z334" s="151">
        <v>70998</v>
      </c>
      <c r="AA334" s="63">
        <v>17309</v>
      </c>
    </row>
    <row r="335" spans="24:27">
      <c r="X335" s="53">
        <v>413</v>
      </c>
      <c r="Y335" s="78">
        <v>0.8</v>
      </c>
      <c r="Z335" s="151">
        <v>74482</v>
      </c>
      <c r="AA335" s="63">
        <v>17519</v>
      </c>
    </row>
    <row r="336" spans="24:27">
      <c r="X336" s="53">
        <v>413</v>
      </c>
      <c r="Y336" s="78">
        <v>0.79</v>
      </c>
      <c r="Z336" s="151">
        <v>78015</v>
      </c>
      <c r="AA336" s="63">
        <v>17735</v>
      </c>
    </row>
    <row r="337" spans="24:27">
      <c r="X337" s="53">
        <v>413</v>
      </c>
      <c r="Y337" s="78">
        <v>0.78</v>
      </c>
      <c r="Z337" s="151">
        <v>81595</v>
      </c>
      <c r="AA337" s="63">
        <v>17956</v>
      </c>
    </row>
    <row r="338" spans="24:27">
      <c r="X338" s="53">
        <v>413</v>
      </c>
      <c r="Y338" s="78">
        <v>0.77</v>
      </c>
      <c r="Z338" s="151">
        <v>85222</v>
      </c>
      <c r="AA338" s="63">
        <v>18182</v>
      </c>
    </row>
    <row r="339" spans="24:27">
      <c r="X339" s="53">
        <v>413</v>
      </c>
      <c r="Y339" s="78">
        <v>0.76</v>
      </c>
      <c r="Z339" s="151">
        <v>88895</v>
      </c>
      <c r="AA339" s="63">
        <v>18414</v>
      </c>
    </row>
    <row r="340" spans="24:27">
      <c r="X340" s="53">
        <v>413</v>
      </c>
      <c r="Y340" s="78">
        <v>0.75</v>
      </c>
      <c r="Z340" s="151">
        <v>92613</v>
      </c>
      <c r="AA340" s="63">
        <v>18652</v>
      </c>
    </row>
    <row r="341" spans="24:27">
      <c r="X341" s="53">
        <v>413</v>
      </c>
      <c r="Y341" s="78">
        <v>0.74</v>
      </c>
      <c r="Z341" s="151">
        <v>96375</v>
      </c>
      <c r="AA341" s="63">
        <v>18897</v>
      </c>
    </row>
    <row r="342" spans="24:27">
      <c r="X342" s="53">
        <v>413</v>
      </c>
      <c r="Y342" s="78">
        <v>0.73</v>
      </c>
      <c r="Z342" s="151">
        <v>100180</v>
      </c>
      <c r="AA342" s="63">
        <v>19147</v>
      </c>
    </row>
    <row r="343" spans="24:27">
      <c r="X343" s="53">
        <v>413</v>
      </c>
      <c r="Y343" s="78">
        <v>0.72</v>
      </c>
      <c r="Z343" s="151">
        <v>104030</v>
      </c>
      <c r="AA343" s="63">
        <v>19405</v>
      </c>
    </row>
    <row r="344" spans="24:27">
      <c r="X344" s="53">
        <v>413</v>
      </c>
      <c r="Y344" s="78">
        <v>0.71</v>
      </c>
      <c r="Z344" s="151">
        <v>107920</v>
      </c>
      <c r="AA344" s="63">
        <v>19669</v>
      </c>
    </row>
    <row r="345" spans="24:27">
      <c r="X345" s="53">
        <v>413</v>
      </c>
      <c r="Y345" s="78">
        <v>0.7</v>
      </c>
      <c r="Z345" s="151">
        <v>111840</v>
      </c>
      <c r="AA345" s="63">
        <v>19941</v>
      </c>
    </row>
    <row r="346" spans="24:27">
      <c r="X346" s="53">
        <v>413</v>
      </c>
      <c r="Y346" s="78">
        <v>0.69</v>
      </c>
      <c r="Z346" s="151">
        <v>115810</v>
      </c>
      <c r="AA346" s="63">
        <v>20220</v>
      </c>
    </row>
    <row r="347" spans="24:27">
      <c r="X347" s="53">
        <v>413</v>
      </c>
      <c r="Y347" s="78">
        <v>0.68</v>
      </c>
      <c r="Z347" s="151">
        <v>119810</v>
      </c>
      <c r="AA347" s="63">
        <v>20507</v>
      </c>
    </row>
    <row r="348" spans="24:27">
      <c r="X348" s="53">
        <v>413</v>
      </c>
      <c r="Y348" s="78">
        <v>0.67</v>
      </c>
      <c r="Z348" s="151">
        <v>123840</v>
      </c>
      <c r="AA348" s="63">
        <v>20802</v>
      </c>
    </row>
    <row r="349" spans="24:27">
      <c r="X349" s="53">
        <v>413</v>
      </c>
      <c r="Y349" s="78">
        <v>0.66</v>
      </c>
      <c r="Z349" s="151">
        <v>127910</v>
      </c>
      <c r="AA349" s="63">
        <v>21106</v>
      </c>
    </row>
    <row r="350" spans="24:27">
      <c r="X350" s="53">
        <v>413</v>
      </c>
      <c r="Y350" s="78">
        <v>0.65</v>
      </c>
      <c r="Z350" s="151">
        <v>132010</v>
      </c>
      <c r="AA350" s="63">
        <v>21419</v>
      </c>
    </row>
    <row r="351" spans="24:27">
      <c r="X351" s="53">
        <v>413</v>
      </c>
      <c r="Y351" s="78">
        <v>0.64</v>
      </c>
      <c r="Z351" s="151">
        <v>136130</v>
      </c>
      <c r="AA351" s="63">
        <v>21741</v>
      </c>
    </row>
    <row r="352" spans="24:27">
      <c r="X352" s="53">
        <v>413</v>
      </c>
      <c r="Y352" s="78">
        <v>0.63</v>
      </c>
      <c r="Z352" s="151">
        <v>140280</v>
      </c>
      <c r="AA352" s="63">
        <v>22073</v>
      </c>
    </row>
    <row r="353" spans="24:27">
      <c r="X353" s="53">
        <v>413</v>
      </c>
      <c r="Y353" s="78">
        <v>0.62</v>
      </c>
      <c r="Z353" s="151">
        <v>144460</v>
      </c>
      <c r="AA353" s="63">
        <v>22415</v>
      </c>
    </row>
    <row r="354" spans="24:27">
      <c r="X354" s="53">
        <v>413</v>
      </c>
      <c r="Y354" s="78">
        <v>0.61</v>
      </c>
      <c r="Z354" s="151">
        <v>148650</v>
      </c>
      <c r="AA354" s="63">
        <v>22767</v>
      </c>
    </row>
    <row r="355" spans="24:27">
      <c r="X355" s="53">
        <v>413</v>
      </c>
      <c r="Y355" s="78">
        <v>0.6</v>
      </c>
      <c r="Z355" s="151">
        <v>152870</v>
      </c>
      <c r="AA355" s="63">
        <v>23131</v>
      </c>
    </row>
    <row r="356" spans="24:27">
      <c r="X356" s="53">
        <v>413</v>
      </c>
      <c r="Y356" s="78">
        <v>0.59</v>
      </c>
      <c r="Z356" s="151">
        <v>157100</v>
      </c>
      <c r="AA356" s="63">
        <v>23507</v>
      </c>
    </row>
    <row r="357" spans="24:27">
      <c r="X357" s="53">
        <v>413</v>
      </c>
      <c r="Y357" s="78">
        <v>0.57999999999999996</v>
      </c>
      <c r="Z357" s="151">
        <v>161340</v>
      </c>
      <c r="AA357" s="63">
        <v>23895</v>
      </c>
    </row>
    <row r="358" spans="24:27">
      <c r="X358" s="53">
        <v>413</v>
      </c>
      <c r="Y358" s="78">
        <v>0.56999999999999995</v>
      </c>
      <c r="Z358" s="151">
        <v>165600</v>
      </c>
      <c r="AA358" s="63">
        <v>24295</v>
      </c>
    </row>
    <row r="359" spans="24:27">
      <c r="X359" s="53">
        <v>413</v>
      </c>
      <c r="Y359" s="78">
        <v>0.56000000000000005</v>
      </c>
      <c r="Z359" s="151">
        <v>169860</v>
      </c>
      <c r="AA359" s="63">
        <v>24710</v>
      </c>
    </row>
    <row r="360" spans="24:27">
      <c r="X360" s="53">
        <v>413</v>
      </c>
      <c r="Y360" s="78">
        <v>0.55000000000000004</v>
      </c>
      <c r="Z360" s="151">
        <v>174120</v>
      </c>
      <c r="AA360" s="63">
        <v>25139</v>
      </c>
    </row>
    <row r="361" spans="24:27">
      <c r="X361" s="53">
        <v>413</v>
      </c>
      <c r="Y361" s="78">
        <v>0.54</v>
      </c>
      <c r="Z361" s="151">
        <v>178390</v>
      </c>
      <c r="AA361" s="63">
        <v>25582</v>
      </c>
    </row>
    <row r="362" spans="24:27">
      <c r="X362" s="53">
        <v>413</v>
      </c>
      <c r="Y362" s="78">
        <v>0.53</v>
      </c>
      <c r="Z362" s="151">
        <v>182650</v>
      </c>
      <c r="AA362" s="63">
        <v>26042</v>
      </c>
    </row>
    <row r="363" spans="24:27">
      <c r="X363" s="53">
        <v>413</v>
      </c>
      <c r="Y363" s="78">
        <v>0.52</v>
      </c>
      <c r="Z363" s="151">
        <v>186910</v>
      </c>
      <c r="AA363" s="63">
        <v>26518</v>
      </c>
    </row>
    <row r="364" spans="24:27">
      <c r="X364" s="53">
        <v>413</v>
      </c>
      <c r="Y364" s="78">
        <v>0.51</v>
      </c>
      <c r="Z364" s="151">
        <v>191160</v>
      </c>
      <c r="AA364" s="63">
        <v>27012</v>
      </c>
    </row>
    <row r="365" spans="24:27">
      <c r="X365" s="53">
        <v>413</v>
      </c>
      <c r="Y365" s="78">
        <v>0.5</v>
      </c>
      <c r="Z365" s="151">
        <v>195400</v>
      </c>
      <c r="AA365" s="63">
        <v>27525</v>
      </c>
    </row>
    <row r="366" spans="24:27">
      <c r="X366" s="53">
        <v>413</v>
      </c>
      <c r="Y366" s="78">
        <v>0.49</v>
      </c>
      <c r="Z366" s="151">
        <v>199620</v>
      </c>
      <c r="AA366" s="63">
        <v>28057</v>
      </c>
    </row>
    <row r="367" spans="24:27">
      <c r="X367" s="53">
        <v>413</v>
      </c>
      <c r="Y367" s="78">
        <v>0.48</v>
      </c>
      <c r="Z367" s="151">
        <v>203820</v>
      </c>
      <c r="AA367" s="63">
        <v>28610</v>
      </c>
    </row>
    <row r="368" spans="24:27">
      <c r="X368" s="53">
        <v>413</v>
      </c>
      <c r="Y368" s="78">
        <v>0.47</v>
      </c>
      <c r="Z368" s="151">
        <v>208010</v>
      </c>
      <c r="AA368" s="63">
        <v>29185</v>
      </c>
    </row>
    <row r="369" spans="24:27">
      <c r="X369" s="53">
        <v>413</v>
      </c>
      <c r="Y369" s="78">
        <v>0.46</v>
      </c>
      <c r="Z369" s="151">
        <v>212160</v>
      </c>
      <c r="AA369" s="63">
        <v>29784</v>
      </c>
    </row>
    <row r="370" spans="24:27">
      <c r="X370" s="53">
        <v>413</v>
      </c>
      <c r="Y370" s="78">
        <v>0.45</v>
      </c>
      <c r="Z370" s="151">
        <v>216290</v>
      </c>
      <c r="AA370" s="63">
        <v>30408</v>
      </c>
    </row>
    <row r="371" spans="24:27">
      <c r="X371" s="53">
        <v>413</v>
      </c>
      <c r="Y371" s="78">
        <v>0.44</v>
      </c>
      <c r="Z371" s="151">
        <v>220380</v>
      </c>
      <c r="AA371" s="63">
        <v>31058</v>
      </c>
    </row>
    <row r="372" spans="24:27">
      <c r="X372" s="53">
        <v>413</v>
      </c>
      <c r="Y372" s="78">
        <v>0.43</v>
      </c>
      <c r="Z372" s="151">
        <v>224440</v>
      </c>
      <c r="AA372" s="63">
        <v>31736</v>
      </c>
    </row>
    <row r="373" spans="24:27">
      <c r="X373" s="53">
        <v>413</v>
      </c>
      <c r="Y373" s="78">
        <v>0.42</v>
      </c>
      <c r="Z373" s="151">
        <v>228470</v>
      </c>
      <c r="AA373" s="63">
        <v>32445</v>
      </c>
    </row>
    <row r="374" spans="24:27">
      <c r="X374" s="53">
        <v>413</v>
      </c>
      <c r="Y374" s="78">
        <v>0.41</v>
      </c>
      <c r="Z374" s="151">
        <v>232450</v>
      </c>
      <c r="AA374" s="63">
        <v>33186</v>
      </c>
    </row>
    <row r="375" spans="24:27">
      <c r="X375" s="53">
        <v>413</v>
      </c>
      <c r="Y375" s="78">
        <v>0.4</v>
      </c>
      <c r="Z375" s="151">
        <v>236380</v>
      </c>
      <c r="AA375" s="63">
        <v>33961</v>
      </c>
    </row>
    <row r="376" spans="24:27">
      <c r="X376" s="53">
        <v>413</v>
      </c>
      <c r="Y376" s="78">
        <v>0.39</v>
      </c>
      <c r="Z376" s="151">
        <v>240270</v>
      </c>
      <c r="AA376" s="63">
        <v>34773</v>
      </c>
    </row>
    <row r="377" spans="24:27">
      <c r="X377" s="53">
        <v>413</v>
      </c>
      <c r="Y377" s="78">
        <v>0.38</v>
      </c>
      <c r="Z377" s="151">
        <v>244110</v>
      </c>
      <c r="AA377" s="63">
        <v>35625</v>
      </c>
    </row>
    <row r="378" spans="24:27">
      <c r="X378" s="53">
        <v>413</v>
      </c>
      <c r="Y378" s="78">
        <v>0.37</v>
      </c>
      <c r="Z378" s="151">
        <v>247890</v>
      </c>
      <c r="AA378" s="63">
        <v>36519</v>
      </c>
    </row>
    <row r="379" spans="24:27">
      <c r="X379" s="53">
        <v>413</v>
      </c>
      <c r="Y379" s="78">
        <v>0.36</v>
      </c>
      <c r="Z379" s="151">
        <v>251620</v>
      </c>
      <c r="AA379" s="63">
        <v>37459</v>
      </c>
    </row>
    <row r="380" spans="24:27">
      <c r="X380" s="53">
        <v>413</v>
      </c>
      <c r="Y380" s="78">
        <v>0.35</v>
      </c>
      <c r="Z380" s="151">
        <v>255300</v>
      </c>
      <c r="AA380" s="63">
        <v>38449</v>
      </c>
    </row>
    <row r="381" spans="24:27">
      <c r="X381" s="53">
        <v>413</v>
      </c>
      <c r="Y381" s="78">
        <v>0.34</v>
      </c>
      <c r="Z381" s="151">
        <v>258910</v>
      </c>
      <c r="AA381" s="63">
        <v>39492</v>
      </c>
    </row>
    <row r="382" spans="24:27">
      <c r="X382" s="53">
        <v>413</v>
      </c>
      <c r="Y382" s="78">
        <v>0.33</v>
      </c>
      <c r="Z382" s="151">
        <v>262460</v>
      </c>
      <c r="AA382" s="63">
        <v>40594</v>
      </c>
    </row>
    <row r="383" spans="24:27">
      <c r="X383" s="53">
        <v>413</v>
      </c>
      <c r="Y383" s="78">
        <v>0.32</v>
      </c>
      <c r="Z383" s="151">
        <v>265950</v>
      </c>
      <c r="AA383" s="63">
        <v>41758</v>
      </c>
    </row>
    <row r="384" spans="24:27">
      <c r="X384" s="53">
        <v>413</v>
      </c>
      <c r="Y384" s="78">
        <v>0.31</v>
      </c>
      <c r="Z384" s="151">
        <v>269380</v>
      </c>
      <c r="AA384" s="63">
        <v>42990</v>
      </c>
    </row>
    <row r="385" spans="24:27">
      <c r="X385" s="53">
        <v>413</v>
      </c>
      <c r="Y385" s="78">
        <v>0.3</v>
      </c>
      <c r="Z385" s="151">
        <v>272740</v>
      </c>
      <c r="AA385" s="63">
        <v>44297</v>
      </c>
    </row>
    <row r="386" spans="24:27">
      <c r="X386" s="53">
        <v>413</v>
      </c>
      <c r="Y386" s="78">
        <v>0.28999999999999998</v>
      </c>
      <c r="Z386" s="151">
        <v>276040</v>
      </c>
      <c r="AA386" s="63">
        <v>45686</v>
      </c>
    </row>
    <row r="387" spans="24:27">
      <c r="X387" s="53">
        <v>413</v>
      </c>
      <c r="Y387" s="78">
        <v>0.28000000000000003</v>
      </c>
      <c r="Z387" s="151">
        <v>279260</v>
      </c>
      <c r="AA387" s="63">
        <v>47165</v>
      </c>
    </row>
    <row r="388" spans="24:27">
      <c r="X388" s="53">
        <v>413</v>
      </c>
      <c r="Y388" s="78">
        <v>0.27</v>
      </c>
      <c r="Z388" s="151">
        <v>282430</v>
      </c>
      <c r="AA388" s="63">
        <v>48742</v>
      </c>
    </row>
    <row r="389" spans="24:27">
      <c r="X389" s="53">
        <v>413</v>
      </c>
      <c r="Y389" s="78">
        <v>0.26</v>
      </c>
      <c r="Z389" s="151">
        <v>285520</v>
      </c>
      <c r="AA389" s="63">
        <v>50428</v>
      </c>
    </row>
    <row r="390" spans="24:27">
      <c r="X390" s="53">
        <v>413</v>
      </c>
      <c r="Y390" s="78">
        <v>0.25</v>
      </c>
      <c r="Z390" s="151">
        <v>288550</v>
      </c>
      <c r="AA390" s="63">
        <v>52235</v>
      </c>
    </row>
    <row r="391" spans="24:27">
      <c r="X391" s="53">
        <v>413</v>
      </c>
      <c r="Y391" s="78">
        <v>0.24</v>
      </c>
      <c r="Z391" s="151">
        <v>291520</v>
      </c>
      <c r="AA391" s="63">
        <v>54175</v>
      </c>
    </row>
    <row r="392" spans="24:27">
      <c r="X392" s="53">
        <v>413</v>
      </c>
      <c r="Y392" s="78">
        <v>0.23</v>
      </c>
      <c r="Z392" s="151">
        <v>294420</v>
      </c>
      <c r="AA392" s="63">
        <v>56265</v>
      </c>
    </row>
    <row r="393" spans="24:27">
      <c r="X393" s="53">
        <v>413</v>
      </c>
      <c r="Y393" s="78">
        <v>0.22</v>
      </c>
      <c r="Z393" s="151">
        <v>297260</v>
      </c>
      <c r="AA393" s="63">
        <v>58521</v>
      </c>
    </row>
    <row r="394" spans="24:27">
      <c r="X394" s="53">
        <v>413</v>
      </c>
      <c r="Y394" s="78">
        <v>0.21</v>
      </c>
      <c r="Z394" s="151">
        <v>300040</v>
      </c>
      <c r="AA394" s="63">
        <v>60966</v>
      </c>
    </row>
    <row r="395" spans="24:27">
      <c r="X395" s="53">
        <v>413</v>
      </c>
      <c r="Y395" s="78">
        <v>0.2</v>
      </c>
      <c r="Z395" s="151">
        <v>302760</v>
      </c>
      <c r="AA395" s="63">
        <v>63624</v>
      </c>
    </row>
    <row r="396" spans="24:27">
      <c r="X396" s="53">
        <v>413</v>
      </c>
      <c r="Y396" s="78">
        <v>0.19</v>
      </c>
      <c r="Z396" s="151">
        <v>305430</v>
      </c>
      <c r="AA396" s="63">
        <v>66523</v>
      </c>
    </row>
    <row r="397" spans="24:27">
      <c r="X397" s="53">
        <v>413</v>
      </c>
      <c r="Y397" s="78">
        <v>0.18</v>
      </c>
      <c r="Z397" s="151">
        <v>308050</v>
      </c>
      <c r="AA397" s="63">
        <v>69698</v>
      </c>
    </row>
    <row r="398" spans="24:27">
      <c r="X398" s="53">
        <v>413</v>
      </c>
      <c r="Y398" s="78">
        <v>0.17</v>
      </c>
      <c r="Z398" s="151">
        <v>310620</v>
      </c>
      <c r="AA398" s="63">
        <v>73190</v>
      </c>
    </row>
    <row r="399" spans="24:27">
      <c r="X399" s="53">
        <v>413</v>
      </c>
      <c r="Y399" s="78">
        <v>0.16</v>
      </c>
      <c r="Z399" s="151">
        <v>313150</v>
      </c>
      <c r="AA399" s="63">
        <v>77050</v>
      </c>
    </row>
    <row r="400" spans="24:27">
      <c r="X400" s="53">
        <v>413</v>
      </c>
      <c r="Y400" s="78">
        <v>0.15</v>
      </c>
      <c r="Z400" s="151">
        <v>315640</v>
      </c>
      <c r="AA400" s="63">
        <v>81338</v>
      </c>
    </row>
    <row r="401" spans="24:27">
      <c r="X401" s="53">
        <v>413</v>
      </c>
      <c r="Y401" s="78">
        <v>0.14000000000000001</v>
      </c>
      <c r="Z401" s="151">
        <v>318110</v>
      </c>
      <c r="AA401" s="63">
        <v>86130</v>
      </c>
    </row>
    <row r="402" spans="24:27">
      <c r="X402" s="53">
        <v>413</v>
      </c>
      <c r="Y402" s="78">
        <v>0.13</v>
      </c>
      <c r="Z402" s="151">
        <v>320550</v>
      </c>
      <c r="AA402" s="63">
        <v>91519</v>
      </c>
    </row>
    <row r="403" spans="24:27">
      <c r="X403" s="53">
        <v>413</v>
      </c>
      <c r="Y403" s="78">
        <v>0.12</v>
      </c>
      <c r="Z403" s="151">
        <v>322980</v>
      </c>
      <c r="AA403" s="63">
        <v>97623</v>
      </c>
    </row>
    <row r="404" spans="24:27">
      <c r="X404" s="53">
        <v>413</v>
      </c>
      <c r="Y404" s="78">
        <v>0.11</v>
      </c>
      <c r="Z404" s="151">
        <v>325400</v>
      </c>
      <c r="AA404" s="63">
        <v>104600</v>
      </c>
    </row>
    <row r="405" spans="24:27">
      <c r="X405" s="53">
        <v>413</v>
      </c>
      <c r="Y405" s="78">
        <v>0.1</v>
      </c>
      <c r="Z405" s="151">
        <v>327820</v>
      </c>
      <c r="AA405" s="63">
        <v>112630</v>
      </c>
    </row>
    <row r="406" spans="24:27">
      <c r="X406" s="53">
        <v>413</v>
      </c>
      <c r="Y406" s="78">
        <v>0.09</v>
      </c>
      <c r="Z406" s="151">
        <v>330250</v>
      </c>
      <c r="AA406" s="63">
        <v>121990</v>
      </c>
    </row>
    <row r="407" spans="24:27">
      <c r="X407" s="53">
        <v>413</v>
      </c>
      <c r="Y407" s="78">
        <v>0.08</v>
      </c>
      <c r="Z407" s="151">
        <v>332710</v>
      </c>
      <c r="AA407" s="63">
        <v>133030</v>
      </c>
    </row>
    <row r="408" spans="24:27">
      <c r="X408" s="53">
        <v>413</v>
      </c>
      <c r="Y408" s="78">
        <v>7.0000000000000007E-2</v>
      </c>
      <c r="Z408" s="151">
        <v>335210</v>
      </c>
      <c r="AA408" s="63">
        <v>146210</v>
      </c>
    </row>
    <row r="409" spans="24:27">
      <c r="X409" s="53">
        <v>413</v>
      </c>
      <c r="Y409" s="78">
        <v>0.06</v>
      </c>
      <c r="Z409" s="151">
        <v>337750</v>
      </c>
      <c r="AA409" s="63">
        <v>162210</v>
      </c>
    </row>
    <row r="410" spans="24:27">
      <c r="X410" s="53">
        <v>413</v>
      </c>
      <c r="Y410" s="78">
        <v>0.05</v>
      </c>
      <c r="Z410" s="151">
        <v>340360</v>
      </c>
      <c r="AA410" s="63">
        <v>181980</v>
      </c>
    </row>
    <row r="411" spans="24:27">
      <c r="X411" s="53">
        <v>413</v>
      </c>
      <c r="Y411" s="78">
        <v>0.04</v>
      </c>
      <c r="Z411" s="151">
        <v>343050</v>
      </c>
      <c r="AA411" s="63">
        <v>206840</v>
      </c>
    </row>
    <row r="412" spans="24:27">
      <c r="X412" s="53">
        <v>413</v>
      </c>
      <c r="Y412" s="78">
        <v>0.03</v>
      </c>
      <c r="Z412" s="151">
        <v>345830</v>
      </c>
      <c r="AA412" s="63">
        <v>238540</v>
      </c>
    </row>
    <row r="413" spans="24:27">
      <c r="X413" s="53">
        <v>413</v>
      </c>
      <c r="Y413" s="78">
        <v>0.02</v>
      </c>
      <c r="Z413" s="151">
        <v>348740</v>
      </c>
      <c r="AA413" s="63">
        <v>278480</v>
      </c>
    </row>
    <row r="414" spans="24:27">
      <c r="X414" s="53">
        <v>413</v>
      </c>
      <c r="Y414" s="78">
        <v>0.01</v>
      </c>
      <c r="Z414" s="151">
        <v>351790</v>
      </c>
      <c r="AA414" s="63">
        <v>322540</v>
      </c>
    </row>
    <row r="415" spans="24:27" ht="15" thickBot="1">
      <c r="X415" s="57">
        <v>413</v>
      </c>
      <c r="Y415" s="80">
        <v>0</v>
      </c>
      <c r="Z415" s="152">
        <v>355000</v>
      </c>
      <c r="AA415" s="64">
        <v>355000</v>
      </c>
    </row>
  </sheetData>
  <mergeCells count="38">
    <mergeCell ref="AK6:AL6"/>
    <mergeCell ref="AM6:AN6"/>
    <mergeCell ref="AM7:AN7"/>
    <mergeCell ref="AK7:AL7"/>
    <mergeCell ref="AC2:AN2"/>
    <mergeCell ref="AC3:AN3"/>
    <mergeCell ref="AI4:AN5"/>
    <mergeCell ref="AC5:AD5"/>
    <mergeCell ref="AE5:AF5"/>
    <mergeCell ref="AG5:AH5"/>
    <mergeCell ref="AG7:AH7"/>
    <mergeCell ref="AE7:AF7"/>
    <mergeCell ref="AC7:AD7"/>
    <mergeCell ref="AC4:AH4"/>
    <mergeCell ref="AI7:AJ7"/>
    <mergeCell ref="AG6:AH6"/>
    <mergeCell ref="AE6:AF6"/>
    <mergeCell ref="AC6:AD6"/>
    <mergeCell ref="AI6:AJ6"/>
    <mergeCell ref="V6:W6"/>
    <mergeCell ref="V7:W7"/>
    <mergeCell ref="J5:W5"/>
    <mergeCell ref="X5:AA7"/>
    <mergeCell ref="J2:AA2"/>
    <mergeCell ref="J3:AA3"/>
    <mergeCell ref="J4:AA4"/>
    <mergeCell ref="J6:M6"/>
    <mergeCell ref="J7:M7"/>
    <mergeCell ref="N6:Q6"/>
    <mergeCell ref="N7:Q7"/>
    <mergeCell ref="R6:U6"/>
    <mergeCell ref="R7:U7"/>
    <mergeCell ref="B7:E7"/>
    <mergeCell ref="F5:H7"/>
    <mergeCell ref="B4:H4"/>
    <mergeCell ref="B3:H3"/>
    <mergeCell ref="B2:H2"/>
    <mergeCell ref="B5:E6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A349D-B34E-43A8-B8D5-82C3C8193583}">
  <dimension ref="B1:Z1009"/>
  <sheetViews>
    <sheetView topLeftCell="H1" zoomScale="85" zoomScaleNormal="85" workbookViewId="0">
      <selection activeCell="Q8" sqref="Q8:T28"/>
    </sheetView>
  </sheetViews>
  <sheetFormatPr defaultRowHeight="14.5"/>
  <cols>
    <col min="1" max="1" width="8.7265625" style="1"/>
    <col min="2" max="5" width="18.36328125" style="1" customWidth="1"/>
    <col min="6" max="6" width="8.7265625" style="1"/>
    <col min="7" max="12" width="20" style="1" customWidth="1"/>
    <col min="13" max="16" width="20.1796875" style="1" customWidth="1"/>
    <col min="17" max="18" width="19.7265625" style="1" customWidth="1"/>
    <col min="19" max="26" width="20.1796875" style="1" customWidth="1"/>
    <col min="27" max="16384" width="8.7265625" style="1"/>
  </cols>
  <sheetData>
    <row r="1" spans="2:26" ht="15" thickBot="1"/>
    <row r="2" spans="2:26">
      <c r="B2" s="227" t="s">
        <v>533</v>
      </c>
      <c r="C2" s="228"/>
      <c r="D2" s="228"/>
      <c r="E2" s="229"/>
      <c r="G2" s="227" t="s">
        <v>536</v>
      </c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8"/>
      <c r="U2" s="228"/>
      <c r="V2" s="228"/>
      <c r="W2" s="228"/>
      <c r="X2" s="228"/>
      <c r="Y2" s="228"/>
      <c r="Z2" s="229"/>
    </row>
    <row r="3" spans="2:26" ht="15" thickBot="1">
      <c r="B3" s="233" t="s">
        <v>534</v>
      </c>
      <c r="C3" s="234"/>
      <c r="D3" s="234"/>
      <c r="E3" s="235"/>
      <c r="G3" s="230" t="s">
        <v>537</v>
      </c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  <c r="W3" s="231"/>
      <c r="X3" s="231"/>
      <c r="Y3" s="231"/>
      <c r="Z3" s="232"/>
    </row>
    <row r="4" spans="2:26" ht="15" thickBot="1">
      <c r="B4" s="230" t="s">
        <v>535</v>
      </c>
      <c r="C4" s="231"/>
      <c r="D4" s="231"/>
      <c r="E4" s="232"/>
      <c r="G4" s="259" t="s">
        <v>397</v>
      </c>
      <c r="H4" s="260"/>
      <c r="I4" s="260"/>
      <c r="J4" s="260"/>
      <c r="K4" s="260"/>
      <c r="L4" s="260"/>
      <c r="M4" s="260"/>
      <c r="N4" s="260"/>
      <c r="O4" s="260"/>
      <c r="P4" s="260"/>
      <c r="Q4" s="260"/>
      <c r="R4" s="260"/>
      <c r="S4" s="260"/>
      <c r="T4" s="261"/>
      <c r="U4" s="262" t="s">
        <v>408</v>
      </c>
      <c r="V4" s="263"/>
      <c r="W4" s="263"/>
      <c r="X4" s="263"/>
      <c r="Y4" s="263"/>
      <c r="Z4" s="264"/>
    </row>
    <row r="5" spans="2:26" ht="15" thickBot="1">
      <c r="B5" s="242" t="s">
        <v>397</v>
      </c>
      <c r="C5" s="244"/>
      <c r="D5" s="238" t="s">
        <v>408</v>
      </c>
      <c r="E5" s="239"/>
      <c r="G5" s="242" t="s">
        <v>538</v>
      </c>
      <c r="H5" s="243"/>
      <c r="I5" s="243"/>
      <c r="J5" s="243"/>
      <c r="K5" s="243"/>
      <c r="L5" s="243"/>
      <c r="M5" s="243"/>
      <c r="N5" s="244"/>
      <c r="O5" s="242" t="s">
        <v>539</v>
      </c>
      <c r="P5" s="243"/>
      <c r="Q5" s="243"/>
      <c r="R5" s="244"/>
      <c r="S5" s="242" t="s">
        <v>540</v>
      </c>
      <c r="T5" s="244"/>
      <c r="U5" s="238" t="s">
        <v>538</v>
      </c>
      <c r="V5" s="239"/>
      <c r="W5" s="238" t="s">
        <v>539</v>
      </c>
      <c r="X5" s="239"/>
      <c r="Y5" s="238" t="s">
        <v>540</v>
      </c>
      <c r="Z5" s="239"/>
    </row>
    <row r="6" spans="2:26" ht="15" thickBot="1">
      <c r="B6" s="245" t="s">
        <v>523</v>
      </c>
      <c r="C6" s="247"/>
      <c r="D6" s="240"/>
      <c r="E6" s="241"/>
      <c r="G6" s="245" t="s">
        <v>541</v>
      </c>
      <c r="H6" s="247"/>
      <c r="I6" s="245" t="s">
        <v>542</v>
      </c>
      <c r="J6" s="247"/>
      <c r="K6" s="245" t="s">
        <v>543</v>
      </c>
      <c r="L6" s="247"/>
      <c r="M6" s="245" t="s">
        <v>544</v>
      </c>
      <c r="N6" s="247"/>
      <c r="O6" s="245" t="s">
        <v>543</v>
      </c>
      <c r="P6" s="247"/>
      <c r="Q6" s="245" t="s">
        <v>545</v>
      </c>
      <c r="R6" s="247"/>
      <c r="S6" s="245" t="s">
        <v>543</v>
      </c>
      <c r="T6" s="247"/>
      <c r="U6" s="240"/>
      <c r="V6" s="241"/>
      <c r="W6" s="240"/>
      <c r="X6" s="241"/>
      <c r="Y6" s="240"/>
      <c r="Z6" s="241"/>
    </row>
    <row r="7" spans="2:26" ht="16.5">
      <c r="B7" s="31" t="s">
        <v>410</v>
      </c>
      <c r="C7" s="32" t="s">
        <v>501</v>
      </c>
      <c r="D7" s="35" t="s">
        <v>410</v>
      </c>
      <c r="E7" s="85" t="s">
        <v>501</v>
      </c>
      <c r="G7" s="31" t="s">
        <v>410</v>
      </c>
      <c r="H7" s="153" t="s">
        <v>411</v>
      </c>
      <c r="I7" s="31" t="s">
        <v>410</v>
      </c>
      <c r="J7" s="153" t="s">
        <v>411</v>
      </c>
      <c r="K7" s="31" t="s">
        <v>410</v>
      </c>
      <c r="L7" s="153" t="s">
        <v>411</v>
      </c>
      <c r="M7" s="31" t="s">
        <v>410</v>
      </c>
      <c r="N7" s="153" t="s">
        <v>411</v>
      </c>
      <c r="O7" s="31" t="s">
        <v>410</v>
      </c>
      <c r="P7" s="153" t="s">
        <v>411</v>
      </c>
      <c r="Q7" s="31" t="s">
        <v>410</v>
      </c>
      <c r="R7" s="153" t="s">
        <v>411</v>
      </c>
      <c r="S7" s="31" t="s">
        <v>410</v>
      </c>
      <c r="T7" s="34" t="s">
        <v>411</v>
      </c>
      <c r="U7" s="35" t="s">
        <v>410</v>
      </c>
      <c r="V7" s="37" t="s">
        <v>411</v>
      </c>
      <c r="W7" s="35" t="s">
        <v>410</v>
      </c>
      <c r="X7" s="37" t="s">
        <v>411</v>
      </c>
      <c r="Y7" s="35" t="s">
        <v>410</v>
      </c>
      <c r="Z7" s="37" t="s">
        <v>411</v>
      </c>
    </row>
    <row r="8" spans="2:26">
      <c r="B8" s="5"/>
      <c r="C8" s="72"/>
      <c r="D8" s="86">
        <v>0</v>
      </c>
      <c r="E8" s="94">
        <v>-1.7498678E-9</v>
      </c>
      <c r="G8" s="7"/>
      <c r="H8" s="44"/>
      <c r="I8" s="7"/>
      <c r="J8" s="8"/>
      <c r="K8" s="7"/>
      <c r="L8" s="44"/>
      <c r="M8" s="7"/>
      <c r="N8" s="44"/>
      <c r="O8" s="7"/>
      <c r="P8" s="44"/>
      <c r="Q8" s="7"/>
      <c r="R8" s="44"/>
      <c r="S8" s="7"/>
      <c r="T8" s="72"/>
      <c r="U8" s="86">
        <v>0</v>
      </c>
      <c r="V8" s="62">
        <v>1001.19226</v>
      </c>
      <c r="W8" s="86">
        <v>0</v>
      </c>
      <c r="X8" s="62">
        <v>1001.19226</v>
      </c>
      <c r="Y8" s="86">
        <v>0</v>
      </c>
      <c r="Z8" s="62">
        <v>1001.19226</v>
      </c>
    </row>
    <row r="9" spans="2:26">
      <c r="B9" s="5"/>
      <c r="C9" s="72"/>
      <c r="D9" s="86">
        <v>1E-3</v>
      </c>
      <c r="E9" s="94">
        <v>-4.8448563</v>
      </c>
      <c r="G9" s="7"/>
      <c r="H9" s="44"/>
      <c r="I9" s="7"/>
      <c r="J9" s="8"/>
      <c r="K9" s="7"/>
      <c r="L9" s="44"/>
      <c r="M9" s="7"/>
      <c r="N9" s="44"/>
      <c r="O9" s="7"/>
      <c r="P9" s="44"/>
      <c r="Q9" s="7"/>
      <c r="R9" s="8"/>
      <c r="S9" s="7"/>
      <c r="T9" s="72"/>
      <c r="U9" s="86">
        <v>1E-3</v>
      </c>
      <c r="V9" s="62">
        <v>1001.9442</v>
      </c>
      <c r="W9" s="86">
        <v>1E-3</v>
      </c>
      <c r="X9" s="62">
        <v>1001.9095</v>
      </c>
      <c r="Y9" s="86">
        <v>1E-3</v>
      </c>
      <c r="Z9" s="62">
        <v>1001.8390000000001</v>
      </c>
    </row>
    <row r="10" spans="2:26">
      <c r="B10" s="5"/>
      <c r="C10" s="72"/>
      <c r="D10" s="86">
        <v>2E-3</v>
      </c>
      <c r="E10" s="94">
        <v>-9.6671110000000002</v>
      </c>
      <c r="G10" s="7"/>
      <c r="H10" s="44"/>
      <c r="I10" s="7"/>
      <c r="J10" s="8"/>
      <c r="K10" s="7"/>
      <c r="L10" s="44"/>
      <c r="M10" s="7"/>
      <c r="N10" s="44"/>
      <c r="O10" s="7"/>
      <c r="P10" s="44"/>
      <c r="Q10" s="7"/>
      <c r="R10" s="8"/>
      <c r="S10" s="7"/>
      <c r="T10" s="72"/>
      <c r="U10" s="86">
        <v>2E-3</v>
      </c>
      <c r="V10" s="62">
        <v>1002.6895</v>
      </c>
      <c r="W10" s="86">
        <v>2E-3</v>
      </c>
      <c r="X10" s="62">
        <v>1002.6183</v>
      </c>
      <c r="Y10" s="86">
        <v>2E-3</v>
      </c>
      <c r="Z10" s="62">
        <v>1002.4734999999999</v>
      </c>
    </row>
    <row r="11" spans="2:26" ht="15" thickBot="1">
      <c r="B11" s="5"/>
      <c r="C11" s="72"/>
      <c r="D11" s="86">
        <v>3.0000000000000001E-3</v>
      </c>
      <c r="E11" s="60">
        <v>-14.466882</v>
      </c>
      <c r="G11" s="7"/>
      <c r="H11" s="8"/>
      <c r="I11" s="154"/>
      <c r="J11" s="149"/>
      <c r="K11" s="7"/>
      <c r="L11" s="44"/>
      <c r="M11" s="7"/>
      <c r="N11" s="44"/>
      <c r="O11" s="7"/>
      <c r="P11" s="44"/>
      <c r="Q11" s="7"/>
      <c r="R11" s="8"/>
      <c r="S11" s="7"/>
      <c r="T11" s="72"/>
      <c r="U11" s="86">
        <v>3.0000000000000001E-3</v>
      </c>
      <c r="V11" s="62">
        <v>1003.4281999999999</v>
      </c>
      <c r="W11" s="86">
        <v>3.0000000000000001E-3</v>
      </c>
      <c r="X11" s="62">
        <v>1003.3188</v>
      </c>
      <c r="Y11" s="86">
        <v>3.0000000000000001E-3</v>
      </c>
      <c r="Z11" s="62">
        <v>1003.096</v>
      </c>
    </row>
    <row r="12" spans="2:26">
      <c r="B12" s="5"/>
      <c r="C12" s="72"/>
      <c r="D12" s="86">
        <v>4.0000000000000001E-3</v>
      </c>
      <c r="E12" s="60">
        <v>-19.244285999999999</v>
      </c>
      <c r="G12" s="7"/>
      <c r="H12" s="8"/>
      <c r="K12" s="7"/>
      <c r="L12" s="44"/>
      <c r="M12" s="7"/>
      <c r="N12" s="44"/>
      <c r="O12" s="7"/>
      <c r="P12" s="44"/>
      <c r="Q12" s="7"/>
      <c r="R12" s="8"/>
      <c r="S12" s="7"/>
      <c r="T12" s="72"/>
      <c r="U12" s="86">
        <v>4.0000000000000001E-3</v>
      </c>
      <c r="V12" s="62">
        <v>1004.1604599999999</v>
      </c>
      <c r="W12" s="86">
        <v>4.0000000000000001E-3</v>
      </c>
      <c r="X12" s="62">
        <v>1004.011</v>
      </c>
      <c r="Y12" s="86">
        <v>4.0000000000000001E-3</v>
      </c>
      <c r="Z12" s="62">
        <v>1003.7067</v>
      </c>
    </row>
    <row r="13" spans="2:26" ht="15" thickBot="1">
      <c r="B13" s="5"/>
      <c r="C13" s="72"/>
      <c r="D13" s="86">
        <v>5.0000000000000001E-3</v>
      </c>
      <c r="E13" s="60">
        <v>-23.99944</v>
      </c>
      <c r="G13" s="7"/>
      <c r="H13" s="8"/>
      <c r="K13" s="154"/>
      <c r="L13" s="149"/>
      <c r="M13" s="7"/>
      <c r="N13" s="44"/>
      <c r="O13" s="154"/>
      <c r="P13" s="70"/>
      <c r="Q13" s="7"/>
      <c r="R13" s="8"/>
      <c r="S13" s="154"/>
      <c r="T13" s="73"/>
      <c r="U13" s="86">
        <v>5.0000000000000001E-3</v>
      </c>
      <c r="V13" s="62">
        <v>1004.8863</v>
      </c>
      <c r="W13" s="86">
        <v>5.0000000000000001E-3</v>
      </c>
      <c r="X13" s="62">
        <v>1004.6951</v>
      </c>
      <c r="Y13" s="86">
        <v>5.0000000000000001E-3</v>
      </c>
      <c r="Z13" s="62">
        <v>1004.30585</v>
      </c>
    </row>
    <row r="14" spans="2:26">
      <c r="B14" s="5"/>
      <c r="C14" s="72"/>
      <c r="D14" s="86">
        <v>6.0000000000000001E-3</v>
      </c>
      <c r="E14" s="60">
        <v>-28.732458000000001</v>
      </c>
      <c r="G14" s="7"/>
      <c r="H14" s="8"/>
      <c r="M14" s="7"/>
      <c r="N14" s="44"/>
      <c r="Q14" s="7"/>
      <c r="R14" s="8"/>
      <c r="U14" s="86">
        <v>6.0000000000000001E-3</v>
      </c>
      <c r="V14" s="62">
        <v>1005.6057</v>
      </c>
      <c r="W14" s="86">
        <v>6.0000000000000001E-3</v>
      </c>
      <c r="X14" s="62">
        <v>1005.3712</v>
      </c>
      <c r="Y14" s="86">
        <v>6.0000000000000001E-3</v>
      </c>
      <c r="Z14" s="62">
        <v>1004.8937</v>
      </c>
    </row>
    <row r="15" spans="2:26">
      <c r="B15" s="5"/>
      <c r="C15" s="72"/>
      <c r="D15" s="86">
        <v>7.0000000000000001E-3</v>
      </c>
      <c r="E15" s="60">
        <v>-33.443455</v>
      </c>
      <c r="G15" s="7"/>
      <c r="H15" s="8"/>
      <c r="M15" s="7"/>
      <c r="N15" s="44"/>
      <c r="Q15" s="7"/>
      <c r="R15" s="8"/>
      <c r="U15" s="86">
        <v>7.0000000000000001E-3</v>
      </c>
      <c r="V15" s="62">
        <v>1006.3189</v>
      </c>
      <c r="W15" s="86">
        <v>7.0000000000000001E-3</v>
      </c>
      <c r="X15" s="62">
        <v>1006.03937</v>
      </c>
      <c r="Y15" s="86">
        <v>7.0000000000000001E-3</v>
      </c>
      <c r="Z15" s="62">
        <v>1005.47034</v>
      </c>
    </row>
    <row r="16" spans="2:26">
      <c r="B16" s="5"/>
      <c r="C16" s="72"/>
      <c r="D16" s="86">
        <v>8.0000000000000002E-3</v>
      </c>
      <c r="E16" s="60">
        <v>-38.132550000000002</v>
      </c>
      <c r="G16" s="7"/>
      <c r="H16" s="8"/>
      <c r="M16" s="7"/>
      <c r="N16" s="44"/>
      <c r="Q16" s="7"/>
      <c r="R16" s="8"/>
      <c r="U16" s="86">
        <v>8.0000000000000002E-3</v>
      </c>
      <c r="V16" s="62">
        <v>1007.0258</v>
      </c>
      <c r="W16" s="86">
        <v>8.0000000000000002E-3</v>
      </c>
      <c r="X16" s="62">
        <v>1006.6997699999999</v>
      </c>
      <c r="Y16" s="86">
        <v>8.0000000000000002E-3</v>
      </c>
      <c r="Z16" s="62">
        <v>1006.0359999999999</v>
      </c>
    </row>
    <row r="17" spans="2:26">
      <c r="B17" s="5"/>
      <c r="C17" s="72"/>
      <c r="D17" s="86">
        <v>8.9999999999999993E-3</v>
      </c>
      <c r="E17" s="60">
        <v>-42.799854000000003</v>
      </c>
      <c r="G17" s="7"/>
      <c r="H17" s="8"/>
      <c r="M17" s="7"/>
      <c r="N17" s="44"/>
      <c r="Q17" s="7"/>
      <c r="R17" s="8"/>
      <c r="U17" s="86">
        <v>8.9999999999999993E-3</v>
      </c>
      <c r="V17" s="62">
        <v>1007.7266</v>
      </c>
      <c r="W17" s="86">
        <v>8.9999999999999993E-3</v>
      </c>
      <c r="X17" s="62">
        <v>1007.3525</v>
      </c>
      <c r="Y17" s="86">
        <v>8.9999999999999993E-3</v>
      </c>
      <c r="Z17" s="62">
        <v>1006.591</v>
      </c>
    </row>
    <row r="18" spans="2:26">
      <c r="B18" s="5"/>
      <c r="C18" s="72"/>
      <c r="D18" s="86">
        <v>0.01</v>
      </c>
      <c r="E18" s="60">
        <v>-47.445476999999997</v>
      </c>
      <c r="G18" s="7"/>
      <c r="H18" s="8"/>
      <c r="M18" s="7"/>
      <c r="N18" s="44"/>
      <c r="Q18" s="7"/>
      <c r="R18" s="8"/>
      <c r="U18" s="86">
        <v>0.01</v>
      </c>
      <c r="V18" s="62">
        <v>1008.42126</v>
      </c>
      <c r="W18" s="86">
        <v>0.01</v>
      </c>
      <c r="X18" s="62">
        <v>1007.99756</v>
      </c>
      <c r="Y18" s="86">
        <v>0.01</v>
      </c>
      <c r="Z18" s="62">
        <v>1007.13544</v>
      </c>
    </row>
    <row r="19" spans="2:26" ht="15" thickBot="1">
      <c r="B19" s="5"/>
      <c r="C19" s="12"/>
      <c r="D19" s="86">
        <v>1.0999999999999999E-2</v>
      </c>
      <c r="E19" s="60">
        <v>-52.069540000000003</v>
      </c>
      <c r="G19" s="7"/>
      <c r="H19" s="8"/>
      <c r="M19" s="7"/>
      <c r="N19" s="44"/>
      <c r="Q19" s="154"/>
      <c r="R19" s="149"/>
      <c r="U19" s="86">
        <v>1.0999999999999999E-2</v>
      </c>
      <c r="V19" s="62">
        <v>1009.1099</v>
      </c>
      <c r="W19" s="86">
        <v>1.0999999999999999E-2</v>
      </c>
      <c r="X19" s="62">
        <v>1008.63513</v>
      </c>
      <c r="Y19" s="86">
        <v>1.0999999999999999E-2</v>
      </c>
      <c r="Z19" s="62">
        <v>1007.6695</v>
      </c>
    </row>
    <row r="20" spans="2:26">
      <c r="B20" s="5"/>
      <c r="C20" s="12"/>
      <c r="D20" s="86">
        <v>1.2E-2</v>
      </c>
      <c r="E20" s="60">
        <v>-56.672145999999998</v>
      </c>
      <c r="G20" s="7"/>
      <c r="H20" s="8"/>
      <c r="M20" s="7"/>
      <c r="N20" s="44"/>
      <c r="U20" s="86">
        <v>1.2E-2</v>
      </c>
      <c r="V20" s="62">
        <v>1009.79266</v>
      </c>
      <c r="W20" s="86">
        <v>1.2E-2</v>
      </c>
      <c r="X20" s="62">
        <v>1009.2653</v>
      </c>
      <c r="Y20" s="86">
        <v>1.2E-2</v>
      </c>
      <c r="Z20" s="62">
        <v>1008.1934</v>
      </c>
    </row>
    <row r="21" spans="2:26">
      <c r="B21" s="5"/>
      <c r="C21" s="72"/>
      <c r="D21" s="86">
        <v>1.2999999999999999E-2</v>
      </c>
      <c r="E21" s="60">
        <v>-61.253413999999999</v>
      </c>
      <c r="G21" s="7"/>
      <c r="H21" s="8"/>
      <c r="M21" s="7"/>
      <c r="N21" s="44"/>
      <c r="U21" s="86">
        <v>1.2999999999999999E-2</v>
      </c>
      <c r="V21" s="62">
        <v>1010.4695</v>
      </c>
      <c r="W21" s="86">
        <v>1.2999999999999999E-2</v>
      </c>
      <c r="X21" s="62">
        <v>1009.8882</v>
      </c>
      <c r="Y21" s="86">
        <v>1.2999999999999999E-2</v>
      </c>
      <c r="Z21" s="62">
        <v>1008.7074</v>
      </c>
    </row>
    <row r="22" spans="2:26">
      <c r="B22" s="5"/>
      <c r="C22" s="72"/>
      <c r="D22" s="86">
        <v>1.4E-2</v>
      </c>
      <c r="E22" s="60">
        <v>-65.813450000000003</v>
      </c>
      <c r="G22" s="7"/>
      <c r="H22" s="8"/>
      <c r="M22" s="7"/>
      <c r="N22" s="44"/>
      <c r="U22" s="86">
        <v>1.4E-2</v>
      </c>
      <c r="V22" s="62">
        <v>1011.14044</v>
      </c>
      <c r="W22" s="86">
        <v>1.4E-2</v>
      </c>
      <c r="X22" s="62">
        <v>1010.5038500000001</v>
      </c>
      <c r="Y22" s="86">
        <v>1.4E-2</v>
      </c>
      <c r="Z22" s="62">
        <v>1009.21155</v>
      </c>
    </row>
    <row r="23" spans="2:26">
      <c r="B23" s="5"/>
      <c r="C23" s="72"/>
      <c r="D23" s="86">
        <v>1.4999999999999999E-2</v>
      </c>
      <c r="E23" s="60">
        <v>-70.352369999999993</v>
      </c>
      <c r="G23" s="7"/>
      <c r="H23" s="8"/>
      <c r="M23" s="7"/>
      <c r="N23" s="44"/>
      <c r="U23" s="86">
        <v>1.4999999999999999E-2</v>
      </c>
      <c r="V23" s="62">
        <v>1011.80566</v>
      </c>
      <c r="W23" s="86">
        <v>1.4999999999999999E-2</v>
      </c>
      <c r="X23" s="62">
        <v>1011.1123700000001</v>
      </c>
      <c r="Y23" s="86">
        <v>1.4999999999999999E-2</v>
      </c>
      <c r="Z23" s="62">
        <v>1009.70605</v>
      </c>
    </row>
    <row r="24" spans="2:26" ht="15" thickBot="1">
      <c r="B24" s="5"/>
      <c r="C24" s="72"/>
      <c r="D24" s="86">
        <v>1.6E-2</v>
      </c>
      <c r="E24" s="60">
        <v>-74.870284999999996</v>
      </c>
      <c r="G24" s="154"/>
      <c r="H24" s="149"/>
      <c r="M24" s="7"/>
      <c r="N24" s="44"/>
      <c r="U24" s="86">
        <v>1.6E-2</v>
      </c>
      <c r="V24" s="62">
        <v>1012.46515</v>
      </c>
      <c r="W24" s="86">
        <v>1.6E-2</v>
      </c>
      <c r="X24" s="62">
        <v>1011.71387</v>
      </c>
      <c r="Y24" s="86">
        <v>1.6E-2</v>
      </c>
      <c r="Z24" s="62">
        <v>1010.19116</v>
      </c>
    </row>
    <row r="25" spans="2:26" ht="15" thickBot="1">
      <c r="B25" s="5"/>
      <c r="C25" s="72"/>
      <c r="D25" s="86">
        <v>1.7000000000000001E-2</v>
      </c>
      <c r="E25" s="60">
        <v>-79.367294000000001</v>
      </c>
      <c r="M25" s="154"/>
      <c r="N25" s="70"/>
      <c r="U25" s="86">
        <v>1.7000000000000001E-2</v>
      </c>
      <c r="V25" s="62">
        <v>1013.11896</v>
      </c>
      <c r="W25" s="86">
        <v>1.7000000000000001E-2</v>
      </c>
      <c r="X25" s="62">
        <v>1012.3084</v>
      </c>
      <c r="Y25" s="86">
        <v>1.7000000000000001E-2</v>
      </c>
      <c r="Z25" s="62">
        <v>1010.66693</v>
      </c>
    </row>
    <row r="26" spans="2:26">
      <c r="B26" s="5"/>
      <c r="C26" s="72"/>
      <c r="D26" s="86">
        <v>1.7999999999999999E-2</v>
      </c>
      <c r="E26" s="60">
        <v>-83.843509999999995</v>
      </c>
      <c r="U26" s="86">
        <v>1.7999999999999999E-2</v>
      </c>
      <c r="V26" s="62">
        <v>1013.7672</v>
      </c>
      <c r="W26" s="86">
        <v>1.7999999999999999E-2</v>
      </c>
      <c r="X26" s="62">
        <v>1012.8961</v>
      </c>
      <c r="Y26" s="86">
        <v>1.7999999999999999E-2</v>
      </c>
      <c r="Z26" s="62">
        <v>1011.1336700000001</v>
      </c>
    </row>
    <row r="27" spans="2:26" ht="15" thickBot="1">
      <c r="B27" s="23"/>
      <c r="C27" s="33"/>
      <c r="D27" s="86">
        <v>1.9E-2</v>
      </c>
      <c r="E27" s="60">
        <v>-88.299059999999997</v>
      </c>
      <c r="U27" s="86">
        <v>1.9E-2</v>
      </c>
      <c r="V27" s="62">
        <v>1014.4099</v>
      </c>
      <c r="W27" s="86">
        <v>1.9E-2</v>
      </c>
      <c r="X27" s="62">
        <v>1013.47705</v>
      </c>
      <c r="Y27" s="86">
        <v>1.9E-2</v>
      </c>
      <c r="Z27" s="62">
        <v>1011.5914299999999</v>
      </c>
    </row>
    <row r="28" spans="2:26">
      <c r="D28" s="86">
        <v>0.02</v>
      </c>
      <c r="E28" s="60">
        <v>-92.734024000000005</v>
      </c>
      <c r="U28" s="86">
        <v>0.02</v>
      </c>
      <c r="V28" s="62">
        <v>1015.0472</v>
      </c>
      <c r="W28" s="86">
        <v>0.02</v>
      </c>
      <c r="X28" s="62">
        <v>1014.0513</v>
      </c>
      <c r="Y28" s="86">
        <v>0.02</v>
      </c>
      <c r="Z28" s="62">
        <v>1012.04034</v>
      </c>
    </row>
    <row r="29" spans="2:26">
      <c r="D29" s="86">
        <v>2.1000000000000001E-2</v>
      </c>
      <c r="E29" s="60">
        <v>-97.148520000000005</v>
      </c>
      <c r="U29" s="86">
        <v>2.1000000000000001E-2</v>
      </c>
      <c r="V29" s="62">
        <v>1015.67896</v>
      </c>
      <c r="W29" s="86">
        <v>2.1000000000000001E-2</v>
      </c>
      <c r="X29" s="62">
        <v>1014.61896</v>
      </c>
      <c r="Y29" s="86">
        <v>2.1000000000000001E-2</v>
      </c>
      <c r="Z29" s="62">
        <v>1012.4807</v>
      </c>
    </row>
    <row r="30" spans="2:26">
      <c r="D30" s="86">
        <v>2.1999999999999999E-2</v>
      </c>
      <c r="E30" s="61">
        <v>-101.54266</v>
      </c>
      <c r="U30" s="86">
        <v>2.1999999999999999E-2</v>
      </c>
      <c r="V30" s="62">
        <v>1016.3054</v>
      </c>
      <c r="W30" s="86">
        <v>2.1999999999999999E-2</v>
      </c>
      <c r="X30" s="62">
        <v>1015.1800500000001</v>
      </c>
      <c r="Y30" s="86">
        <v>2.1999999999999999E-2</v>
      </c>
      <c r="Z30" s="62">
        <v>1012.91254</v>
      </c>
    </row>
    <row r="31" spans="2:26">
      <c r="D31" s="86">
        <v>2.3E-2</v>
      </c>
      <c r="E31" s="61">
        <v>-105.91655</v>
      </c>
      <c r="U31" s="86">
        <v>2.3E-2</v>
      </c>
      <c r="V31" s="62">
        <v>1016.9265</v>
      </c>
      <c r="W31" s="86">
        <v>2.3E-2</v>
      </c>
      <c r="X31" s="62">
        <v>1015.73474</v>
      </c>
      <c r="Y31" s="86">
        <v>2.3E-2</v>
      </c>
      <c r="Z31" s="62">
        <v>1013.33606</v>
      </c>
    </row>
    <row r="32" spans="2:26">
      <c r="D32" s="86">
        <v>2.4E-2</v>
      </c>
      <c r="E32" s="61">
        <v>-110.27029</v>
      </c>
      <c r="U32" s="86">
        <v>2.4E-2</v>
      </c>
      <c r="V32" s="62">
        <v>1017.5424</v>
      </c>
      <c r="W32" s="86">
        <v>2.4E-2</v>
      </c>
      <c r="X32" s="62">
        <v>1016.28314</v>
      </c>
      <c r="Y32" s="86">
        <v>2.4E-2</v>
      </c>
      <c r="Z32" s="62">
        <v>1013.7514</v>
      </c>
    </row>
    <row r="33" spans="4:26">
      <c r="D33" s="86">
        <v>2.5000000000000001E-2</v>
      </c>
      <c r="E33" s="61">
        <v>-114.60398000000001</v>
      </c>
      <c r="U33" s="86">
        <v>2.5000000000000001E-2</v>
      </c>
      <c r="V33" s="62">
        <v>1018.1531</v>
      </c>
      <c r="W33" s="86">
        <v>2.5000000000000001E-2</v>
      </c>
      <c r="X33" s="62">
        <v>1016.8252</v>
      </c>
      <c r="Y33" s="86">
        <v>2.5000000000000001E-2</v>
      </c>
      <c r="Z33" s="62">
        <v>1014.1587500000001</v>
      </c>
    </row>
    <row r="34" spans="4:26">
      <c r="D34" s="86">
        <v>2.5999999999999999E-2</v>
      </c>
      <c r="E34" s="61">
        <v>-118.91773000000001</v>
      </c>
      <c r="U34" s="86">
        <v>2.5999999999999999E-2</v>
      </c>
      <c r="V34" s="62">
        <v>1018.7586</v>
      </c>
      <c r="W34" s="86">
        <v>2.5999999999999999E-2</v>
      </c>
      <c r="X34" s="62">
        <v>1017.3611</v>
      </c>
      <c r="Y34" s="86">
        <v>2.5999999999999999E-2</v>
      </c>
      <c r="Z34" s="62">
        <v>1014.55817</v>
      </c>
    </row>
    <row r="35" spans="4:26">
      <c r="D35" s="86">
        <v>2.7E-2</v>
      </c>
      <c r="E35" s="61">
        <v>-123.21165499999999</v>
      </c>
      <c r="U35" s="86">
        <v>2.7E-2</v>
      </c>
      <c r="V35" s="62">
        <v>1019.359</v>
      </c>
      <c r="W35" s="86">
        <v>2.7E-2</v>
      </c>
      <c r="X35" s="62">
        <v>1017.8908699999999</v>
      </c>
      <c r="Y35" s="86">
        <v>2.7E-2</v>
      </c>
      <c r="Z35" s="62">
        <v>1014.9498</v>
      </c>
    </row>
    <row r="36" spans="4:26">
      <c r="D36" s="86">
        <v>2.8000000000000001E-2</v>
      </c>
      <c r="E36" s="61">
        <v>-127.48585</v>
      </c>
      <c r="U36" s="86">
        <v>2.8000000000000001E-2</v>
      </c>
      <c r="V36" s="62">
        <v>1019.9544</v>
      </c>
      <c r="W36" s="86">
        <v>2.8000000000000001E-2</v>
      </c>
      <c r="X36" s="62">
        <v>1018.41455</v>
      </c>
      <c r="Y36" s="86">
        <v>2.8000000000000001E-2</v>
      </c>
      <c r="Z36" s="62">
        <v>1015.33386</v>
      </c>
    </row>
    <row r="37" spans="4:26">
      <c r="D37" s="86">
        <v>2.9000000000000001E-2</v>
      </c>
      <c r="E37" s="61">
        <v>-131.74042</v>
      </c>
      <c r="U37" s="86">
        <v>2.9000000000000001E-2</v>
      </c>
      <c r="V37" s="62">
        <v>1020.54474</v>
      </c>
      <c r="W37" s="86">
        <v>2.9000000000000001E-2</v>
      </c>
      <c r="X37" s="62">
        <v>1018.9323000000001</v>
      </c>
      <c r="Y37" s="86">
        <v>2.9000000000000001E-2</v>
      </c>
      <c r="Z37" s="62">
        <v>1015.7104</v>
      </c>
    </row>
    <row r="38" spans="4:26">
      <c r="D38" s="86">
        <v>0.03</v>
      </c>
      <c r="E38" s="61">
        <v>-135.97545</v>
      </c>
      <c r="U38" s="86">
        <v>0.03</v>
      </c>
      <c r="V38" s="62">
        <v>1021.1301999999999</v>
      </c>
      <c r="W38" s="86">
        <v>0.03</v>
      </c>
      <c r="X38" s="62">
        <v>1019.44415</v>
      </c>
      <c r="Y38" s="86">
        <v>0.03</v>
      </c>
      <c r="Z38" s="62">
        <v>1016.0796</v>
      </c>
    </row>
    <row r="39" spans="4:26">
      <c r="D39" s="86">
        <v>3.1E-2</v>
      </c>
      <c r="E39" s="61">
        <v>-140.19107</v>
      </c>
      <c r="U39" s="86">
        <v>3.1E-2</v>
      </c>
      <c r="V39" s="62">
        <v>1021.71075</v>
      </c>
      <c r="W39" s="86">
        <v>3.1E-2</v>
      </c>
      <c r="X39" s="62">
        <v>1019.9502</v>
      </c>
      <c r="Y39" s="86">
        <v>3.1E-2</v>
      </c>
      <c r="Z39" s="62">
        <v>1016.4416</v>
      </c>
    </row>
    <row r="40" spans="4:26">
      <c r="D40" s="86">
        <v>3.2000000000000001E-2</v>
      </c>
      <c r="E40" s="61">
        <v>-144.38736</v>
      </c>
      <c r="U40" s="86">
        <v>3.2000000000000001E-2</v>
      </c>
      <c r="V40" s="62">
        <v>1022.28644</v>
      </c>
      <c r="W40" s="86">
        <v>3.2000000000000001E-2</v>
      </c>
      <c r="X40" s="62">
        <v>1020.4505</v>
      </c>
      <c r="Y40" s="86">
        <v>3.2000000000000001E-2</v>
      </c>
      <c r="Z40" s="62">
        <v>1016.79645</v>
      </c>
    </row>
    <row r="41" spans="4:26">
      <c r="D41" s="86">
        <v>3.3000000000000002E-2</v>
      </c>
      <c r="E41" s="61">
        <v>-148.56443999999999</v>
      </c>
      <c r="U41" s="86">
        <v>3.3000000000000002E-2</v>
      </c>
      <c r="V41" s="62">
        <v>1022.8573</v>
      </c>
      <c r="W41" s="86">
        <v>3.3000000000000002E-2</v>
      </c>
      <c r="X41" s="62">
        <v>1020.94507</v>
      </c>
      <c r="Y41" s="86">
        <v>3.3000000000000002E-2</v>
      </c>
      <c r="Z41" s="62">
        <v>1017.14435</v>
      </c>
    </row>
    <row r="42" spans="4:26">
      <c r="D42" s="86">
        <v>3.4000000000000002E-2</v>
      </c>
      <c r="E42" s="61">
        <v>-152.72239999999999</v>
      </c>
      <c r="U42" s="86">
        <v>3.4000000000000002E-2</v>
      </c>
      <c r="V42" s="62">
        <v>1023.4234</v>
      </c>
      <c r="W42" s="86">
        <v>3.4000000000000002E-2</v>
      </c>
      <c r="X42" s="62">
        <v>1021.4340999999999</v>
      </c>
      <c r="Y42" s="86">
        <v>3.4000000000000002E-2</v>
      </c>
      <c r="Z42" s="62">
        <v>1017.48535</v>
      </c>
    </row>
    <row r="43" spans="4:26">
      <c r="D43" s="86">
        <v>3.5000000000000003E-2</v>
      </c>
      <c r="E43" s="61">
        <v>-156.86133000000001</v>
      </c>
      <c r="U43" s="86">
        <v>3.5000000000000003E-2</v>
      </c>
      <c r="V43" s="62">
        <v>1023.98486</v>
      </c>
      <c r="W43" s="86">
        <v>3.5000000000000003E-2</v>
      </c>
      <c r="X43" s="62">
        <v>1021.91754</v>
      </c>
      <c r="Y43" s="86">
        <v>3.5000000000000003E-2</v>
      </c>
      <c r="Z43" s="62">
        <v>1017.81964</v>
      </c>
    </row>
    <row r="44" spans="4:26">
      <c r="D44" s="86">
        <v>3.5999999999999997E-2</v>
      </c>
      <c r="E44" s="61">
        <v>-160.98133999999999</v>
      </c>
      <c r="U44" s="86">
        <v>3.5999999999999997E-2</v>
      </c>
      <c r="V44" s="62">
        <v>1024.5416</v>
      </c>
      <c r="W44" s="86">
        <v>3.5999999999999997E-2</v>
      </c>
      <c r="X44" s="62">
        <v>1022.3955</v>
      </c>
      <c r="Y44" s="86">
        <v>3.5999999999999997E-2</v>
      </c>
      <c r="Z44" s="62">
        <v>1018.1473</v>
      </c>
    </row>
    <row r="45" spans="4:26">
      <c r="D45" s="86">
        <v>3.6999999999999998E-2</v>
      </c>
      <c r="E45" s="61">
        <v>-165.08252999999999</v>
      </c>
      <c r="U45" s="86">
        <v>3.6999999999999998E-2</v>
      </c>
      <c r="V45" s="62">
        <v>1025.0938000000001</v>
      </c>
      <c r="W45" s="86">
        <v>3.6999999999999998E-2</v>
      </c>
      <c r="X45" s="62">
        <v>1022.86804</v>
      </c>
      <c r="Y45" s="86">
        <v>3.6999999999999998E-2</v>
      </c>
      <c r="Z45" s="62">
        <v>1018.46844</v>
      </c>
    </row>
    <row r="46" spans="4:26">
      <c r="D46" s="86">
        <v>3.7999999999999999E-2</v>
      </c>
      <c r="E46" s="61">
        <v>-169.16499999999999</v>
      </c>
      <c r="U46" s="86">
        <v>3.7999999999999999E-2</v>
      </c>
      <c r="V46" s="62">
        <v>1025.6414</v>
      </c>
      <c r="W46" s="86">
        <v>3.7999999999999999E-2</v>
      </c>
      <c r="X46" s="62">
        <v>1023.33527</v>
      </c>
      <c r="Y46" s="86">
        <v>3.7999999999999999E-2</v>
      </c>
      <c r="Z46" s="62">
        <v>1018.7832</v>
      </c>
    </row>
    <row r="47" spans="4:26">
      <c r="D47" s="86">
        <v>3.9E-2</v>
      </c>
      <c r="E47" s="61">
        <v>-173.22883999999999</v>
      </c>
      <c r="U47" s="86">
        <v>3.9E-2</v>
      </c>
      <c r="V47" s="62">
        <v>1026.1844000000001</v>
      </c>
      <c r="W47" s="86">
        <v>3.9E-2</v>
      </c>
      <c r="X47" s="62">
        <v>1023.7972</v>
      </c>
      <c r="Y47" s="86">
        <v>3.9E-2</v>
      </c>
      <c r="Z47" s="62">
        <v>1019.0916999999999</v>
      </c>
    </row>
    <row r="48" spans="4:26">
      <c r="D48" s="86">
        <v>0.04</v>
      </c>
      <c r="E48" s="61">
        <v>-177.27414999999999</v>
      </c>
      <c r="U48" s="86">
        <v>0.04</v>
      </c>
      <c r="V48" s="62">
        <v>1026.723</v>
      </c>
      <c r="W48" s="86">
        <v>0.04</v>
      </c>
      <c r="X48" s="62">
        <v>1024.2538999999999</v>
      </c>
      <c r="Y48" s="86">
        <v>0.04</v>
      </c>
      <c r="Z48" s="62">
        <v>1019.3939</v>
      </c>
    </row>
    <row r="49" spans="4:26">
      <c r="D49" s="86">
        <v>4.1000000000000002E-2</v>
      </c>
      <c r="E49" s="61">
        <v>-181.30104</v>
      </c>
      <c r="U49" s="86">
        <v>4.1000000000000002E-2</v>
      </c>
      <c r="V49" s="62">
        <v>1027.2571</v>
      </c>
      <c r="W49" s="86">
        <v>4.1000000000000002E-2</v>
      </c>
      <c r="X49" s="62">
        <v>1024.7054000000001</v>
      </c>
      <c r="Y49" s="86">
        <v>4.1000000000000002E-2</v>
      </c>
      <c r="Z49" s="62">
        <v>1019.6901</v>
      </c>
    </row>
    <row r="50" spans="4:26">
      <c r="D50" s="86">
        <v>4.2000000000000003E-2</v>
      </c>
      <c r="E50" s="61">
        <v>-185.30958999999999</v>
      </c>
      <c r="U50" s="86">
        <v>4.2000000000000003E-2</v>
      </c>
      <c r="V50" s="62">
        <v>1027.7869000000001</v>
      </c>
      <c r="W50" s="86">
        <v>4.2000000000000003E-2</v>
      </c>
      <c r="X50" s="62">
        <v>1025.1519000000001</v>
      </c>
      <c r="Y50" s="86">
        <v>4.2000000000000003E-2</v>
      </c>
      <c r="Z50" s="62">
        <v>1019.98035</v>
      </c>
    </row>
    <row r="51" spans="4:26">
      <c r="D51" s="86">
        <v>4.2999999999999997E-2</v>
      </c>
      <c r="E51" s="61">
        <v>-189.29990000000001</v>
      </c>
      <c r="U51" s="86">
        <v>4.2999999999999997E-2</v>
      </c>
      <c r="V51" s="62">
        <v>1028.3123000000001</v>
      </c>
      <c r="W51" s="86">
        <v>4.2999999999999997E-2</v>
      </c>
      <c r="X51" s="62">
        <v>1025.5933</v>
      </c>
      <c r="Y51" s="86">
        <v>4.2999999999999997E-2</v>
      </c>
      <c r="Z51" s="62">
        <v>1020.26465</v>
      </c>
    </row>
    <row r="52" spans="4:26">
      <c r="D52" s="86">
        <v>4.3999999999999997E-2</v>
      </c>
      <c r="E52" s="61">
        <v>-193.27206000000001</v>
      </c>
      <c r="U52" s="86">
        <v>4.3999999999999997E-2</v>
      </c>
      <c r="V52" s="62">
        <v>1028.8334</v>
      </c>
      <c r="W52" s="86">
        <v>4.3999999999999997E-2</v>
      </c>
      <c r="X52" s="62">
        <v>1026.0298</v>
      </c>
      <c r="Y52" s="86">
        <v>4.3999999999999997E-2</v>
      </c>
      <c r="Z52" s="62">
        <v>1020.5432</v>
      </c>
    </row>
    <row r="53" spans="4:26">
      <c r="D53" s="86">
        <v>4.4999999999999998E-2</v>
      </c>
      <c r="E53" s="61">
        <v>-197.22618</v>
      </c>
      <c r="U53" s="86">
        <v>4.4999999999999998E-2</v>
      </c>
      <c r="V53" s="62">
        <v>1029.3502000000001</v>
      </c>
      <c r="W53" s="86">
        <v>4.4999999999999998E-2</v>
      </c>
      <c r="X53" s="62">
        <v>1026.4612999999999</v>
      </c>
      <c r="Y53" s="86">
        <v>4.4999999999999998E-2</v>
      </c>
      <c r="Z53" s="62">
        <v>1020.81616</v>
      </c>
    </row>
    <row r="54" spans="4:26">
      <c r="D54" s="86">
        <v>4.5999999999999999E-2</v>
      </c>
      <c r="E54" s="61">
        <v>-201.16235</v>
      </c>
      <c r="U54" s="86">
        <v>4.5999999999999999E-2</v>
      </c>
      <c r="V54" s="62">
        <v>1029.8628000000001</v>
      </c>
      <c r="W54" s="86">
        <v>4.5999999999999999E-2</v>
      </c>
      <c r="X54" s="62">
        <v>1026.8879999999999</v>
      </c>
      <c r="Y54" s="86">
        <v>4.5999999999999999E-2</v>
      </c>
      <c r="Z54" s="62">
        <v>1021.08344</v>
      </c>
    </row>
    <row r="55" spans="4:26">
      <c r="D55" s="86">
        <v>4.7E-2</v>
      </c>
      <c r="E55" s="61">
        <v>-205.08065999999999</v>
      </c>
      <c r="U55" s="86">
        <v>4.7E-2</v>
      </c>
      <c r="V55" s="62">
        <v>1030.3712</v>
      </c>
      <c r="W55" s="86">
        <v>4.7E-2</v>
      </c>
      <c r="X55" s="62">
        <v>1027.3098</v>
      </c>
      <c r="Y55" s="86">
        <v>4.7E-2</v>
      </c>
      <c r="Z55" s="62">
        <v>1021.3453</v>
      </c>
    </row>
    <row r="56" spans="4:26">
      <c r="D56" s="86">
        <v>4.8000000000000001E-2</v>
      </c>
      <c r="E56" s="61">
        <v>-208.98119</v>
      </c>
      <c r="U56" s="86">
        <v>4.8000000000000001E-2</v>
      </c>
      <c r="V56" s="62">
        <v>1030.8753999999999</v>
      </c>
      <c r="W56" s="86">
        <v>4.8000000000000001E-2</v>
      </c>
      <c r="X56" s="62">
        <v>1027.7268999999999</v>
      </c>
      <c r="Y56" s="86">
        <v>4.8000000000000001E-2</v>
      </c>
      <c r="Z56" s="62">
        <v>1021.6017000000001</v>
      </c>
    </row>
    <row r="57" spans="4:26">
      <c r="D57" s="86">
        <v>4.9000000000000002E-2</v>
      </c>
      <c r="E57" s="61">
        <v>-212.86405999999999</v>
      </c>
      <c r="U57" s="86">
        <v>4.9000000000000002E-2</v>
      </c>
      <c r="V57" s="62">
        <v>1031.3755000000001</v>
      </c>
      <c r="W57" s="86">
        <v>4.9000000000000002E-2</v>
      </c>
      <c r="X57" s="62">
        <v>1028.1393</v>
      </c>
      <c r="Y57" s="86">
        <v>4.9000000000000002E-2</v>
      </c>
      <c r="Z57" s="62">
        <v>1021.8528</v>
      </c>
    </row>
    <row r="58" spans="4:26">
      <c r="D58" s="86">
        <v>0.05</v>
      </c>
      <c r="E58" s="61">
        <v>-216.72934000000001</v>
      </c>
      <c r="U58" s="86">
        <v>0.05</v>
      </c>
      <c r="V58" s="62">
        <v>1031.8715999999999</v>
      </c>
      <c r="W58" s="86">
        <v>0.05</v>
      </c>
      <c r="X58" s="62">
        <v>1028.5471</v>
      </c>
      <c r="Y58" s="86">
        <v>0.05</v>
      </c>
      <c r="Z58" s="62">
        <v>1022.0987</v>
      </c>
    </row>
    <row r="59" spans="4:26">
      <c r="D59" s="86">
        <v>5.0999999999999997E-2</v>
      </c>
      <c r="E59" s="61">
        <v>-220.57714999999999</v>
      </c>
      <c r="U59" s="86">
        <v>5.0999999999999997E-2</v>
      </c>
      <c r="V59" s="62">
        <v>1032.3635999999999</v>
      </c>
      <c r="W59" s="86">
        <v>5.0999999999999997E-2</v>
      </c>
      <c r="X59" s="62">
        <v>1028.9503</v>
      </c>
      <c r="Y59" s="86">
        <v>5.0999999999999997E-2</v>
      </c>
      <c r="Z59" s="62">
        <v>1022.3395</v>
      </c>
    </row>
    <row r="60" spans="4:26">
      <c r="D60" s="86">
        <v>5.1999999999999998E-2</v>
      </c>
      <c r="E60" s="61">
        <v>-224.40754999999999</v>
      </c>
      <c r="U60" s="86">
        <v>5.1999999999999998E-2</v>
      </c>
      <c r="V60" s="62">
        <v>1032.8516999999999</v>
      </c>
      <c r="W60" s="86">
        <v>5.1999999999999998E-2</v>
      </c>
      <c r="X60" s="62">
        <v>1029.3489999999999</v>
      </c>
      <c r="Y60" s="86">
        <v>5.1999999999999998E-2</v>
      </c>
      <c r="Z60" s="62">
        <v>1022.5752</v>
      </c>
    </row>
    <row r="61" spans="4:26">
      <c r="D61" s="86">
        <v>5.2999999999999999E-2</v>
      </c>
      <c r="E61" s="61">
        <v>-228.22064</v>
      </c>
      <c r="U61" s="86">
        <v>5.2999999999999999E-2</v>
      </c>
      <c r="V61" s="62">
        <v>1033.3358000000001</v>
      </c>
      <c r="W61" s="86">
        <v>5.2999999999999999E-2</v>
      </c>
      <c r="X61" s="62">
        <v>1029.7431999999999</v>
      </c>
      <c r="Y61" s="86">
        <v>5.2999999999999999E-2</v>
      </c>
      <c r="Z61" s="62">
        <v>1022.8059</v>
      </c>
    </row>
    <row r="62" spans="4:26">
      <c r="D62" s="86">
        <v>5.3999999999999999E-2</v>
      </c>
      <c r="E62" s="61">
        <v>-232.01652999999999</v>
      </c>
      <c r="U62" s="86">
        <v>5.3999999999999999E-2</v>
      </c>
      <c r="V62" s="62">
        <v>1033.8159000000001</v>
      </c>
      <c r="W62" s="86">
        <v>5.3999999999999999E-2</v>
      </c>
      <c r="X62" s="62">
        <v>1030.1329000000001</v>
      </c>
      <c r="Y62" s="86">
        <v>5.3999999999999999E-2</v>
      </c>
      <c r="Z62" s="62">
        <v>1023.0318</v>
      </c>
    </row>
    <row r="63" spans="4:26">
      <c r="D63" s="86">
        <v>5.5E-2</v>
      </c>
      <c r="E63" s="61">
        <v>-235.79526999999999</v>
      </c>
      <c r="U63" s="86">
        <v>5.5E-2</v>
      </c>
      <c r="V63" s="62">
        <v>1034.2922000000001</v>
      </c>
      <c r="W63" s="86">
        <v>5.5E-2</v>
      </c>
      <c r="X63" s="62">
        <v>1030.5183</v>
      </c>
      <c r="Y63" s="86">
        <v>5.5E-2</v>
      </c>
      <c r="Z63" s="62">
        <v>1023.25287</v>
      </c>
    </row>
    <row r="64" spans="4:26">
      <c r="D64" s="86">
        <v>5.6000000000000001E-2</v>
      </c>
      <c r="E64" s="61">
        <v>-239.55699000000001</v>
      </c>
      <c r="U64" s="86">
        <v>5.6000000000000001E-2</v>
      </c>
      <c r="V64" s="62">
        <v>1034.7646</v>
      </c>
      <c r="W64" s="86">
        <v>5.6000000000000001E-2</v>
      </c>
      <c r="X64" s="62">
        <v>1030.8994</v>
      </c>
      <c r="Y64" s="86">
        <v>5.6000000000000001E-2</v>
      </c>
      <c r="Z64" s="62">
        <v>1023.46924</v>
      </c>
    </row>
    <row r="65" spans="4:26">
      <c r="D65" s="86">
        <v>5.7000000000000002E-2</v>
      </c>
      <c r="E65" s="61">
        <v>-243.30177</v>
      </c>
      <c r="U65" s="86">
        <v>5.7000000000000002E-2</v>
      </c>
      <c r="V65" s="62">
        <v>1035.2333000000001</v>
      </c>
      <c r="W65" s="86">
        <v>5.7000000000000002E-2</v>
      </c>
      <c r="X65" s="62">
        <v>1031.2762</v>
      </c>
      <c r="Y65" s="86">
        <v>5.7000000000000002E-2</v>
      </c>
      <c r="Z65" s="62">
        <v>1023.6809</v>
      </c>
    </row>
    <row r="66" spans="4:26">
      <c r="D66" s="86">
        <v>5.8000000000000003E-2</v>
      </c>
      <c r="E66" s="61">
        <v>-247.02969999999999</v>
      </c>
      <c r="U66" s="86">
        <v>5.8000000000000003E-2</v>
      </c>
      <c r="V66" s="62">
        <v>1035.6981000000001</v>
      </c>
      <c r="W66" s="86">
        <v>5.8000000000000003E-2</v>
      </c>
      <c r="X66" s="62">
        <v>1031.6487999999999</v>
      </c>
      <c r="Y66" s="86">
        <v>5.8000000000000003E-2</v>
      </c>
      <c r="Z66" s="62">
        <v>1023.88806</v>
      </c>
    </row>
    <row r="67" spans="4:26">
      <c r="D67" s="86">
        <v>5.8999999999999997E-2</v>
      </c>
      <c r="E67" s="61">
        <v>-250.74083999999999</v>
      </c>
      <c r="U67" s="86">
        <v>5.8999999999999997E-2</v>
      </c>
      <c r="V67" s="62">
        <v>1036.1592000000001</v>
      </c>
      <c r="W67" s="86">
        <v>5.8999999999999997E-2</v>
      </c>
      <c r="X67" s="62">
        <v>1032.0172</v>
      </c>
      <c r="Y67" s="86">
        <v>5.8999999999999997E-2</v>
      </c>
      <c r="Z67" s="62">
        <v>1024.0907</v>
      </c>
    </row>
    <row r="68" spans="4:26">
      <c r="D68" s="86">
        <v>0.06</v>
      </c>
      <c r="E68" s="61">
        <v>-254.43531999999999</v>
      </c>
      <c r="U68" s="86">
        <v>0.06</v>
      </c>
      <c r="V68" s="62">
        <v>1036.6166000000001</v>
      </c>
      <c r="W68" s="86">
        <v>0.06</v>
      </c>
      <c r="X68" s="62">
        <v>1032.3815</v>
      </c>
      <c r="Y68" s="86">
        <v>0.06</v>
      </c>
      <c r="Z68" s="62">
        <v>1024.289</v>
      </c>
    </row>
    <row r="69" spans="4:26">
      <c r="D69" s="86">
        <v>6.0999999999999999E-2</v>
      </c>
      <c r="E69" s="61">
        <v>-258.11320000000001</v>
      </c>
      <c r="U69" s="86">
        <v>6.0999999999999999E-2</v>
      </c>
      <c r="V69" s="62">
        <v>1037.0703000000001</v>
      </c>
      <c r="W69" s="86">
        <v>6.0999999999999999E-2</v>
      </c>
      <c r="X69" s="62">
        <v>1032.7416000000001</v>
      </c>
      <c r="Y69" s="86">
        <v>6.0999999999999999E-2</v>
      </c>
      <c r="Z69" s="62">
        <v>1024.4828</v>
      </c>
    </row>
    <row r="70" spans="4:26">
      <c r="D70" s="86">
        <v>6.2E-2</v>
      </c>
      <c r="E70" s="61">
        <v>-261.77456999999998</v>
      </c>
      <c r="U70" s="86">
        <v>6.2E-2</v>
      </c>
      <c r="V70" s="62">
        <v>1037.5204000000001</v>
      </c>
      <c r="W70" s="86">
        <v>6.2E-2</v>
      </c>
      <c r="X70" s="62">
        <v>1033.0978</v>
      </c>
      <c r="Y70" s="86">
        <v>6.2E-2</v>
      </c>
      <c r="Z70" s="62">
        <v>1024.6724999999999</v>
      </c>
    </row>
    <row r="71" spans="4:26">
      <c r="D71" s="86">
        <v>6.3E-2</v>
      </c>
      <c r="E71" s="61">
        <v>-265.41953000000001</v>
      </c>
      <c r="U71" s="86">
        <v>6.3E-2</v>
      </c>
      <c r="V71" s="62">
        <v>1037.9667999999999</v>
      </c>
      <c r="W71" s="86">
        <v>6.3E-2</v>
      </c>
      <c r="X71" s="62">
        <v>1033.45</v>
      </c>
      <c r="Y71" s="86">
        <v>6.3E-2</v>
      </c>
      <c r="Z71" s="62">
        <v>1024.8578</v>
      </c>
    </row>
    <row r="72" spans="4:26">
      <c r="D72" s="86">
        <v>6.4000000000000001E-2</v>
      </c>
      <c r="E72" s="61">
        <v>-269.04813000000001</v>
      </c>
      <c r="U72" s="86">
        <v>6.4000000000000001E-2</v>
      </c>
      <c r="V72" s="62">
        <v>1038.4096999999999</v>
      </c>
      <c r="W72" s="86">
        <v>6.4000000000000001E-2</v>
      </c>
      <c r="X72" s="62">
        <v>1033.7981</v>
      </c>
      <c r="Y72" s="86">
        <v>6.4000000000000001E-2</v>
      </c>
      <c r="Z72" s="62">
        <v>1025.0391</v>
      </c>
    </row>
    <row r="73" spans="4:26">
      <c r="D73" s="86">
        <v>6.5000000000000002E-2</v>
      </c>
      <c r="E73" s="61">
        <v>-272.66052000000002</v>
      </c>
      <c r="U73" s="86">
        <v>6.5000000000000002E-2</v>
      </c>
      <c r="V73" s="62">
        <v>1038.8489999999999</v>
      </c>
      <c r="W73" s="86">
        <v>6.5000000000000002E-2</v>
      </c>
      <c r="X73" s="62">
        <v>1034.1424999999999</v>
      </c>
      <c r="Y73" s="86">
        <v>6.5000000000000002E-2</v>
      </c>
      <c r="Z73" s="62">
        <v>1025.2163</v>
      </c>
    </row>
    <row r="74" spans="4:26">
      <c r="D74" s="86">
        <v>6.6000000000000003E-2</v>
      </c>
      <c r="E74" s="61">
        <v>-276.25673999999998</v>
      </c>
      <c r="U74" s="86">
        <v>6.6000000000000003E-2</v>
      </c>
      <c r="V74" s="62">
        <v>1039.2849000000001</v>
      </c>
      <c r="W74" s="86">
        <v>6.6000000000000003E-2</v>
      </c>
      <c r="X74" s="62">
        <v>1034.4829</v>
      </c>
      <c r="Y74" s="86">
        <v>6.6000000000000003E-2</v>
      </c>
      <c r="Z74" s="62">
        <v>1025.3894</v>
      </c>
    </row>
    <row r="75" spans="4:26">
      <c r="D75" s="86">
        <v>6.7000000000000004E-2</v>
      </c>
      <c r="E75" s="61">
        <v>-279.83685000000003</v>
      </c>
      <c r="U75" s="86">
        <v>6.7000000000000004E-2</v>
      </c>
      <c r="V75" s="62">
        <v>1039.7172</v>
      </c>
      <c r="W75" s="86">
        <v>6.7000000000000004E-2</v>
      </c>
      <c r="X75" s="62">
        <v>1034.8195000000001</v>
      </c>
      <c r="Y75" s="86">
        <v>6.7000000000000004E-2</v>
      </c>
      <c r="Z75" s="62">
        <v>1025.5587</v>
      </c>
    </row>
    <row r="76" spans="4:26">
      <c r="D76" s="86">
        <v>6.8000000000000005E-2</v>
      </c>
      <c r="E76" s="61">
        <v>-283.40100000000001</v>
      </c>
      <c r="U76" s="86">
        <v>6.8000000000000005E-2</v>
      </c>
      <c r="V76" s="62">
        <v>1040.1460999999999</v>
      </c>
      <c r="W76" s="86">
        <v>6.8000000000000005E-2</v>
      </c>
      <c r="X76" s="62">
        <v>1035.1523</v>
      </c>
      <c r="Y76" s="86">
        <v>6.8000000000000005E-2</v>
      </c>
      <c r="Z76" s="62">
        <v>1025.7239999999999</v>
      </c>
    </row>
    <row r="77" spans="4:26">
      <c r="D77" s="86">
        <v>6.9000000000000006E-2</v>
      </c>
      <c r="E77" s="61">
        <v>-286.94925000000001</v>
      </c>
      <c r="U77" s="86">
        <v>6.9000000000000006E-2</v>
      </c>
      <c r="V77" s="62">
        <v>1040.5715</v>
      </c>
      <c r="W77" s="86">
        <v>6.9000000000000006E-2</v>
      </c>
      <c r="X77" s="62">
        <v>1035.4813999999999</v>
      </c>
      <c r="Y77" s="86">
        <v>6.9000000000000006E-2</v>
      </c>
      <c r="Z77" s="62">
        <v>1025.8856000000001</v>
      </c>
    </row>
    <row r="78" spans="4:26">
      <c r="D78" s="86">
        <v>7.0000000000000007E-2</v>
      </c>
      <c r="E78" s="61">
        <v>-290.48165999999998</v>
      </c>
      <c r="U78" s="86">
        <v>7.0000000000000007E-2</v>
      </c>
      <c r="V78" s="62">
        <v>1040.9937</v>
      </c>
      <c r="W78" s="86">
        <v>7.0000000000000007E-2</v>
      </c>
      <c r="X78" s="62">
        <v>1035.8069</v>
      </c>
      <c r="Y78" s="86">
        <v>7.0000000000000007E-2</v>
      </c>
      <c r="Z78" s="62">
        <v>1026.0433</v>
      </c>
    </row>
    <row r="79" spans="4:26">
      <c r="D79" s="86">
        <v>7.0999999999999994E-2</v>
      </c>
      <c r="E79" s="61">
        <v>-293.99831999999998</v>
      </c>
      <c r="U79" s="86">
        <v>7.0999999999999994E-2</v>
      </c>
      <c r="V79" s="62">
        <v>1041.4124999999999</v>
      </c>
      <c r="W79" s="86">
        <v>7.0999999999999994E-2</v>
      </c>
      <c r="X79" s="62">
        <v>1036.1287</v>
      </c>
      <c r="Y79" s="86">
        <v>7.0999999999999994E-2</v>
      </c>
      <c r="Z79" s="62">
        <v>1026.1975</v>
      </c>
    </row>
    <row r="80" spans="4:26">
      <c r="D80" s="86">
        <v>7.1999999999999995E-2</v>
      </c>
      <c r="E80" s="61">
        <v>-297.49936000000002</v>
      </c>
      <c r="U80" s="86">
        <v>7.1999999999999995E-2</v>
      </c>
      <c r="V80" s="62">
        <v>1041.8279</v>
      </c>
      <c r="W80" s="86">
        <v>7.1999999999999995E-2</v>
      </c>
      <c r="X80" s="62">
        <v>1036.4467999999999</v>
      </c>
      <c r="Y80" s="86">
        <v>7.1999999999999995E-2</v>
      </c>
      <c r="Z80" s="62">
        <v>1026.3479</v>
      </c>
    </row>
    <row r="81" spans="4:26">
      <c r="D81" s="86">
        <v>7.2999999999999995E-2</v>
      </c>
      <c r="E81" s="61">
        <v>-300.98477000000003</v>
      </c>
      <c r="U81" s="86">
        <v>7.2999999999999995E-2</v>
      </c>
      <c r="V81" s="62">
        <v>1042.24</v>
      </c>
      <c r="W81" s="86">
        <v>7.2999999999999995E-2</v>
      </c>
      <c r="X81" s="62">
        <v>1036.7615000000001</v>
      </c>
      <c r="Y81" s="86">
        <v>7.2999999999999995E-2</v>
      </c>
      <c r="Z81" s="62">
        <v>1026.4948999999999</v>
      </c>
    </row>
    <row r="82" spans="4:26">
      <c r="D82" s="86">
        <v>7.3999999999999996E-2</v>
      </c>
      <c r="E82" s="61">
        <v>-304.4547</v>
      </c>
      <c r="U82" s="86">
        <v>7.3999999999999996E-2</v>
      </c>
      <c r="V82" s="62">
        <v>1042.6487999999999</v>
      </c>
      <c r="W82" s="86">
        <v>7.3999999999999996E-2</v>
      </c>
      <c r="X82" s="62">
        <v>1037.0725</v>
      </c>
      <c r="Y82" s="86">
        <v>7.3999999999999996E-2</v>
      </c>
      <c r="Z82" s="62">
        <v>1026.6382000000001</v>
      </c>
    </row>
    <row r="83" spans="4:26">
      <c r="D83" s="86">
        <v>7.4999999999999997E-2</v>
      </c>
      <c r="E83" s="61">
        <v>-307.90924000000001</v>
      </c>
      <c r="U83" s="86">
        <v>7.4999999999999997E-2</v>
      </c>
      <c r="V83" s="62">
        <v>1043.0543</v>
      </c>
      <c r="W83" s="86">
        <v>7.4999999999999997E-2</v>
      </c>
      <c r="X83" s="62">
        <v>1037.3800000000001</v>
      </c>
      <c r="Y83" s="86">
        <v>7.4999999999999997E-2</v>
      </c>
      <c r="Z83" s="62">
        <v>1026.7781</v>
      </c>
    </row>
    <row r="84" spans="4:26">
      <c r="D84" s="86">
        <v>7.5999999999999998E-2</v>
      </c>
      <c r="E84" s="61">
        <v>-311.34845000000001</v>
      </c>
      <c r="U84" s="86">
        <v>7.5999999999999998E-2</v>
      </c>
      <c r="V84" s="62">
        <v>1043.4567999999999</v>
      </c>
      <c r="W84" s="86">
        <v>7.5999999999999998E-2</v>
      </c>
      <c r="X84" s="62">
        <v>1037.6841999999999</v>
      </c>
      <c r="Y84" s="86">
        <v>7.5999999999999998E-2</v>
      </c>
      <c r="Z84" s="62">
        <v>1026.9146000000001</v>
      </c>
    </row>
    <row r="85" spans="4:26">
      <c r="D85" s="86">
        <v>7.6999999999999999E-2</v>
      </c>
      <c r="E85" s="61">
        <v>-314.7724</v>
      </c>
      <c r="U85" s="86">
        <v>7.6999999999999999E-2</v>
      </c>
      <c r="V85" s="62">
        <v>1043.856</v>
      </c>
      <c r="W85" s="86">
        <v>7.6999999999999999E-2</v>
      </c>
      <c r="X85" s="62">
        <v>1037.9848999999999</v>
      </c>
      <c r="Y85" s="86">
        <v>7.6999999999999999E-2</v>
      </c>
      <c r="Z85" s="62">
        <v>1027.0477000000001</v>
      </c>
    </row>
    <row r="86" spans="4:26">
      <c r="D86" s="86">
        <v>7.8E-2</v>
      </c>
      <c r="E86" s="61">
        <v>-318.18117999999998</v>
      </c>
      <c r="U86" s="86">
        <v>7.8E-2</v>
      </c>
      <c r="V86" s="62">
        <v>1044.252</v>
      </c>
      <c r="W86" s="86">
        <v>7.8E-2</v>
      </c>
      <c r="X86" s="62">
        <v>1038.2822000000001</v>
      </c>
      <c r="Y86" s="86">
        <v>7.8E-2</v>
      </c>
      <c r="Z86" s="62">
        <v>1027.1775</v>
      </c>
    </row>
    <row r="87" spans="4:26">
      <c r="D87" s="86">
        <v>7.9000000000000001E-2</v>
      </c>
      <c r="E87" s="61">
        <v>-321.57486</v>
      </c>
      <c r="U87" s="86">
        <v>7.9000000000000001E-2</v>
      </c>
      <c r="V87" s="62">
        <v>1044.6449</v>
      </c>
      <c r="W87" s="86">
        <v>7.9000000000000001E-2</v>
      </c>
      <c r="X87" s="62">
        <v>1038.5762</v>
      </c>
      <c r="Y87" s="86">
        <v>7.9000000000000001E-2</v>
      </c>
      <c r="Z87" s="62">
        <v>1027.3041000000001</v>
      </c>
    </row>
    <row r="88" spans="4:26">
      <c r="D88" s="86">
        <v>0.08</v>
      </c>
      <c r="E88" s="61">
        <v>-324.95352000000003</v>
      </c>
      <c r="U88" s="86">
        <v>0.08</v>
      </c>
      <c r="V88" s="62">
        <v>1045.0346999999999</v>
      </c>
      <c r="W88" s="86">
        <v>0.08</v>
      </c>
      <c r="X88" s="62">
        <v>1038.8668</v>
      </c>
      <c r="Y88" s="86">
        <v>0.08</v>
      </c>
      <c r="Z88" s="62">
        <v>1027.4275</v>
      </c>
    </row>
    <row r="89" spans="4:26">
      <c r="D89" s="86">
        <v>8.1000000000000003E-2</v>
      </c>
      <c r="E89" s="61">
        <v>-328.31725999999998</v>
      </c>
      <c r="U89" s="86">
        <v>8.1000000000000003E-2</v>
      </c>
      <c r="V89" s="62">
        <v>1045.4214999999999</v>
      </c>
      <c r="W89" s="86">
        <v>8.1000000000000003E-2</v>
      </c>
      <c r="X89" s="62">
        <v>1039.1542999999999</v>
      </c>
      <c r="Y89" s="86">
        <v>8.1000000000000003E-2</v>
      </c>
      <c r="Z89" s="62">
        <v>1027.5477000000001</v>
      </c>
    </row>
    <row r="90" spans="4:26">
      <c r="D90" s="86">
        <v>8.2000000000000003E-2</v>
      </c>
      <c r="E90" s="61">
        <v>-331.66613999999998</v>
      </c>
      <c r="U90" s="86">
        <v>8.2000000000000003E-2</v>
      </c>
      <c r="V90" s="62">
        <v>1045.8052</v>
      </c>
      <c r="W90" s="86">
        <v>8.2000000000000003E-2</v>
      </c>
      <c r="X90" s="62">
        <v>1039.4385</v>
      </c>
      <c r="Y90" s="86">
        <v>8.2000000000000003E-2</v>
      </c>
      <c r="Z90" s="62">
        <v>1027.6648</v>
      </c>
    </row>
    <row r="91" spans="4:26">
      <c r="D91" s="86">
        <v>8.3000000000000004E-2</v>
      </c>
      <c r="E91" s="61">
        <v>-335.00024000000002</v>
      </c>
      <c r="U91" s="86">
        <v>8.3000000000000004E-2</v>
      </c>
      <c r="V91" s="62">
        <v>1046.1858</v>
      </c>
      <c r="W91" s="86">
        <v>8.3000000000000004E-2</v>
      </c>
      <c r="X91" s="62">
        <v>1039.7194</v>
      </c>
      <c r="Y91" s="86">
        <v>8.3000000000000004E-2</v>
      </c>
      <c r="Z91" s="62">
        <v>1027.7789</v>
      </c>
    </row>
    <row r="92" spans="4:26">
      <c r="D92" s="86">
        <v>8.4000000000000005E-2</v>
      </c>
      <c r="E92" s="61">
        <v>-338.31966999999997</v>
      </c>
      <c r="U92" s="86">
        <v>8.4000000000000005E-2</v>
      </c>
      <c r="V92" s="62">
        <v>1046.5635</v>
      </c>
      <c r="W92" s="86">
        <v>8.4000000000000005E-2</v>
      </c>
      <c r="X92" s="62">
        <v>1039.9972</v>
      </c>
      <c r="Y92" s="86">
        <v>8.4000000000000005E-2</v>
      </c>
      <c r="Z92" s="62">
        <v>1027.8898999999999</v>
      </c>
    </row>
    <row r="93" spans="4:26">
      <c r="D93" s="86">
        <v>8.5000000000000006E-2</v>
      </c>
      <c r="E93" s="61">
        <v>-341.62445000000002</v>
      </c>
      <c r="U93" s="86">
        <v>8.5000000000000006E-2</v>
      </c>
      <c r="V93" s="62">
        <v>1046.9382000000001</v>
      </c>
      <c r="W93" s="86">
        <v>8.5000000000000006E-2</v>
      </c>
      <c r="X93" s="62">
        <v>1040.2719</v>
      </c>
      <c r="Y93" s="86">
        <v>8.5000000000000006E-2</v>
      </c>
      <c r="Z93" s="62">
        <v>1027.998</v>
      </c>
    </row>
    <row r="94" spans="4:26">
      <c r="D94" s="86">
        <v>8.5999999999999993E-2</v>
      </c>
      <c r="E94" s="61">
        <v>-344.91469999999998</v>
      </c>
      <c r="U94" s="86">
        <v>8.5999999999999993E-2</v>
      </c>
      <c r="V94" s="62">
        <v>1047.3099</v>
      </c>
      <c r="W94" s="86">
        <v>8.5999999999999993E-2</v>
      </c>
      <c r="X94" s="62">
        <v>1040.5435</v>
      </c>
      <c r="Y94" s="86">
        <v>8.5999999999999993E-2</v>
      </c>
      <c r="Z94" s="62">
        <v>1028.1033</v>
      </c>
    </row>
    <row r="95" spans="4:26">
      <c r="D95" s="86">
        <v>8.6999999999999994E-2</v>
      </c>
      <c r="E95" s="61">
        <v>-348.19049999999999</v>
      </c>
      <c r="U95" s="86">
        <v>8.6999999999999994E-2</v>
      </c>
      <c r="V95" s="62">
        <v>1047.6786999999999</v>
      </c>
      <c r="W95" s="86">
        <v>8.6999999999999994E-2</v>
      </c>
      <c r="X95" s="62">
        <v>1040.8118999999999</v>
      </c>
      <c r="Y95" s="86">
        <v>8.6999999999999994E-2</v>
      </c>
      <c r="Z95" s="62">
        <v>1028.2056</v>
      </c>
    </row>
    <row r="96" spans="4:26">
      <c r="D96" s="86">
        <v>8.7999999999999995E-2</v>
      </c>
      <c r="E96" s="61">
        <v>-351.45186999999999</v>
      </c>
      <c r="U96" s="86">
        <v>8.7999999999999995E-2</v>
      </c>
      <c r="V96" s="62">
        <v>1048.0446999999999</v>
      </c>
      <c r="W96" s="86">
        <v>8.7999999999999995E-2</v>
      </c>
      <c r="X96" s="62">
        <v>1041.0773999999999</v>
      </c>
      <c r="Y96" s="86">
        <v>8.7999999999999995E-2</v>
      </c>
      <c r="Z96" s="62">
        <v>1028.3050000000001</v>
      </c>
    </row>
    <row r="97" spans="4:26">
      <c r="D97" s="86">
        <v>8.8999999999999996E-2</v>
      </c>
      <c r="E97" s="61">
        <v>-354.69893999999999</v>
      </c>
      <c r="U97" s="86">
        <v>8.8999999999999996E-2</v>
      </c>
      <c r="V97" s="62">
        <v>1048.4077</v>
      </c>
      <c r="W97" s="86">
        <v>8.8999999999999996E-2</v>
      </c>
      <c r="X97" s="62">
        <v>1041.3398</v>
      </c>
      <c r="Y97" s="86">
        <v>8.8999999999999996E-2</v>
      </c>
      <c r="Z97" s="62">
        <v>1028.4019000000001</v>
      </c>
    </row>
    <row r="98" spans="4:26">
      <c r="D98" s="86">
        <v>0.09</v>
      </c>
      <c r="E98" s="61">
        <v>-357.93176</v>
      </c>
      <c r="U98" s="86">
        <v>0.09</v>
      </c>
      <c r="V98" s="62">
        <v>1048.768</v>
      </c>
      <c r="W98" s="86">
        <v>0.09</v>
      </c>
      <c r="X98" s="62">
        <v>1041.5994000000001</v>
      </c>
      <c r="Y98" s="86">
        <v>0.09</v>
      </c>
      <c r="Z98" s="62">
        <v>1028.4957999999999</v>
      </c>
    </row>
    <row r="99" spans="4:26">
      <c r="D99" s="86">
        <v>9.0999999999999998E-2</v>
      </c>
      <c r="E99" s="61">
        <v>-361.15042</v>
      </c>
      <c r="U99" s="86">
        <v>9.0999999999999998E-2</v>
      </c>
      <c r="V99" s="62">
        <v>1049.1253999999999</v>
      </c>
      <c r="W99" s="86">
        <v>9.0999999999999998E-2</v>
      </c>
      <c r="X99" s="62">
        <v>1041.856</v>
      </c>
      <c r="Y99" s="86">
        <v>9.0999999999999998E-2</v>
      </c>
      <c r="Z99" s="62">
        <v>1028.5871999999999</v>
      </c>
    </row>
    <row r="100" spans="4:26">
      <c r="D100" s="86">
        <v>9.1999999999999998E-2</v>
      </c>
      <c r="E100" s="61">
        <v>-364.35500000000002</v>
      </c>
      <c r="U100" s="86">
        <v>9.1999999999999998E-2</v>
      </c>
      <c r="V100" s="62">
        <v>1049.48</v>
      </c>
      <c r="W100" s="86">
        <v>9.1999999999999998E-2</v>
      </c>
      <c r="X100" s="62">
        <v>1042.1096</v>
      </c>
      <c r="Y100" s="86">
        <v>9.1999999999999998E-2</v>
      </c>
      <c r="Z100" s="62">
        <v>1028.6758</v>
      </c>
    </row>
    <row r="101" spans="4:26">
      <c r="D101" s="86">
        <v>9.2999999999999999E-2</v>
      </c>
      <c r="E101" s="61">
        <v>-367.54556000000002</v>
      </c>
      <c r="U101" s="86">
        <v>9.2999999999999999E-2</v>
      </c>
      <c r="V101" s="62">
        <v>1049.8317999999999</v>
      </c>
      <c r="W101" s="86">
        <v>9.2999999999999999E-2</v>
      </c>
      <c r="X101" s="62">
        <v>1042.3604</v>
      </c>
      <c r="Y101" s="86">
        <v>9.2999999999999999E-2</v>
      </c>
      <c r="Z101" s="62">
        <v>1028.7618</v>
      </c>
    </row>
    <row r="102" spans="4:26">
      <c r="D102" s="86">
        <v>9.4E-2</v>
      </c>
      <c r="E102" s="61">
        <v>-370.72217000000001</v>
      </c>
      <c r="U102" s="86">
        <v>9.4E-2</v>
      </c>
      <c r="V102" s="62">
        <v>1050.1808000000001</v>
      </c>
      <c r="W102" s="86">
        <v>9.4E-2</v>
      </c>
      <c r="X102" s="62">
        <v>1042.6083000000001</v>
      </c>
      <c r="Y102" s="86">
        <v>9.4E-2</v>
      </c>
      <c r="Z102" s="62">
        <v>1028.8453</v>
      </c>
    </row>
    <row r="103" spans="4:26">
      <c r="D103" s="86">
        <v>9.5000000000000001E-2</v>
      </c>
      <c r="E103" s="61">
        <v>-373.88492000000002</v>
      </c>
      <c r="U103" s="86">
        <v>9.5000000000000001E-2</v>
      </c>
      <c r="V103" s="62">
        <v>1050.5272</v>
      </c>
      <c r="W103" s="86">
        <v>9.5000000000000001E-2</v>
      </c>
      <c r="X103" s="62">
        <v>1042.8534</v>
      </c>
      <c r="Y103" s="86">
        <v>9.5000000000000001E-2</v>
      </c>
      <c r="Z103" s="62">
        <v>1028.9263000000001</v>
      </c>
    </row>
    <row r="104" spans="4:26">
      <c r="D104" s="86">
        <v>9.6000000000000002E-2</v>
      </c>
      <c r="E104" s="61">
        <v>-377.03386999999998</v>
      </c>
      <c r="U104" s="86">
        <v>9.6000000000000002E-2</v>
      </c>
      <c r="V104" s="62">
        <v>1050.8707999999999</v>
      </c>
      <c r="W104" s="86">
        <v>9.6000000000000002E-2</v>
      </c>
      <c r="X104" s="62">
        <v>1043.0957000000001</v>
      </c>
      <c r="Y104" s="86">
        <v>9.6000000000000002E-2</v>
      </c>
      <c r="Z104" s="62">
        <v>1029.0047999999999</v>
      </c>
    </row>
    <row r="105" spans="4:26">
      <c r="D105" s="86">
        <v>9.7000000000000003E-2</v>
      </c>
      <c r="E105" s="61">
        <v>-380.16910000000001</v>
      </c>
      <c r="U105" s="86">
        <v>9.7000000000000003E-2</v>
      </c>
      <c r="V105" s="62">
        <v>1051.2118</v>
      </c>
      <c r="W105" s="86">
        <v>9.7000000000000003E-2</v>
      </c>
      <c r="X105" s="62">
        <v>1043.3353</v>
      </c>
      <c r="Y105" s="86">
        <v>9.7000000000000003E-2</v>
      </c>
      <c r="Z105" s="62">
        <v>1029.0808</v>
      </c>
    </row>
    <row r="106" spans="4:26">
      <c r="D106" s="86">
        <v>9.8000000000000004E-2</v>
      </c>
      <c r="E106" s="61">
        <v>-383.29068000000001</v>
      </c>
      <c r="U106" s="86">
        <v>9.8000000000000004E-2</v>
      </c>
      <c r="V106" s="62">
        <v>1051.55</v>
      </c>
      <c r="W106" s="86">
        <v>9.8000000000000004E-2</v>
      </c>
      <c r="X106" s="62">
        <v>1043.5721000000001</v>
      </c>
      <c r="Y106" s="86">
        <v>9.8000000000000004E-2</v>
      </c>
      <c r="Z106" s="62">
        <v>1029.1542999999999</v>
      </c>
    </row>
    <row r="107" spans="4:26">
      <c r="D107" s="86">
        <v>9.9000000000000005E-2</v>
      </c>
      <c r="E107" s="61">
        <v>-386.39868000000001</v>
      </c>
      <c r="U107" s="86">
        <v>9.9000000000000005E-2</v>
      </c>
      <c r="V107" s="62">
        <v>1051.8856000000001</v>
      </c>
      <c r="W107" s="86">
        <v>9.9000000000000005E-2</v>
      </c>
      <c r="X107" s="62">
        <v>1043.8063</v>
      </c>
      <c r="Y107" s="86">
        <v>9.9000000000000005E-2</v>
      </c>
      <c r="Z107" s="62">
        <v>1029.2256</v>
      </c>
    </row>
    <row r="108" spans="4:26">
      <c r="D108" s="86">
        <v>0.1</v>
      </c>
      <c r="E108" s="61">
        <v>-389.49315999999999</v>
      </c>
      <c r="U108" s="86">
        <v>0.1</v>
      </c>
      <c r="V108" s="62">
        <v>1052.2188000000001</v>
      </c>
      <c r="W108" s="86">
        <v>0.1</v>
      </c>
      <c r="X108" s="62">
        <v>1044.0377000000001</v>
      </c>
      <c r="Y108" s="86">
        <v>0.1</v>
      </c>
      <c r="Z108" s="62">
        <v>1029.2944</v>
      </c>
    </row>
    <row r="109" spans="4:26">
      <c r="D109" s="86">
        <v>0.10100000000000001</v>
      </c>
      <c r="E109" s="61">
        <v>-392.57422000000003</v>
      </c>
      <c r="U109" s="86">
        <v>0.10100000000000001</v>
      </c>
      <c r="V109" s="62">
        <v>1052.5491</v>
      </c>
      <c r="W109" s="86">
        <v>0.10100000000000001</v>
      </c>
      <c r="X109" s="62">
        <v>1044.2665</v>
      </c>
      <c r="Y109" s="86">
        <v>0.10100000000000001</v>
      </c>
      <c r="Z109" s="62">
        <v>1029.3610000000001</v>
      </c>
    </row>
    <row r="110" spans="4:26">
      <c r="D110" s="86">
        <v>0.10199999999999999</v>
      </c>
      <c r="E110" s="61">
        <v>-395.64190000000002</v>
      </c>
      <c r="U110" s="86">
        <v>0.10199999999999999</v>
      </c>
      <c r="V110" s="62">
        <v>1052.877</v>
      </c>
      <c r="W110" s="86">
        <v>0.10199999999999999</v>
      </c>
      <c r="X110" s="62">
        <v>1044.4927</v>
      </c>
      <c r="Y110" s="86">
        <v>0.10199999999999999</v>
      </c>
      <c r="Z110" s="62">
        <v>1029.4253000000001</v>
      </c>
    </row>
    <row r="111" spans="4:26">
      <c r="D111" s="86">
        <v>0.10299999999999999</v>
      </c>
      <c r="E111" s="61">
        <v>-398.69630000000001</v>
      </c>
      <c r="U111" s="86">
        <v>0.10299999999999999</v>
      </c>
      <c r="V111" s="62">
        <v>1053.2022999999999</v>
      </c>
      <c r="W111" s="86">
        <v>0.10299999999999999</v>
      </c>
      <c r="X111" s="62">
        <v>1044.7163</v>
      </c>
      <c r="Y111" s="86">
        <v>0.10299999999999999</v>
      </c>
      <c r="Z111" s="62">
        <v>1029.4873</v>
      </c>
    </row>
    <row r="112" spans="4:26">
      <c r="D112" s="86">
        <v>0.104</v>
      </c>
      <c r="E112" s="61">
        <v>-401.73746</v>
      </c>
      <c r="U112" s="86">
        <v>0.104</v>
      </c>
      <c r="V112" s="62">
        <v>1053.5250000000001</v>
      </c>
      <c r="W112" s="86">
        <v>0.104</v>
      </c>
      <c r="X112" s="62">
        <v>1044.9374</v>
      </c>
      <c r="Y112" s="86">
        <v>0.104</v>
      </c>
      <c r="Z112" s="62">
        <v>1029.5472</v>
      </c>
    </row>
    <row r="113" spans="4:26">
      <c r="D113" s="86">
        <v>0.105</v>
      </c>
      <c r="E113" s="61">
        <v>-404.76546999999999</v>
      </c>
      <c r="U113" s="86">
        <v>0.105</v>
      </c>
      <c r="V113" s="62">
        <v>1053.8453</v>
      </c>
      <c r="W113" s="86">
        <v>0.105</v>
      </c>
      <c r="X113" s="62">
        <v>1045.1559</v>
      </c>
      <c r="Y113" s="86">
        <v>0.105</v>
      </c>
      <c r="Z113" s="62">
        <v>1029.6049</v>
      </c>
    </row>
    <row r="114" spans="4:26">
      <c r="D114" s="86">
        <v>0.106</v>
      </c>
      <c r="E114" s="61">
        <v>-407.78039999999999</v>
      </c>
      <c r="U114" s="86">
        <v>0.106</v>
      </c>
      <c r="V114" s="62">
        <v>1054.1631</v>
      </c>
      <c r="W114" s="86">
        <v>0.106</v>
      </c>
      <c r="X114" s="62">
        <v>1045.3717999999999</v>
      </c>
      <c r="Y114" s="86">
        <v>0.106</v>
      </c>
      <c r="Z114" s="62">
        <v>1029.6604</v>
      </c>
    </row>
    <row r="115" spans="4:26">
      <c r="D115" s="86">
        <v>0.107</v>
      </c>
      <c r="E115" s="61">
        <v>-410.78232000000003</v>
      </c>
      <c r="U115" s="86">
        <v>0.107</v>
      </c>
      <c r="V115" s="62">
        <v>1054.4783</v>
      </c>
      <c r="W115" s="86">
        <v>0.107</v>
      </c>
      <c r="X115" s="62">
        <v>1045.5853</v>
      </c>
      <c r="Y115" s="86">
        <v>0.107</v>
      </c>
      <c r="Z115" s="62">
        <v>1029.7139</v>
      </c>
    </row>
    <row r="116" spans="4:26">
      <c r="D116" s="86">
        <v>0.108</v>
      </c>
      <c r="E116" s="61">
        <v>-413.77127000000002</v>
      </c>
      <c r="U116" s="86">
        <v>0.108</v>
      </c>
      <c r="V116" s="62">
        <v>1054.7910999999999</v>
      </c>
      <c r="W116" s="86">
        <v>0.108</v>
      </c>
      <c r="X116" s="62">
        <v>1045.7963999999999</v>
      </c>
      <c r="Y116" s="86">
        <v>0.108</v>
      </c>
      <c r="Z116" s="62">
        <v>1029.7653</v>
      </c>
    </row>
    <row r="117" spans="4:26">
      <c r="D117" s="86">
        <v>0.109</v>
      </c>
      <c r="E117" s="61">
        <v>-416.74734000000001</v>
      </c>
      <c r="U117" s="86">
        <v>0.109</v>
      </c>
      <c r="V117" s="62">
        <v>1055.1016</v>
      </c>
      <c r="W117" s="86">
        <v>0.109</v>
      </c>
      <c r="X117" s="62">
        <v>1046.0050000000001</v>
      </c>
      <c r="Y117" s="86">
        <v>0.109</v>
      </c>
      <c r="Z117" s="62">
        <v>1029.8145999999999</v>
      </c>
    </row>
    <row r="118" spans="4:26">
      <c r="D118" s="86">
        <v>0.11</v>
      </c>
      <c r="E118" s="61">
        <v>-419.71062999999998</v>
      </c>
      <c r="U118" s="86">
        <v>0.11</v>
      </c>
      <c r="V118" s="62">
        <v>1055.4095</v>
      </c>
      <c r="W118" s="86">
        <v>0.11</v>
      </c>
      <c r="X118" s="62">
        <v>1046.2112</v>
      </c>
      <c r="Y118" s="86">
        <v>0.11</v>
      </c>
      <c r="Z118" s="62">
        <v>1029.8619000000001</v>
      </c>
    </row>
    <row r="119" spans="4:26">
      <c r="D119" s="86">
        <v>0.111</v>
      </c>
      <c r="E119" s="61">
        <v>-422.66113000000001</v>
      </c>
      <c r="U119" s="86">
        <v>0.111</v>
      </c>
      <c r="V119" s="62">
        <v>1055.7150999999999</v>
      </c>
      <c r="W119" s="86">
        <v>0.111</v>
      </c>
      <c r="X119" s="62">
        <v>1046.415</v>
      </c>
      <c r="Y119" s="86">
        <v>0.111</v>
      </c>
      <c r="Z119" s="62">
        <v>1029.9072000000001</v>
      </c>
    </row>
    <row r="120" spans="4:26">
      <c r="D120" s="86">
        <v>0.112</v>
      </c>
      <c r="E120" s="61">
        <v>-425.59899999999999</v>
      </c>
      <c r="U120" s="86">
        <v>0.112</v>
      </c>
      <c r="V120" s="62">
        <v>1056.0183</v>
      </c>
      <c r="W120" s="86">
        <v>0.112</v>
      </c>
      <c r="X120" s="62">
        <v>1046.6165000000001</v>
      </c>
      <c r="Y120" s="86">
        <v>0.112</v>
      </c>
      <c r="Z120" s="62">
        <v>1029.9507000000001</v>
      </c>
    </row>
    <row r="121" spans="4:26">
      <c r="D121" s="86">
        <v>0.113</v>
      </c>
      <c r="E121" s="61">
        <v>-428.52422999999999</v>
      </c>
      <c r="U121" s="86">
        <v>0.113</v>
      </c>
      <c r="V121" s="62">
        <v>1056.3191999999999</v>
      </c>
      <c r="W121" s="86">
        <v>0.113</v>
      </c>
      <c r="X121" s="62">
        <v>1046.8155999999999</v>
      </c>
      <c r="Y121" s="86">
        <v>0.113</v>
      </c>
      <c r="Z121" s="62">
        <v>1029.9920999999999</v>
      </c>
    </row>
    <row r="122" spans="4:26">
      <c r="D122" s="86">
        <v>0.114</v>
      </c>
      <c r="E122" s="61">
        <v>-431.43691999999999</v>
      </c>
      <c r="U122" s="86">
        <v>0.114</v>
      </c>
      <c r="V122" s="62">
        <v>1056.6178</v>
      </c>
      <c r="W122" s="86">
        <v>0.114</v>
      </c>
      <c r="X122" s="62">
        <v>1047.0123000000001</v>
      </c>
      <c r="Y122" s="86">
        <v>0.114</v>
      </c>
      <c r="Z122" s="62">
        <v>1030.0316</v>
      </c>
    </row>
    <row r="123" spans="4:26">
      <c r="D123" s="86">
        <v>0.115</v>
      </c>
      <c r="E123" s="61">
        <v>-434.33713</v>
      </c>
      <c r="U123" s="86">
        <v>0.115</v>
      </c>
      <c r="V123" s="62">
        <v>1056.914</v>
      </c>
      <c r="W123" s="86">
        <v>0.115</v>
      </c>
      <c r="X123" s="62">
        <v>1047.2068999999999</v>
      </c>
      <c r="Y123" s="86">
        <v>0.115</v>
      </c>
      <c r="Z123" s="62">
        <v>1030.0693000000001</v>
      </c>
    </row>
    <row r="124" spans="4:26">
      <c r="D124" s="86">
        <v>0.11600000000000001</v>
      </c>
      <c r="E124" s="61">
        <v>-437.22489999999999</v>
      </c>
      <c r="U124" s="86">
        <v>0.11600000000000001</v>
      </c>
      <c r="V124" s="62">
        <v>1057.2079000000001</v>
      </c>
      <c r="W124" s="86">
        <v>0.11600000000000001</v>
      </c>
      <c r="X124" s="62">
        <v>1047.3989999999999</v>
      </c>
      <c r="Y124" s="86">
        <v>0.11600000000000001</v>
      </c>
      <c r="Z124" s="62">
        <v>1030.1052</v>
      </c>
    </row>
    <row r="125" spans="4:26">
      <c r="D125" s="86">
        <v>0.11700000000000001</v>
      </c>
      <c r="E125" s="61">
        <v>-440.10037</v>
      </c>
      <c r="U125" s="86">
        <v>0.11700000000000001</v>
      </c>
      <c r="V125" s="62">
        <v>1057.4994999999999</v>
      </c>
      <c r="W125" s="86">
        <v>0.11700000000000001</v>
      </c>
      <c r="X125" s="62">
        <v>1047.5890999999999</v>
      </c>
      <c r="Y125" s="86">
        <v>0.11700000000000001</v>
      </c>
      <c r="Z125" s="62">
        <v>1030.1393</v>
      </c>
    </row>
    <row r="126" spans="4:26">
      <c r="D126" s="86">
        <v>0.11799999999999999</v>
      </c>
      <c r="E126" s="61">
        <v>-442.96352999999999</v>
      </c>
      <c r="U126" s="86">
        <v>0.11799999999999999</v>
      </c>
      <c r="V126" s="62">
        <v>1057.7888</v>
      </c>
      <c r="W126" s="86">
        <v>0.11799999999999999</v>
      </c>
      <c r="X126" s="62">
        <v>1047.7769000000001</v>
      </c>
      <c r="Y126" s="86">
        <v>0.11799999999999999</v>
      </c>
      <c r="Z126" s="62">
        <v>1030.1715999999999</v>
      </c>
    </row>
    <row r="127" spans="4:26">
      <c r="D127" s="86">
        <v>0.11899999999999999</v>
      </c>
      <c r="E127" s="61">
        <v>-445.81448</v>
      </c>
      <c r="U127" s="86">
        <v>0.11899999999999999</v>
      </c>
      <c r="V127" s="62">
        <v>1058.0759</v>
      </c>
      <c r="W127" s="86">
        <v>0.11899999999999999</v>
      </c>
      <c r="X127" s="62">
        <v>1047.9623999999999</v>
      </c>
      <c r="Y127" s="86">
        <v>0.11899999999999999</v>
      </c>
      <c r="Z127" s="62">
        <v>1030.2021</v>
      </c>
    </row>
    <row r="128" spans="4:26">
      <c r="D128" s="86">
        <v>0.12</v>
      </c>
      <c r="E128" s="61">
        <v>-448.6533</v>
      </c>
      <c r="U128" s="86">
        <v>0.12</v>
      </c>
      <c r="V128" s="62">
        <v>1058.3607999999999</v>
      </c>
      <c r="W128" s="86">
        <v>0.12</v>
      </c>
      <c r="X128" s="62">
        <v>1048.1458</v>
      </c>
      <c r="Y128" s="86">
        <v>0.12</v>
      </c>
      <c r="Z128" s="62">
        <v>1030.231</v>
      </c>
    </row>
    <row r="129" spans="4:26">
      <c r="D129" s="86">
        <v>0.121</v>
      </c>
      <c r="E129" s="61">
        <v>-451.47998000000001</v>
      </c>
      <c r="U129" s="86">
        <v>0.121</v>
      </c>
      <c r="V129" s="62">
        <v>1058.6436000000001</v>
      </c>
      <c r="W129" s="86">
        <v>0.121</v>
      </c>
      <c r="X129" s="62">
        <v>1048.3269</v>
      </c>
      <c r="Y129" s="86">
        <v>0.121</v>
      </c>
      <c r="Z129" s="62">
        <v>1030.258</v>
      </c>
    </row>
    <row r="130" spans="4:26">
      <c r="D130" s="86">
        <v>0.122</v>
      </c>
      <c r="E130" s="61">
        <v>-454.29468000000003</v>
      </c>
      <c r="U130" s="86">
        <v>0.122</v>
      </c>
      <c r="V130" s="62">
        <v>1058.9241</v>
      </c>
      <c r="W130" s="86">
        <v>0.122</v>
      </c>
      <c r="X130" s="62">
        <v>1048.5060000000001</v>
      </c>
      <c r="Y130" s="86">
        <v>0.122</v>
      </c>
      <c r="Z130" s="62">
        <v>1030.2834</v>
      </c>
    </row>
    <row r="131" spans="4:26">
      <c r="D131" s="86">
        <v>0.123</v>
      </c>
      <c r="E131" s="61">
        <v>-457.09737999999999</v>
      </c>
      <c r="U131" s="86">
        <v>0.123</v>
      </c>
      <c r="V131" s="62">
        <v>1059.2023999999999</v>
      </c>
      <c r="W131" s="86">
        <v>0.123</v>
      </c>
      <c r="X131" s="62">
        <v>1048.683</v>
      </c>
      <c r="Y131" s="86">
        <v>0.123</v>
      </c>
      <c r="Z131" s="62">
        <v>1030.3072999999999</v>
      </c>
    </row>
    <row r="132" spans="4:26">
      <c r="D132" s="86">
        <v>0.124</v>
      </c>
      <c r="E132" s="61">
        <v>-459.88819999999998</v>
      </c>
      <c r="U132" s="86">
        <v>0.124</v>
      </c>
      <c r="V132" s="62">
        <v>1059.4784999999999</v>
      </c>
      <c r="W132" s="86">
        <v>0.124</v>
      </c>
      <c r="X132" s="62">
        <v>1048.8578</v>
      </c>
      <c r="Y132" s="86">
        <v>0.124</v>
      </c>
      <c r="Z132" s="62">
        <v>1030.3293000000001</v>
      </c>
    </row>
    <row r="133" spans="4:26">
      <c r="D133" s="86">
        <v>0.125</v>
      </c>
      <c r="E133" s="61">
        <v>-462.66717999999997</v>
      </c>
      <c r="U133" s="86">
        <v>0.125</v>
      </c>
      <c r="V133" s="62">
        <v>1059.7526</v>
      </c>
      <c r="W133" s="86">
        <v>0.125</v>
      </c>
      <c r="X133" s="62">
        <v>1049.0306</v>
      </c>
      <c r="Y133" s="86">
        <v>0.125</v>
      </c>
      <c r="Z133" s="62">
        <v>1030.3499999999999</v>
      </c>
    </row>
    <row r="134" spans="4:26">
      <c r="D134" s="86">
        <v>0.126</v>
      </c>
      <c r="E134" s="61">
        <v>-465.43439999999998</v>
      </c>
      <c r="U134" s="86">
        <v>0.126</v>
      </c>
      <c r="V134" s="62">
        <v>1060.0244</v>
      </c>
      <c r="W134" s="86">
        <v>0.126</v>
      </c>
      <c r="X134" s="62">
        <v>1049.2012999999999</v>
      </c>
      <c r="Y134" s="86">
        <v>0.126</v>
      </c>
      <c r="Z134" s="62">
        <v>1030.3688999999999</v>
      </c>
    </row>
    <row r="135" spans="4:26">
      <c r="D135" s="86">
        <v>0.127</v>
      </c>
      <c r="E135" s="61">
        <v>-468.18988000000002</v>
      </c>
      <c r="U135" s="86">
        <v>0.127</v>
      </c>
      <c r="V135" s="62">
        <v>1060.2942</v>
      </c>
      <c r="W135" s="86">
        <v>0.127</v>
      </c>
      <c r="X135" s="62">
        <v>1049.3699999999999</v>
      </c>
      <c r="Y135" s="86">
        <v>0.127</v>
      </c>
      <c r="Z135" s="62">
        <v>1030.3864000000001</v>
      </c>
    </row>
    <row r="136" spans="4:26">
      <c r="D136" s="86">
        <v>0.128</v>
      </c>
      <c r="E136" s="61">
        <v>-470.93371999999999</v>
      </c>
      <c r="U136" s="86">
        <v>0.128</v>
      </c>
      <c r="V136" s="62">
        <v>1060.5618999999999</v>
      </c>
      <c r="W136" s="86">
        <v>0.128</v>
      </c>
      <c r="X136" s="62">
        <v>1049.5367000000001</v>
      </c>
      <c r="Y136" s="86">
        <v>0.128</v>
      </c>
      <c r="Z136" s="62">
        <v>1030.4022</v>
      </c>
    </row>
    <row r="137" spans="4:26">
      <c r="D137" s="86">
        <v>0.129</v>
      </c>
      <c r="E137" s="61">
        <v>-473.666</v>
      </c>
      <c r="U137" s="86">
        <v>0.129</v>
      </c>
      <c r="V137" s="62">
        <v>1060.8275000000001</v>
      </c>
      <c r="W137" s="86">
        <v>0.129</v>
      </c>
      <c r="X137" s="62">
        <v>1049.7013999999999</v>
      </c>
      <c r="Y137" s="86">
        <v>0.129</v>
      </c>
      <c r="Z137" s="62">
        <v>1030.4165</v>
      </c>
    </row>
    <row r="138" spans="4:26">
      <c r="D138" s="86">
        <v>0.13</v>
      </c>
      <c r="E138" s="61">
        <v>-476.38670000000002</v>
      </c>
      <c r="U138" s="86">
        <v>0.13</v>
      </c>
      <c r="V138" s="62">
        <v>1061.0911000000001</v>
      </c>
      <c r="W138" s="86">
        <v>0.13</v>
      </c>
      <c r="X138" s="62">
        <v>1049.8641</v>
      </c>
      <c r="Y138" s="86">
        <v>0.13</v>
      </c>
      <c r="Z138" s="62">
        <v>1030.4294</v>
      </c>
    </row>
    <row r="139" spans="4:26">
      <c r="D139" s="86">
        <v>0.13100000000000001</v>
      </c>
      <c r="E139" s="61">
        <v>-479.09595000000002</v>
      </c>
      <c r="U139" s="86">
        <v>0.13100000000000001</v>
      </c>
      <c r="V139" s="62">
        <v>1061.3525</v>
      </c>
      <c r="W139" s="86">
        <v>0.13100000000000001</v>
      </c>
      <c r="X139" s="62">
        <v>1050.0248999999999</v>
      </c>
      <c r="Y139" s="86">
        <v>0.13100000000000001</v>
      </c>
      <c r="Z139" s="62">
        <v>1030.4408000000001</v>
      </c>
    </row>
    <row r="140" spans="4:26">
      <c r="D140" s="86">
        <v>0.13200000000000001</v>
      </c>
      <c r="E140" s="61">
        <v>-481.79379999999998</v>
      </c>
      <c r="U140" s="86">
        <v>0.13200000000000001</v>
      </c>
      <c r="V140" s="62">
        <v>1061.6120000000001</v>
      </c>
      <c r="W140" s="86">
        <v>0.13200000000000001</v>
      </c>
      <c r="X140" s="62">
        <v>1050.1837</v>
      </c>
      <c r="Y140" s="86">
        <v>0.13200000000000001</v>
      </c>
      <c r="Z140" s="62">
        <v>1030.4508000000001</v>
      </c>
    </row>
    <row r="141" spans="4:26">
      <c r="D141" s="86">
        <v>0.13300000000000001</v>
      </c>
      <c r="E141" s="61">
        <v>-484.48032000000001</v>
      </c>
      <c r="U141" s="86">
        <v>0.13300000000000001</v>
      </c>
      <c r="V141" s="62">
        <v>1061.8695</v>
      </c>
      <c r="W141" s="86">
        <v>0.13300000000000001</v>
      </c>
      <c r="X141" s="62">
        <v>1050.3406</v>
      </c>
      <c r="Y141" s="86">
        <v>0.13300000000000001</v>
      </c>
      <c r="Z141" s="62">
        <v>1030.4592</v>
      </c>
    </row>
    <row r="142" spans="4:26">
      <c r="D142" s="86">
        <v>0.13400000000000001</v>
      </c>
      <c r="E142" s="61">
        <v>-487.15552000000002</v>
      </c>
      <c r="U142" s="86">
        <v>0.13400000000000001</v>
      </c>
      <c r="V142" s="62">
        <v>1062.1249</v>
      </c>
      <c r="W142" s="86">
        <v>0.13400000000000001</v>
      </c>
      <c r="X142" s="62">
        <v>1050.4956</v>
      </c>
      <c r="Y142" s="86">
        <v>0.13400000000000001</v>
      </c>
      <c r="Z142" s="62">
        <v>1030.4664</v>
      </c>
    </row>
    <row r="143" spans="4:26">
      <c r="D143" s="86">
        <v>0.13500000000000001</v>
      </c>
      <c r="E143" s="61">
        <v>-489.81950000000001</v>
      </c>
      <c r="U143" s="86">
        <v>0.13500000000000001</v>
      </c>
      <c r="V143" s="62">
        <v>1062.3784000000001</v>
      </c>
      <c r="W143" s="86">
        <v>0.13500000000000001</v>
      </c>
      <c r="X143" s="62">
        <v>1050.6487</v>
      </c>
      <c r="Y143" s="86">
        <v>0.13500000000000001</v>
      </c>
      <c r="Z143" s="62">
        <v>1030.4721999999999</v>
      </c>
    </row>
    <row r="144" spans="4:26">
      <c r="D144" s="86">
        <v>0.13600000000000001</v>
      </c>
      <c r="E144" s="61">
        <v>-492.47230000000002</v>
      </c>
      <c r="U144" s="86">
        <v>0.13600000000000001</v>
      </c>
      <c r="V144" s="62">
        <v>1062.6298999999999</v>
      </c>
      <c r="W144" s="86">
        <v>0.13600000000000001</v>
      </c>
      <c r="X144" s="62">
        <v>1050.7999</v>
      </c>
      <c r="Y144" s="86">
        <v>0.13600000000000001</v>
      </c>
      <c r="Z144" s="62">
        <v>1030.4766</v>
      </c>
    </row>
    <row r="145" spans="4:26">
      <c r="D145" s="86">
        <v>0.13700000000000001</v>
      </c>
      <c r="E145" s="61">
        <v>-495.11399999999998</v>
      </c>
      <c r="U145" s="86">
        <v>0.13700000000000001</v>
      </c>
      <c r="V145" s="62">
        <v>1062.8795</v>
      </c>
      <c r="W145" s="86">
        <v>0.13700000000000001</v>
      </c>
      <c r="X145" s="62">
        <v>1050.9493</v>
      </c>
      <c r="Y145" s="86">
        <v>0.13700000000000001</v>
      </c>
      <c r="Z145" s="62">
        <v>1030.4795999999999</v>
      </c>
    </row>
    <row r="146" spans="4:26">
      <c r="D146" s="86">
        <v>0.13800000000000001</v>
      </c>
      <c r="E146" s="61">
        <v>-497.74466000000001</v>
      </c>
      <c r="U146" s="86">
        <v>0.13800000000000001</v>
      </c>
      <c r="V146" s="62">
        <v>1063.1270999999999</v>
      </c>
      <c r="W146" s="86">
        <v>0.13800000000000001</v>
      </c>
      <c r="X146" s="62">
        <v>1051.0969</v>
      </c>
      <c r="Y146" s="86">
        <v>0.13800000000000001</v>
      </c>
      <c r="Z146" s="62">
        <v>1030.4812999999999</v>
      </c>
    </row>
    <row r="147" spans="4:26">
      <c r="D147" s="86">
        <v>0.13900000000000001</v>
      </c>
      <c r="E147" s="61">
        <v>-500.36430000000001</v>
      </c>
      <c r="U147" s="86">
        <v>0.13900000000000001</v>
      </c>
      <c r="V147" s="62">
        <v>1063.3728000000001</v>
      </c>
      <c r="W147" s="86">
        <v>0.13900000000000001</v>
      </c>
      <c r="X147" s="62">
        <v>1051.2428</v>
      </c>
      <c r="Y147" s="86">
        <v>0.13900000000000001</v>
      </c>
      <c r="Z147" s="62">
        <v>1030.4817</v>
      </c>
    </row>
    <row r="148" spans="4:26">
      <c r="D148" s="86">
        <v>0.14000000000000001</v>
      </c>
      <c r="E148" s="61">
        <v>-502.97302000000002</v>
      </c>
      <c r="U148" s="86">
        <v>0.14000000000000001</v>
      </c>
      <c r="V148" s="62">
        <v>1063.6166000000001</v>
      </c>
      <c r="W148" s="86">
        <v>0.14000000000000001</v>
      </c>
      <c r="X148" s="62">
        <v>1051.3867</v>
      </c>
      <c r="Y148" s="86">
        <v>0.14000000000000001</v>
      </c>
      <c r="Z148" s="62">
        <v>1030.4808</v>
      </c>
    </row>
    <row r="149" spans="4:26">
      <c r="D149" s="86">
        <v>0.14099999999999999</v>
      </c>
      <c r="E149" s="61">
        <v>-505.57083</v>
      </c>
      <c r="U149" s="86">
        <v>0.14099999999999999</v>
      </c>
      <c r="V149" s="62">
        <v>1063.8585</v>
      </c>
      <c r="W149" s="86">
        <v>0.14099999999999999</v>
      </c>
      <c r="X149" s="62">
        <v>1051.5289</v>
      </c>
      <c r="Y149" s="86">
        <v>0.14099999999999999</v>
      </c>
      <c r="Z149" s="62">
        <v>1030.4788000000001</v>
      </c>
    </row>
    <row r="150" spans="4:26">
      <c r="D150" s="86">
        <v>0.14199999999999999</v>
      </c>
      <c r="E150" s="61">
        <v>-508.15787</v>
      </c>
      <c r="U150" s="86">
        <v>0.14199999999999999</v>
      </c>
      <c r="V150" s="62">
        <v>1064.0985000000001</v>
      </c>
      <c r="W150" s="86">
        <v>0.14199999999999999</v>
      </c>
      <c r="X150" s="62">
        <v>1051.6694</v>
      </c>
      <c r="Y150" s="86">
        <v>0.14199999999999999</v>
      </c>
      <c r="Z150" s="62">
        <v>1030.4753000000001</v>
      </c>
    </row>
    <row r="151" spans="4:26">
      <c r="D151" s="86">
        <v>0.14299999999999999</v>
      </c>
      <c r="E151" s="61">
        <v>-510.73410000000001</v>
      </c>
      <c r="U151" s="86">
        <v>0.14299999999999999</v>
      </c>
      <c r="V151" s="62">
        <v>1064.3367000000001</v>
      </c>
      <c r="W151" s="86">
        <v>0.14299999999999999</v>
      </c>
      <c r="X151" s="62">
        <v>1051.8081</v>
      </c>
      <c r="Y151" s="86">
        <v>0.14299999999999999</v>
      </c>
      <c r="Z151" s="62">
        <v>1030.4708000000001</v>
      </c>
    </row>
    <row r="152" spans="4:26">
      <c r="D152" s="86">
        <v>0.14399999999999999</v>
      </c>
      <c r="E152" s="61">
        <v>-513.29960000000005</v>
      </c>
      <c r="U152" s="86">
        <v>0.14399999999999999</v>
      </c>
      <c r="V152" s="62">
        <v>1064.5728999999999</v>
      </c>
      <c r="W152" s="86">
        <v>0.14399999999999999</v>
      </c>
      <c r="X152" s="62">
        <v>1051.9450999999999</v>
      </c>
      <c r="Y152" s="86">
        <v>0.14399999999999999</v>
      </c>
      <c r="Z152" s="62">
        <v>1030.4649999999999</v>
      </c>
    </row>
    <row r="153" spans="4:26">
      <c r="D153" s="86">
        <v>0.14499999999999999</v>
      </c>
      <c r="E153" s="61">
        <v>-515.85450000000003</v>
      </c>
      <c r="U153" s="86">
        <v>0.14499999999999999</v>
      </c>
      <c r="V153" s="62">
        <v>1064.8073999999999</v>
      </c>
      <c r="W153" s="86">
        <v>0.14499999999999999</v>
      </c>
      <c r="X153" s="62">
        <v>1052.0803000000001</v>
      </c>
      <c r="Y153" s="86">
        <v>0.14499999999999999</v>
      </c>
      <c r="Z153" s="62">
        <v>1030.4580000000001</v>
      </c>
    </row>
    <row r="154" spans="4:26">
      <c r="D154" s="86">
        <v>0.14599999999999999</v>
      </c>
      <c r="E154" s="61">
        <v>-518.39880000000005</v>
      </c>
      <c r="U154" s="86">
        <v>0.14599999999999999</v>
      </c>
      <c r="V154" s="62">
        <v>1065.04</v>
      </c>
      <c r="W154" s="86">
        <v>0.14599999999999999</v>
      </c>
      <c r="X154" s="62">
        <v>1052.2139</v>
      </c>
      <c r="Y154" s="86">
        <v>0.14599999999999999</v>
      </c>
      <c r="Z154" s="62">
        <v>1030.4498000000001</v>
      </c>
    </row>
    <row r="155" spans="4:26">
      <c r="D155" s="86">
        <v>0.14699999999999999</v>
      </c>
      <c r="E155" s="61">
        <v>-520.93255999999997</v>
      </c>
      <c r="U155" s="86">
        <v>0.14699999999999999</v>
      </c>
      <c r="V155" s="62">
        <v>1065.2709</v>
      </c>
      <c r="W155" s="86">
        <v>0.14699999999999999</v>
      </c>
      <c r="X155" s="62">
        <v>1052.3458000000001</v>
      </c>
      <c r="Y155" s="86">
        <v>0.14699999999999999</v>
      </c>
      <c r="Z155" s="62">
        <v>1030.4404</v>
      </c>
    </row>
    <row r="156" spans="4:26">
      <c r="D156" s="86">
        <v>0.14799999999999999</v>
      </c>
      <c r="E156" s="61">
        <v>-523.45574999999997</v>
      </c>
      <c r="U156" s="86">
        <v>0.14799999999999999</v>
      </c>
      <c r="V156" s="62">
        <v>1065.4999</v>
      </c>
      <c r="W156" s="86">
        <v>0.14799999999999999</v>
      </c>
      <c r="X156" s="62">
        <v>1052.4761000000001</v>
      </c>
      <c r="Y156" s="86">
        <v>0.14799999999999999</v>
      </c>
      <c r="Z156" s="62">
        <v>1030.4299000000001</v>
      </c>
    </row>
    <row r="157" spans="4:26">
      <c r="D157" s="86">
        <v>0.14899999999999999</v>
      </c>
      <c r="E157" s="61">
        <v>-525.96857</v>
      </c>
      <c r="U157" s="86">
        <v>0.14899999999999999</v>
      </c>
      <c r="V157" s="62">
        <v>1065.7270000000001</v>
      </c>
      <c r="W157" s="86">
        <v>0.14899999999999999</v>
      </c>
      <c r="X157" s="62">
        <v>1052.6045999999999</v>
      </c>
      <c r="Y157" s="86">
        <v>0.14899999999999999</v>
      </c>
      <c r="Z157" s="62">
        <v>1030.4183</v>
      </c>
    </row>
    <row r="158" spans="4:26">
      <c r="D158" s="86">
        <v>0.15</v>
      </c>
      <c r="E158" s="61">
        <v>-528.471</v>
      </c>
      <c r="U158" s="86">
        <v>0.15</v>
      </c>
      <c r="V158" s="62">
        <v>1065.9525000000001</v>
      </c>
      <c r="W158" s="86">
        <v>0.15</v>
      </c>
      <c r="X158" s="62">
        <v>1052.7317</v>
      </c>
      <c r="Y158" s="86">
        <v>0.15</v>
      </c>
      <c r="Z158" s="62">
        <v>1030.4056</v>
      </c>
    </row>
    <row r="159" spans="4:26">
      <c r="D159" s="86">
        <v>0.151</v>
      </c>
      <c r="E159" s="61">
        <v>-530.96312999999998</v>
      </c>
      <c r="U159" s="86">
        <v>0.151</v>
      </c>
      <c r="V159" s="62">
        <v>1066.1763000000001</v>
      </c>
      <c r="W159" s="86">
        <v>0.151</v>
      </c>
      <c r="X159" s="62">
        <v>1052.8569</v>
      </c>
      <c r="Y159" s="86">
        <v>0.151</v>
      </c>
      <c r="Z159" s="62">
        <v>1030.3918000000001</v>
      </c>
    </row>
    <row r="160" spans="4:26">
      <c r="D160" s="86">
        <v>0.152</v>
      </c>
      <c r="E160" s="61">
        <v>-533.44500000000005</v>
      </c>
      <c r="U160" s="86">
        <v>0.152</v>
      </c>
      <c r="V160" s="62">
        <v>1066.3982000000001</v>
      </c>
      <c r="W160" s="86">
        <v>0.152</v>
      </c>
      <c r="X160" s="62">
        <v>1052.9807000000001</v>
      </c>
      <c r="Y160" s="86">
        <v>0.152</v>
      </c>
      <c r="Z160" s="62">
        <v>1030.377</v>
      </c>
    </row>
    <row r="161" spans="4:26">
      <c r="D161" s="86">
        <v>0.153</v>
      </c>
      <c r="E161" s="61">
        <v>-535.91660000000002</v>
      </c>
      <c r="U161" s="86">
        <v>0.153</v>
      </c>
      <c r="V161" s="62">
        <v>1066.6184000000001</v>
      </c>
      <c r="W161" s="86">
        <v>0.153</v>
      </c>
      <c r="X161" s="62">
        <v>1053.1029000000001</v>
      </c>
      <c r="Y161" s="86">
        <v>0.153</v>
      </c>
      <c r="Z161" s="62">
        <v>1030.3611000000001</v>
      </c>
    </row>
    <row r="162" spans="4:26">
      <c r="D162" s="86">
        <v>0.154</v>
      </c>
      <c r="E162" s="61">
        <v>-538.37805000000003</v>
      </c>
      <c r="U162" s="86">
        <v>0.154</v>
      </c>
      <c r="V162" s="62">
        <v>1066.8369</v>
      </c>
      <c r="W162" s="86">
        <v>0.154</v>
      </c>
      <c r="X162" s="62">
        <v>1053.2235000000001</v>
      </c>
      <c r="Y162" s="86">
        <v>0.154</v>
      </c>
      <c r="Z162" s="62">
        <v>1030.3441</v>
      </c>
    </row>
    <row r="163" spans="4:26">
      <c r="D163" s="86">
        <v>0.155</v>
      </c>
      <c r="E163" s="61">
        <v>-540.82939999999996</v>
      </c>
      <c r="U163" s="86">
        <v>0.155</v>
      </c>
      <c r="V163" s="62">
        <v>1067.0536999999999</v>
      </c>
      <c r="W163" s="86">
        <v>0.155</v>
      </c>
      <c r="X163" s="62">
        <v>1053.3425</v>
      </c>
      <c r="Y163" s="86">
        <v>0.155</v>
      </c>
      <c r="Z163" s="62">
        <v>1030.326</v>
      </c>
    </row>
    <row r="164" spans="4:26">
      <c r="D164" s="86">
        <v>0.156</v>
      </c>
      <c r="E164" s="61">
        <v>-543.27075000000002</v>
      </c>
      <c r="U164" s="86">
        <v>0.156</v>
      </c>
      <c r="V164" s="62">
        <v>1067.2689</v>
      </c>
      <c r="W164" s="86">
        <v>0.156</v>
      </c>
      <c r="X164" s="62">
        <v>1053.4601</v>
      </c>
      <c r="Y164" s="86">
        <v>0.156</v>
      </c>
      <c r="Z164" s="62">
        <v>1030.307</v>
      </c>
    </row>
    <row r="165" spans="4:26">
      <c r="D165" s="86">
        <v>0.157</v>
      </c>
      <c r="E165" s="61">
        <v>-545.702</v>
      </c>
      <c r="U165" s="86">
        <v>0.157</v>
      </c>
      <c r="V165" s="62">
        <v>1067.4822999999999</v>
      </c>
      <c r="W165" s="86">
        <v>0.157</v>
      </c>
      <c r="X165" s="62">
        <v>1053.576</v>
      </c>
      <c r="Y165" s="86">
        <v>0.157</v>
      </c>
      <c r="Z165" s="62">
        <v>1030.287</v>
      </c>
    </row>
    <row r="166" spans="4:26">
      <c r="D166" s="86">
        <v>0.158</v>
      </c>
      <c r="E166" s="61">
        <v>-548.12334999999996</v>
      </c>
      <c r="U166" s="86">
        <v>0.158</v>
      </c>
      <c r="V166" s="62">
        <v>1067.6940999999999</v>
      </c>
      <c r="W166" s="86">
        <v>0.158</v>
      </c>
      <c r="X166" s="62">
        <v>1053.6905999999999</v>
      </c>
      <c r="Y166" s="86">
        <v>0.158</v>
      </c>
      <c r="Z166" s="62">
        <v>1030.2660000000001</v>
      </c>
    </row>
    <row r="167" spans="4:26">
      <c r="D167" s="86">
        <v>0.159</v>
      </c>
      <c r="E167" s="61">
        <v>-550.53480000000002</v>
      </c>
      <c r="U167" s="86">
        <v>0.159</v>
      </c>
      <c r="V167" s="62">
        <v>1067.9041999999999</v>
      </c>
      <c r="W167" s="86">
        <v>0.159</v>
      </c>
      <c r="X167" s="62">
        <v>1053.8035</v>
      </c>
      <c r="Y167" s="86">
        <v>0.159</v>
      </c>
      <c r="Z167" s="62">
        <v>1030.2439999999999</v>
      </c>
    </row>
    <row r="168" spans="4:26">
      <c r="D168" s="86">
        <v>0.16</v>
      </c>
      <c r="E168" s="61">
        <v>-552.93640000000005</v>
      </c>
      <c r="U168" s="86">
        <v>0.16</v>
      </c>
      <c r="V168" s="62">
        <v>1068.1125</v>
      </c>
      <c r="W168" s="86">
        <v>0.16</v>
      </c>
      <c r="X168" s="62">
        <v>1053.9149</v>
      </c>
      <c r="Y168" s="86">
        <v>0.16</v>
      </c>
      <c r="Z168" s="62">
        <v>1030.2211</v>
      </c>
    </row>
    <row r="169" spans="4:26">
      <c r="D169" s="86">
        <v>0.161</v>
      </c>
      <c r="E169" s="61">
        <v>-555.32820000000004</v>
      </c>
      <c r="U169" s="86">
        <v>0.161</v>
      </c>
      <c r="V169" s="62">
        <v>1068.3195000000001</v>
      </c>
      <c r="W169" s="86">
        <v>0.161</v>
      </c>
      <c r="X169" s="62">
        <v>1054.0250000000001</v>
      </c>
      <c r="Y169" s="86">
        <v>0.161</v>
      </c>
      <c r="Z169" s="62">
        <v>1030.1973</v>
      </c>
    </row>
    <row r="170" spans="4:26">
      <c r="D170" s="86">
        <v>0.16200000000000001</v>
      </c>
      <c r="E170" s="61">
        <v>-557.71019999999999</v>
      </c>
      <c r="U170" s="86">
        <v>0.16200000000000001</v>
      </c>
      <c r="V170" s="62">
        <v>1068.5246999999999</v>
      </c>
      <c r="W170" s="86">
        <v>0.16200000000000001</v>
      </c>
      <c r="X170" s="62">
        <v>1054.1334999999999</v>
      </c>
      <c r="Y170" s="86">
        <v>0.16200000000000001</v>
      </c>
      <c r="Z170" s="62">
        <v>1030.1724999999999</v>
      </c>
    </row>
    <row r="171" spans="4:26">
      <c r="D171" s="86">
        <v>0.16300000000000001</v>
      </c>
      <c r="E171" s="61">
        <v>-560.08249999999998</v>
      </c>
      <c r="U171" s="86">
        <v>0.16300000000000001</v>
      </c>
      <c r="V171" s="62">
        <v>1068.7281</v>
      </c>
      <c r="W171" s="86">
        <v>0.16300000000000001</v>
      </c>
      <c r="X171" s="62">
        <v>1054.2406000000001</v>
      </c>
      <c r="Y171" s="86">
        <v>0.16300000000000001</v>
      </c>
      <c r="Z171" s="62">
        <v>1030.1467</v>
      </c>
    </row>
    <row r="172" spans="4:26">
      <c r="D172" s="86">
        <v>0.16400000000000001</v>
      </c>
      <c r="E172" s="61">
        <v>-562.44524999999999</v>
      </c>
      <c r="U172" s="86">
        <v>0.16400000000000001</v>
      </c>
      <c r="V172" s="62">
        <v>1068.9302</v>
      </c>
      <c r="W172" s="86">
        <v>0.16400000000000001</v>
      </c>
      <c r="X172" s="62">
        <v>1054.3462999999999</v>
      </c>
      <c r="Y172" s="86">
        <v>0.16400000000000001</v>
      </c>
      <c r="Z172" s="62">
        <v>1030.1201000000001</v>
      </c>
    </row>
    <row r="173" spans="4:26">
      <c r="D173" s="86">
        <v>0.16500000000000001</v>
      </c>
      <c r="E173" s="61">
        <v>-564.79834000000005</v>
      </c>
      <c r="U173" s="86">
        <v>0.16500000000000001</v>
      </c>
      <c r="V173" s="62">
        <v>1069.1306</v>
      </c>
      <c r="W173" s="86">
        <v>0.16500000000000001</v>
      </c>
      <c r="X173" s="62">
        <v>1054.4505999999999</v>
      </c>
      <c r="Y173" s="86">
        <v>0.16500000000000001</v>
      </c>
      <c r="Z173" s="62">
        <v>1030.0926999999999</v>
      </c>
    </row>
    <row r="174" spans="4:26">
      <c r="D174" s="86">
        <v>0.16600000000000001</v>
      </c>
      <c r="E174" s="61">
        <v>-567.14189999999996</v>
      </c>
      <c r="U174" s="86">
        <v>0.16600000000000001</v>
      </c>
      <c r="V174" s="62">
        <v>1069.3293000000001</v>
      </c>
      <c r="W174" s="86">
        <v>0.16600000000000001</v>
      </c>
      <c r="X174" s="62">
        <v>1054.5535</v>
      </c>
      <c r="Y174" s="86">
        <v>0.16600000000000001</v>
      </c>
      <c r="Z174" s="62">
        <v>1030.0642</v>
      </c>
    </row>
    <row r="175" spans="4:26">
      <c r="D175" s="86">
        <v>0.16700000000000001</v>
      </c>
      <c r="E175" s="61">
        <v>-569.47595000000001</v>
      </c>
      <c r="U175" s="86">
        <v>0.16700000000000001</v>
      </c>
      <c r="V175" s="62">
        <v>1069.5265999999999</v>
      </c>
      <c r="W175" s="86">
        <v>0.16700000000000001</v>
      </c>
      <c r="X175" s="62">
        <v>1054.6549</v>
      </c>
      <c r="Y175" s="86">
        <v>0.16700000000000001</v>
      </c>
      <c r="Z175" s="62">
        <v>1030.0349000000001</v>
      </c>
    </row>
    <row r="176" spans="4:26">
      <c r="D176" s="86">
        <v>0.16800000000000001</v>
      </c>
      <c r="E176" s="61">
        <v>-571.80053999999996</v>
      </c>
      <c r="U176" s="86">
        <v>0.16800000000000001</v>
      </c>
      <c r="V176" s="62">
        <v>1069.7222999999999</v>
      </c>
      <c r="W176" s="86">
        <v>0.16800000000000001</v>
      </c>
      <c r="X176" s="62">
        <v>1054.7550000000001</v>
      </c>
      <c r="Y176" s="86">
        <v>0.16800000000000001</v>
      </c>
      <c r="Z176" s="62">
        <v>1030.0048999999999</v>
      </c>
    </row>
    <row r="177" spans="4:26">
      <c r="D177" s="86">
        <v>0.16900000000000001</v>
      </c>
      <c r="E177" s="61">
        <v>-574.11569999999995</v>
      </c>
      <c r="U177" s="86">
        <v>0.16900000000000001</v>
      </c>
      <c r="V177" s="62">
        <v>1069.9165</v>
      </c>
      <c r="W177" s="86">
        <v>0.16900000000000001</v>
      </c>
      <c r="X177" s="62">
        <v>1054.8538000000001</v>
      </c>
      <c r="Y177" s="86">
        <v>0.16900000000000001</v>
      </c>
      <c r="Z177" s="62">
        <v>1029.9739</v>
      </c>
    </row>
    <row r="178" spans="4:26">
      <c r="D178" s="86">
        <v>0.17</v>
      </c>
      <c r="E178" s="61">
        <v>-576.42160000000001</v>
      </c>
      <c r="U178" s="86">
        <v>0.17</v>
      </c>
      <c r="V178" s="62">
        <v>1070.1090999999999</v>
      </c>
      <c r="W178" s="86">
        <v>0.17</v>
      </c>
      <c r="X178" s="62">
        <v>1054.9512</v>
      </c>
      <c r="Y178" s="86">
        <v>0.17</v>
      </c>
      <c r="Z178" s="62">
        <v>1029.9421</v>
      </c>
    </row>
    <row r="179" spans="4:26">
      <c r="D179" s="86">
        <v>0.17100000000000001</v>
      </c>
      <c r="E179" s="61">
        <v>-578.71813999999995</v>
      </c>
      <c r="U179" s="86">
        <v>0.17100000000000001</v>
      </c>
      <c r="V179" s="62">
        <v>1070.3001999999999</v>
      </c>
      <c r="W179" s="86">
        <v>0.17100000000000001</v>
      </c>
      <c r="X179" s="62">
        <v>1055.0471</v>
      </c>
      <c r="Y179" s="86">
        <v>0.17100000000000001</v>
      </c>
      <c r="Z179" s="62">
        <v>1029.9095</v>
      </c>
    </row>
    <row r="180" spans="4:26">
      <c r="D180" s="86">
        <v>0.17199999999999999</v>
      </c>
      <c r="E180" s="61">
        <v>-581.00543000000005</v>
      </c>
      <c r="U180" s="86">
        <v>0.17199999999999999</v>
      </c>
      <c r="V180" s="62">
        <v>1070.4897000000001</v>
      </c>
      <c r="W180" s="86">
        <v>0.17199999999999999</v>
      </c>
      <c r="X180" s="62">
        <v>1055.1418000000001</v>
      </c>
      <c r="Y180" s="86">
        <v>0.17199999999999999</v>
      </c>
      <c r="Z180" s="62">
        <v>1029.8761999999999</v>
      </c>
    </row>
    <row r="181" spans="4:26">
      <c r="D181" s="86">
        <v>0.17299999999999999</v>
      </c>
      <c r="E181" s="61">
        <v>-583.2835</v>
      </c>
      <c r="U181" s="86">
        <v>0.17299999999999999</v>
      </c>
      <c r="V181" s="62">
        <v>1070.6778999999999</v>
      </c>
      <c r="W181" s="86">
        <v>0.17299999999999999</v>
      </c>
      <c r="X181" s="62">
        <v>1055.2352000000001</v>
      </c>
      <c r="Y181" s="86">
        <v>0.17299999999999999</v>
      </c>
      <c r="Z181" s="62">
        <v>1029.8420000000001</v>
      </c>
    </row>
    <row r="182" spans="4:26">
      <c r="D182" s="86">
        <v>0.17399999999999999</v>
      </c>
      <c r="E182" s="61">
        <v>-585.55240000000003</v>
      </c>
      <c r="U182" s="86">
        <v>0.17399999999999999</v>
      </c>
      <c r="V182" s="62">
        <v>1070.8644999999999</v>
      </c>
      <c r="W182" s="86">
        <v>0.17399999999999999</v>
      </c>
      <c r="X182" s="62">
        <v>1055.3273999999999</v>
      </c>
      <c r="Y182" s="86">
        <v>0.17399999999999999</v>
      </c>
      <c r="Z182" s="62">
        <v>1029.8071</v>
      </c>
    </row>
    <row r="183" spans="4:26">
      <c r="D183" s="86">
        <v>0.17499999999999999</v>
      </c>
      <c r="E183" s="61">
        <v>-587.81226000000004</v>
      </c>
      <c r="U183" s="86">
        <v>0.17499999999999999</v>
      </c>
      <c r="V183" s="62">
        <v>1071.0496000000001</v>
      </c>
      <c r="W183" s="86">
        <v>0.17499999999999999</v>
      </c>
      <c r="X183" s="62">
        <v>1055.4181000000001</v>
      </c>
      <c r="Y183" s="86">
        <v>0.17499999999999999</v>
      </c>
      <c r="Z183" s="62">
        <v>1029.7714000000001</v>
      </c>
    </row>
    <row r="184" spans="4:26">
      <c r="D184" s="86">
        <v>0.17599999999999999</v>
      </c>
      <c r="E184" s="61">
        <v>-590.06299999999999</v>
      </c>
      <c r="U184" s="86">
        <v>0.17599999999999999</v>
      </c>
      <c r="V184" s="62">
        <v>1071.2333000000001</v>
      </c>
      <c r="W184" s="86">
        <v>0.17599999999999999</v>
      </c>
      <c r="X184" s="62">
        <v>1055.5077000000001</v>
      </c>
      <c r="Y184" s="86">
        <v>0.17599999999999999</v>
      </c>
      <c r="Z184" s="62">
        <v>1029.7348999999999</v>
      </c>
    </row>
    <row r="185" spans="4:26">
      <c r="D185" s="86">
        <v>0.17699999999999999</v>
      </c>
      <c r="E185" s="61">
        <v>-592.30470000000003</v>
      </c>
      <c r="U185" s="86">
        <v>0.17699999999999999</v>
      </c>
      <c r="V185" s="62">
        <v>1071.4154000000001</v>
      </c>
      <c r="W185" s="86">
        <v>0.17699999999999999</v>
      </c>
      <c r="X185" s="62">
        <v>1055.5958000000001</v>
      </c>
      <c r="Y185" s="86">
        <v>0.17699999999999999</v>
      </c>
      <c r="Z185" s="62">
        <v>1029.6976</v>
      </c>
    </row>
    <row r="186" spans="4:26">
      <c r="D186" s="86">
        <v>0.17799999999999999</v>
      </c>
      <c r="E186" s="61">
        <v>-594.53750000000002</v>
      </c>
      <c r="U186" s="86">
        <v>0.17799999999999999</v>
      </c>
      <c r="V186" s="62">
        <v>1071.5962</v>
      </c>
      <c r="W186" s="86">
        <v>0.17799999999999999</v>
      </c>
      <c r="X186" s="62">
        <v>1055.6829</v>
      </c>
      <c r="Y186" s="86">
        <v>0.17799999999999999</v>
      </c>
      <c r="Z186" s="62">
        <v>1029.6596999999999</v>
      </c>
    </row>
    <row r="187" spans="4:26">
      <c r="D187" s="86">
        <v>0.17899999999999999</v>
      </c>
      <c r="E187" s="61">
        <v>-596.76130000000001</v>
      </c>
      <c r="U187" s="86">
        <v>0.17899999999999999</v>
      </c>
      <c r="V187" s="62">
        <v>1071.7755</v>
      </c>
      <c r="W187" s="86">
        <v>0.17899999999999999</v>
      </c>
      <c r="X187" s="62">
        <v>1055.7686000000001</v>
      </c>
      <c r="Y187" s="86">
        <v>0.17899999999999999</v>
      </c>
      <c r="Z187" s="62">
        <v>1029.6211000000001</v>
      </c>
    </row>
    <row r="188" spans="4:26">
      <c r="D188" s="86">
        <v>0.18</v>
      </c>
      <c r="E188" s="61">
        <v>-598.97626000000002</v>
      </c>
      <c r="U188" s="86">
        <v>0.18</v>
      </c>
      <c r="V188" s="62">
        <v>1071.9534000000001</v>
      </c>
      <c r="W188" s="86">
        <v>0.18</v>
      </c>
      <c r="X188" s="62">
        <v>1055.8530000000001</v>
      </c>
      <c r="Y188" s="86">
        <v>0.18</v>
      </c>
      <c r="Z188" s="62">
        <v>1029.5817</v>
      </c>
    </row>
    <row r="189" spans="4:26">
      <c r="D189" s="86">
        <v>0.18099999999999999</v>
      </c>
      <c r="E189" s="61">
        <v>-601.18230000000005</v>
      </c>
      <c r="U189" s="86">
        <v>0.18099999999999999</v>
      </c>
      <c r="V189" s="62">
        <v>1072.1298999999999</v>
      </c>
      <c r="W189" s="86">
        <v>0.18099999999999999</v>
      </c>
      <c r="X189" s="62">
        <v>1055.9364</v>
      </c>
      <c r="Y189" s="86">
        <v>0.18099999999999999</v>
      </c>
      <c r="Z189" s="62">
        <v>1029.5416</v>
      </c>
    </row>
    <row r="190" spans="4:26">
      <c r="D190" s="86">
        <v>0.182</v>
      </c>
      <c r="E190" s="61">
        <v>-603.37963999999999</v>
      </c>
      <c r="U190" s="86">
        <v>0.182</v>
      </c>
      <c r="V190" s="62">
        <v>1072.3049000000001</v>
      </c>
      <c r="W190" s="86">
        <v>0.182</v>
      </c>
      <c r="X190" s="62">
        <v>1056.0183999999999</v>
      </c>
      <c r="Y190" s="86">
        <v>0.182</v>
      </c>
      <c r="Z190" s="62">
        <v>1029.5007000000001</v>
      </c>
    </row>
    <row r="191" spans="4:26">
      <c r="D191" s="86">
        <v>0.183</v>
      </c>
      <c r="E191" s="61">
        <v>-605.56823999999995</v>
      </c>
      <c r="U191" s="86">
        <v>0.183</v>
      </c>
      <c r="V191" s="62">
        <v>1072.4784999999999</v>
      </c>
      <c r="W191" s="86">
        <v>0.183</v>
      </c>
      <c r="X191" s="62">
        <v>1056.0992000000001</v>
      </c>
      <c r="Y191" s="86">
        <v>0.183</v>
      </c>
      <c r="Z191" s="62">
        <v>1029.4594</v>
      </c>
    </row>
    <row r="192" spans="4:26">
      <c r="D192" s="86">
        <v>0.184</v>
      </c>
      <c r="E192" s="61">
        <v>-607.74810000000002</v>
      </c>
      <c r="U192" s="86">
        <v>0.184</v>
      </c>
      <c r="V192" s="62">
        <v>1072.6509000000001</v>
      </c>
      <c r="W192" s="86">
        <v>0.184</v>
      </c>
      <c r="X192" s="62">
        <v>1056.1790000000001</v>
      </c>
      <c r="Y192" s="86">
        <v>0.184</v>
      </c>
      <c r="Z192" s="62">
        <v>1029.4172000000001</v>
      </c>
    </row>
    <row r="193" spans="4:26">
      <c r="D193" s="86">
        <v>0.185</v>
      </c>
      <c r="E193" s="61">
        <v>-609.91930000000002</v>
      </c>
      <c r="U193" s="86">
        <v>0.185</v>
      </c>
      <c r="V193" s="62">
        <v>1072.8217999999999</v>
      </c>
      <c r="W193" s="86">
        <v>0.185</v>
      </c>
      <c r="X193" s="62">
        <v>1056.2574</v>
      </c>
      <c r="Y193" s="86">
        <v>0.185</v>
      </c>
      <c r="Z193" s="62">
        <v>1029.3743999999999</v>
      </c>
    </row>
    <row r="194" spans="4:26">
      <c r="D194" s="86">
        <v>0.186</v>
      </c>
      <c r="E194" s="61">
        <v>-612.08185000000003</v>
      </c>
      <c r="U194" s="86">
        <v>0.186</v>
      </c>
      <c r="V194" s="62">
        <v>1072.9911999999999</v>
      </c>
      <c r="W194" s="86">
        <v>0.186</v>
      </c>
      <c r="X194" s="62">
        <v>1056.3347000000001</v>
      </c>
      <c r="Y194" s="86">
        <v>0.186</v>
      </c>
      <c r="Z194" s="62">
        <v>1029.3308999999999</v>
      </c>
    </row>
    <row r="195" spans="4:26">
      <c r="D195" s="86">
        <v>0.187</v>
      </c>
      <c r="E195" s="61">
        <v>-614.23590000000002</v>
      </c>
      <c r="U195" s="86">
        <v>0.187</v>
      </c>
      <c r="V195" s="62">
        <v>1073.1594</v>
      </c>
      <c r="W195" s="86">
        <v>0.187</v>
      </c>
      <c r="X195" s="62">
        <v>1056.4109000000001</v>
      </c>
      <c r="Y195" s="86">
        <v>0.187</v>
      </c>
      <c r="Z195" s="62">
        <v>1029.2869000000001</v>
      </c>
    </row>
    <row r="196" spans="4:26">
      <c r="D196" s="86">
        <v>0.188</v>
      </c>
      <c r="E196" s="61">
        <v>-616.38139999999999</v>
      </c>
      <c r="U196" s="86">
        <v>0.188</v>
      </c>
      <c r="V196" s="62">
        <v>1073.3262</v>
      </c>
      <c r="W196" s="86">
        <v>0.188</v>
      </c>
      <c r="X196" s="62">
        <v>1056.4857999999999</v>
      </c>
      <c r="Y196" s="86">
        <v>0.188</v>
      </c>
      <c r="Z196" s="62">
        <v>1029.2420999999999</v>
      </c>
    </row>
    <row r="197" spans="4:26">
      <c r="D197" s="86">
        <v>0.189</v>
      </c>
      <c r="E197" s="61">
        <v>-618.51842999999997</v>
      </c>
      <c r="U197" s="86">
        <v>0.189</v>
      </c>
      <c r="V197" s="62">
        <v>1073.4917</v>
      </c>
      <c r="W197" s="86">
        <v>0.189</v>
      </c>
      <c r="X197" s="62">
        <v>1056.5597</v>
      </c>
      <c r="Y197" s="86">
        <v>0.189</v>
      </c>
      <c r="Z197" s="62">
        <v>1029.1967999999999</v>
      </c>
    </row>
    <row r="198" spans="4:26">
      <c r="D198" s="86">
        <v>0.19</v>
      </c>
      <c r="E198" s="61">
        <v>-620.64700000000005</v>
      </c>
      <c r="U198" s="86">
        <v>0.19</v>
      </c>
      <c r="V198" s="62">
        <v>1073.6558</v>
      </c>
      <c r="W198" s="86">
        <v>0.19</v>
      </c>
      <c r="X198" s="62">
        <v>1056.6324</v>
      </c>
      <c r="Y198" s="86">
        <v>0.19</v>
      </c>
      <c r="Z198" s="62">
        <v>1029.1507999999999</v>
      </c>
    </row>
    <row r="199" spans="4:26">
      <c r="D199" s="86">
        <v>0.191</v>
      </c>
      <c r="E199" s="61">
        <v>-622.76715000000002</v>
      </c>
      <c r="U199" s="86">
        <v>0.191</v>
      </c>
      <c r="V199" s="62">
        <v>1073.8186000000001</v>
      </c>
      <c r="W199" s="86">
        <v>0.191</v>
      </c>
      <c r="X199" s="62">
        <v>1056.7040999999999</v>
      </c>
      <c r="Y199" s="86">
        <v>0.191</v>
      </c>
      <c r="Z199" s="62">
        <v>1029.1042</v>
      </c>
    </row>
    <row r="200" spans="4:26">
      <c r="D200" s="86">
        <v>0.192</v>
      </c>
      <c r="E200" s="61">
        <v>-624.87896999999998</v>
      </c>
      <c r="U200" s="86">
        <v>0.192</v>
      </c>
      <c r="V200" s="62">
        <v>1073.9801</v>
      </c>
      <c r="W200" s="86">
        <v>0.192</v>
      </c>
      <c r="X200" s="62">
        <v>1056.7745</v>
      </c>
      <c r="Y200" s="86">
        <v>0.192</v>
      </c>
      <c r="Z200" s="62">
        <v>1029.057</v>
      </c>
    </row>
    <row r="201" spans="4:26">
      <c r="D201" s="86">
        <v>0.193</v>
      </c>
      <c r="E201" s="61">
        <v>-626.98249999999996</v>
      </c>
      <c r="U201" s="86">
        <v>0.193</v>
      </c>
      <c r="V201" s="62">
        <v>1074.1403</v>
      </c>
      <c r="W201" s="86">
        <v>0.193</v>
      </c>
      <c r="X201" s="62">
        <v>1056.8440000000001</v>
      </c>
      <c r="Y201" s="86">
        <v>0.193</v>
      </c>
      <c r="Z201" s="62">
        <v>1029.0092999999999</v>
      </c>
    </row>
    <row r="202" spans="4:26">
      <c r="D202" s="86">
        <v>0.19400000000000001</v>
      </c>
      <c r="E202" s="61">
        <v>-629.07770000000005</v>
      </c>
      <c r="U202" s="86">
        <v>0.19400000000000001</v>
      </c>
      <c r="V202" s="62">
        <v>1074.2991999999999</v>
      </c>
      <c r="W202" s="86">
        <v>0.19400000000000001</v>
      </c>
      <c r="X202" s="62">
        <v>1056.9122</v>
      </c>
      <c r="Y202" s="86">
        <v>0.19400000000000001</v>
      </c>
      <c r="Z202" s="62">
        <v>1028.9609</v>
      </c>
    </row>
    <row r="203" spans="4:26">
      <c r="D203" s="86">
        <v>0.19500000000000001</v>
      </c>
      <c r="E203" s="61">
        <v>-631.16470000000004</v>
      </c>
      <c r="U203" s="86">
        <v>0.19500000000000001</v>
      </c>
      <c r="V203" s="62">
        <v>1074.4567999999999</v>
      </c>
      <c r="W203" s="86">
        <v>0.19500000000000001</v>
      </c>
      <c r="X203" s="62">
        <v>1056.9794999999999</v>
      </c>
      <c r="Y203" s="86">
        <v>0.19500000000000001</v>
      </c>
      <c r="Z203" s="62">
        <v>1028.912</v>
      </c>
    </row>
    <row r="204" spans="4:26">
      <c r="D204" s="86">
        <v>0.19600000000000001</v>
      </c>
      <c r="E204" s="61">
        <v>-633.24350000000004</v>
      </c>
      <c r="U204" s="86">
        <v>0.19600000000000001</v>
      </c>
      <c r="V204" s="62">
        <v>1074.6132</v>
      </c>
      <c r="W204" s="86">
        <v>0.19600000000000001</v>
      </c>
      <c r="X204" s="62">
        <v>1057.0456999999999</v>
      </c>
      <c r="Y204" s="86">
        <v>0.19600000000000001</v>
      </c>
      <c r="Z204" s="62">
        <v>1028.8625</v>
      </c>
    </row>
    <row r="205" spans="4:26">
      <c r="D205" s="86">
        <v>0.19700000000000001</v>
      </c>
      <c r="E205" s="61">
        <v>-635.31415000000004</v>
      </c>
      <c r="U205" s="86">
        <v>0.19700000000000001</v>
      </c>
      <c r="V205" s="62">
        <v>1074.7682</v>
      </c>
      <c r="W205" s="86">
        <v>0.19700000000000001</v>
      </c>
      <c r="X205" s="62">
        <v>1057.1107</v>
      </c>
      <c r="Y205" s="86">
        <v>0.19700000000000001</v>
      </c>
      <c r="Z205" s="62">
        <v>1028.8125</v>
      </c>
    </row>
    <row r="206" spans="4:26">
      <c r="D206" s="86">
        <v>0.19800000000000001</v>
      </c>
      <c r="E206" s="61">
        <v>-637.37670000000003</v>
      </c>
      <c r="U206" s="86">
        <v>0.19800000000000001</v>
      </c>
      <c r="V206" s="62">
        <v>1074.922</v>
      </c>
      <c r="W206" s="86">
        <v>0.19800000000000001</v>
      </c>
      <c r="X206" s="62">
        <v>1057.1747</v>
      </c>
      <c r="Y206" s="86">
        <v>0.19800000000000001</v>
      </c>
      <c r="Z206" s="62">
        <v>1028.7618</v>
      </c>
    </row>
    <row r="207" spans="4:26">
      <c r="D207" s="86">
        <v>0.19900000000000001</v>
      </c>
      <c r="E207" s="61">
        <v>-639.43119999999999</v>
      </c>
      <c r="U207" s="86">
        <v>0.19900000000000001</v>
      </c>
      <c r="V207" s="62">
        <v>1075.0744999999999</v>
      </c>
      <c r="W207" s="86">
        <v>0.19900000000000001</v>
      </c>
      <c r="X207" s="62">
        <v>1057.2376999999999</v>
      </c>
      <c r="Y207" s="86">
        <v>0.19900000000000001</v>
      </c>
      <c r="Z207" s="62">
        <v>1028.7108000000001</v>
      </c>
    </row>
    <row r="208" spans="4:26">
      <c r="D208" s="86">
        <v>0.2</v>
      </c>
      <c r="E208" s="61">
        <v>-641.47766000000001</v>
      </c>
      <c r="U208" s="86">
        <v>0.2</v>
      </c>
      <c r="V208" s="62">
        <v>1075.2257999999999</v>
      </c>
      <c r="W208" s="86">
        <v>0.2</v>
      </c>
      <c r="X208" s="62">
        <v>1057.2997</v>
      </c>
      <c r="Y208" s="86">
        <v>0.2</v>
      </c>
      <c r="Z208" s="62">
        <v>1028.6592000000001</v>
      </c>
    </row>
    <row r="209" spans="4:26">
      <c r="D209" s="86">
        <v>0.20100000000000001</v>
      </c>
      <c r="E209" s="61">
        <v>-643.51620000000003</v>
      </c>
      <c r="U209" s="86">
        <v>0.20100000000000001</v>
      </c>
      <c r="V209" s="62">
        <v>1075.3759</v>
      </c>
      <c r="W209" s="86">
        <v>0.20100000000000001</v>
      </c>
      <c r="X209" s="62">
        <v>1057.3606</v>
      </c>
      <c r="Y209" s="86">
        <v>0.20100000000000001</v>
      </c>
      <c r="Z209" s="62">
        <v>1028.6069</v>
      </c>
    </row>
    <row r="210" spans="4:26">
      <c r="D210" s="86">
        <v>0.20200000000000001</v>
      </c>
      <c r="E210" s="61">
        <v>-645.54669999999999</v>
      </c>
      <c r="U210" s="86">
        <v>0.20200000000000001</v>
      </c>
      <c r="V210" s="62">
        <v>1075.5246999999999</v>
      </c>
      <c r="W210" s="86">
        <v>0.20200000000000001</v>
      </c>
      <c r="X210" s="62">
        <v>1057.4204999999999</v>
      </c>
      <c r="Y210" s="86">
        <v>0.20200000000000001</v>
      </c>
      <c r="Z210" s="62">
        <v>1028.5543</v>
      </c>
    </row>
    <row r="211" spans="4:26">
      <c r="D211" s="86">
        <v>0.20300000000000001</v>
      </c>
      <c r="E211" s="61">
        <v>-647.56934000000001</v>
      </c>
      <c r="U211" s="86">
        <v>0.20300000000000001</v>
      </c>
      <c r="V211" s="62">
        <v>1075.6723999999999</v>
      </c>
      <c r="W211" s="86">
        <v>0.20300000000000001</v>
      </c>
      <c r="X211" s="62">
        <v>1057.4793999999999</v>
      </c>
      <c r="Y211" s="86">
        <v>0.20300000000000001</v>
      </c>
      <c r="Z211" s="62">
        <v>1028.5011</v>
      </c>
    </row>
    <row r="212" spans="4:26">
      <c r="D212" s="86">
        <v>0.20399999999999999</v>
      </c>
      <c r="E212" s="61">
        <v>-649.58405000000005</v>
      </c>
      <c r="U212" s="86">
        <v>0.20399999999999999</v>
      </c>
      <c r="V212" s="62">
        <v>1075.8187</v>
      </c>
      <c r="W212" s="86">
        <v>0.20399999999999999</v>
      </c>
      <c r="X212" s="62">
        <v>1057.5373999999999</v>
      </c>
      <c r="Y212" s="86">
        <v>0.20399999999999999</v>
      </c>
      <c r="Z212" s="62">
        <v>1028.4474</v>
      </c>
    </row>
    <row r="213" spans="4:26">
      <c r="D213" s="86">
        <v>0.20499999999999999</v>
      </c>
      <c r="E213" s="61">
        <v>-651.59100000000001</v>
      </c>
      <c r="U213" s="86">
        <v>0.20499999999999999</v>
      </c>
      <c r="V213" s="62">
        <v>1075.9639</v>
      </c>
      <c r="W213" s="86">
        <v>0.20499999999999999</v>
      </c>
      <c r="X213" s="62">
        <v>1057.5942</v>
      </c>
      <c r="Y213" s="86">
        <v>0.20499999999999999</v>
      </c>
      <c r="Z213" s="62">
        <v>1028.3932</v>
      </c>
    </row>
    <row r="214" spans="4:26">
      <c r="D214" s="86">
        <v>0.20599999999999999</v>
      </c>
      <c r="E214" s="61">
        <v>-653.59014999999999</v>
      </c>
      <c r="U214" s="86">
        <v>0.20599999999999999</v>
      </c>
      <c r="V214" s="62">
        <v>1076.1079</v>
      </c>
      <c r="W214" s="86">
        <v>0.20599999999999999</v>
      </c>
      <c r="X214" s="62">
        <v>1057.6501000000001</v>
      </c>
      <c r="Y214" s="86">
        <v>0.20599999999999999</v>
      </c>
      <c r="Z214" s="62">
        <v>1028.3385000000001</v>
      </c>
    </row>
    <row r="215" spans="4:26">
      <c r="D215" s="86">
        <v>0.20699999999999999</v>
      </c>
      <c r="E215" s="61">
        <v>-655.58150000000001</v>
      </c>
      <c r="U215" s="86">
        <v>0.20699999999999999</v>
      </c>
      <c r="V215" s="62">
        <v>1076.2507000000001</v>
      </c>
      <c r="W215" s="86">
        <v>0.20699999999999999</v>
      </c>
      <c r="X215" s="62">
        <v>1057.7050999999999</v>
      </c>
      <c r="Y215" s="86">
        <v>0.20699999999999999</v>
      </c>
      <c r="Z215" s="62">
        <v>1028.2833000000001</v>
      </c>
    </row>
    <row r="216" spans="4:26">
      <c r="D216" s="86">
        <v>0.20799999999999999</v>
      </c>
      <c r="E216" s="61">
        <v>-657.5652</v>
      </c>
      <c r="U216" s="86">
        <v>0.20799999999999999</v>
      </c>
      <c r="V216" s="62">
        <v>1076.3923</v>
      </c>
      <c r="W216" s="86">
        <v>0.20799999999999999</v>
      </c>
      <c r="X216" s="62">
        <v>1057.7592</v>
      </c>
      <c r="Y216" s="86">
        <v>0.20799999999999999</v>
      </c>
      <c r="Z216" s="62">
        <v>1028.2277999999999</v>
      </c>
    </row>
    <row r="217" spans="4:26">
      <c r="D217" s="86">
        <v>0.20899999999999999</v>
      </c>
      <c r="E217" s="61">
        <v>-659.54114000000004</v>
      </c>
      <c r="U217" s="86">
        <v>0.20899999999999999</v>
      </c>
      <c r="V217" s="62">
        <v>1076.5328</v>
      </c>
      <c r="W217" s="86">
        <v>0.20899999999999999</v>
      </c>
      <c r="X217" s="62">
        <v>1057.8121000000001</v>
      </c>
      <c r="Y217" s="86">
        <v>0.20899999999999999</v>
      </c>
      <c r="Z217" s="62">
        <v>1028.1715999999999</v>
      </c>
    </row>
    <row r="218" spans="4:26">
      <c r="D218" s="86">
        <v>0.21</v>
      </c>
      <c r="E218" s="61">
        <v>-661.5095</v>
      </c>
      <c r="U218" s="86">
        <v>0.21</v>
      </c>
      <c r="V218" s="62">
        <v>1076.6721</v>
      </c>
      <c r="W218" s="86">
        <v>0.21</v>
      </c>
      <c r="X218" s="62">
        <v>1057.8643</v>
      </c>
      <c r="Y218" s="86">
        <v>0.21</v>
      </c>
      <c r="Z218" s="62">
        <v>1028.1151</v>
      </c>
    </row>
    <row r="219" spans="4:26">
      <c r="D219" s="86">
        <v>0.21099999999999999</v>
      </c>
      <c r="E219" s="61">
        <v>-663.47029999999995</v>
      </c>
      <c r="U219" s="86">
        <v>0.21099999999999999</v>
      </c>
      <c r="V219" s="62">
        <v>1076.8101999999999</v>
      </c>
      <c r="W219" s="86">
        <v>0.21099999999999999</v>
      </c>
      <c r="X219" s="62">
        <v>1057.9154000000001</v>
      </c>
      <c r="Y219" s="86">
        <v>0.21099999999999999</v>
      </c>
      <c r="Z219" s="62">
        <v>1028.0581</v>
      </c>
    </row>
    <row r="220" spans="4:26">
      <c r="D220" s="86">
        <v>0.21199999999999999</v>
      </c>
      <c r="E220" s="61">
        <v>-665.42345999999998</v>
      </c>
      <c r="U220" s="86">
        <v>0.21199999999999999</v>
      </c>
      <c r="V220" s="62">
        <v>1076.9473</v>
      </c>
      <c r="W220" s="86">
        <v>0.21199999999999999</v>
      </c>
      <c r="X220" s="62">
        <v>1057.9656</v>
      </c>
      <c r="Y220" s="86">
        <v>0.21199999999999999</v>
      </c>
      <c r="Z220" s="62">
        <v>1028.0007000000001</v>
      </c>
    </row>
    <row r="221" spans="4:26">
      <c r="D221" s="86">
        <v>0.21299999999999999</v>
      </c>
      <c r="E221" s="61">
        <v>-667.3691</v>
      </c>
      <c r="U221" s="86">
        <v>0.21299999999999999</v>
      </c>
      <c r="V221" s="62">
        <v>1077.0830000000001</v>
      </c>
      <c r="W221" s="86">
        <v>0.21299999999999999</v>
      </c>
      <c r="X221" s="62">
        <v>1058.0148999999999</v>
      </c>
      <c r="Y221" s="86">
        <v>0.21299999999999999</v>
      </c>
      <c r="Z221" s="62">
        <v>1027.9429</v>
      </c>
    </row>
    <row r="222" spans="4:26">
      <c r="D222" s="86">
        <v>0.214</v>
      </c>
      <c r="E222" s="61">
        <v>-669.30724999999995</v>
      </c>
      <c r="U222" s="86">
        <v>0.214</v>
      </c>
      <c r="V222" s="62">
        <v>1077.2177999999999</v>
      </c>
      <c r="W222" s="86">
        <v>0.214</v>
      </c>
      <c r="X222" s="62">
        <v>1058.0632000000001</v>
      </c>
      <c r="Y222" s="86">
        <v>0.214</v>
      </c>
      <c r="Z222" s="62">
        <v>1027.8844999999999</v>
      </c>
    </row>
    <row r="223" spans="4:26">
      <c r="D223" s="86">
        <v>0.215</v>
      </c>
      <c r="E223" s="61">
        <v>-671.23800000000006</v>
      </c>
      <c r="U223" s="86">
        <v>0.215</v>
      </c>
      <c r="V223" s="62">
        <v>1077.3513</v>
      </c>
      <c r="W223" s="86">
        <v>0.215</v>
      </c>
      <c r="X223" s="62">
        <v>1058.1107</v>
      </c>
      <c r="Y223" s="86">
        <v>0.215</v>
      </c>
      <c r="Z223" s="62">
        <v>1027.8258000000001</v>
      </c>
    </row>
    <row r="224" spans="4:26">
      <c r="D224" s="86">
        <v>0.216</v>
      </c>
      <c r="E224" s="61">
        <v>-673.16125</v>
      </c>
      <c r="U224" s="86">
        <v>0.216</v>
      </c>
      <c r="V224" s="62">
        <v>1077.4838</v>
      </c>
      <c r="W224" s="86">
        <v>0.216</v>
      </c>
      <c r="X224" s="62">
        <v>1058.1572000000001</v>
      </c>
      <c r="Y224" s="86">
        <v>0.216</v>
      </c>
      <c r="Z224" s="62">
        <v>1027.7665999999999</v>
      </c>
    </row>
    <row r="225" spans="4:26">
      <c r="D225" s="86">
        <v>0.217</v>
      </c>
      <c r="E225" s="61">
        <v>-675.07714999999996</v>
      </c>
      <c r="U225" s="86">
        <v>0.217</v>
      </c>
      <c r="V225" s="62">
        <v>1077.6151</v>
      </c>
      <c r="W225" s="86">
        <v>0.217</v>
      </c>
      <c r="X225" s="62">
        <v>1058.2029</v>
      </c>
      <c r="Y225" s="86">
        <v>0.217</v>
      </c>
      <c r="Z225" s="62">
        <v>1027.7072000000001</v>
      </c>
    </row>
    <row r="226" spans="4:26">
      <c r="D226" s="86">
        <v>0.218</v>
      </c>
      <c r="E226" s="61">
        <v>-676.98569999999995</v>
      </c>
      <c r="U226" s="86">
        <v>0.218</v>
      </c>
      <c r="V226" s="62">
        <v>1077.7454</v>
      </c>
      <c r="W226" s="86">
        <v>0.218</v>
      </c>
      <c r="X226" s="62">
        <v>1058.2476999999999</v>
      </c>
      <c r="Y226" s="86">
        <v>0.218</v>
      </c>
      <c r="Z226" s="62">
        <v>1027.6470999999999</v>
      </c>
    </row>
    <row r="227" spans="4:26">
      <c r="D227" s="86">
        <v>0.219</v>
      </c>
      <c r="E227" s="61">
        <v>-678.88696000000004</v>
      </c>
      <c r="U227" s="86">
        <v>0.219</v>
      </c>
      <c r="V227" s="62">
        <v>1077.8744999999999</v>
      </c>
      <c r="W227" s="86">
        <v>0.219</v>
      </c>
      <c r="X227" s="62">
        <v>1058.2916</v>
      </c>
      <c r="Y227" s="86">
        <v>0.219</v>
      </c>
      <c r="Z227" s="62">
        <v>1027.5868</v>
      </c>
    </row>
    <row r="228" spans="4:26">
      <c r="D228" s="86">
        <v>0.22</v>
      </c>
      <c r="E228" s="61">
        <v>-680.78093999999999</v>
      </c>
      <c r="U228" s="86">
        <v>0.22</v>
      </c>
      <c r="V228" s="62">
        <v>1078.0026</v>
      </c>
      <c r="W228" s="86">
        <v>0.22</v>
      </c>
      <c r="X228" s="62">
        <v>1058.3345999999999</v>
      </c>
      <c r="Y228" s="86">
        <v>0.22</v>
      </c>
      <c r="Z228" s="62">
        <v>1027.5260000000001</v>
      </c>
    </row>
    <row r="229" spans="4:26">
      <c r="D229" s="86">
        <v>0.221</v>
      </c>
      <c r="E229" s="61">
        <v>-682.66765999999996</v>
      </c>
      <c r="U229" s="86">
        <v>0.221</v>
      </c>
      <c r="V229" s="62">
        <v>1078.1296</v>
      </c>
      <c r="W229" s="86">
        <v>0.221</v>
      </c>
      <c r="X229" s="62">
        <v>1058.3768</v>
      </c>
      <c r="Y229" s="86">
        <v>0.221</v>
      </c>
      <c r="Z229" s="62">
        <v>1027.4648</v>
      </c>
    </row>
    <row r="230" spans="4:26">
      <c r="D230" s="86">
        <v>0.222</v>
      </c>
      <c r="E230" s="61">
        <v>-684.54719999999998</v>
      </c>
      <c r="U230" s="86">
        <v>0.222</v>
      </c>
      <c r="V230" s="62">
        <v>1078.2555</v>
      </c>
      <c r="W230" s="86">
        <v>0.222</v>
      </c>
      <c r="X230" s="62">
        <v>1058.4181000000001</v>
      </c>
      <c r="Y230" s="86">
        <v>0.222</v>
      </c>
      <c r="Z230" s="62">
        <v>1027.4033999999999</v>
      </c>
    </row>
    <row r="231" spans="4:26">
      <c r="D231" s="86">
        <v>0.223</v>
      </c>
      <c r="E231" s="61">
        <v>-686.41949999999997</v>
      </c>
      <c r="U231" s="86">
        <v>0.223</v>
      </c>
      <c r="V231" s="62">
        <v>1078.3804</v>
      </c>
      <c r="W231" s="86">
        <v>0.223</v>
      </c>
      <c r="X231" s="62">
        <v>1058.4585</v>
      </c>
      <c r="Y231" s="86">
        <v>0.223</v>
      </c>
      <c r="Z231" s="62">
        <v>1027.3416</v>
      </c>
    </row>
    <row r="232" spans="4:26">
      <c r="D232" s="86">
        <v>0.224</v>
      </c>
      <c r="E232" s="61">
        <v>-688.28470000000004</v>
      </c>
      <c r="U232" s="86">
        <v>0.224</v>
      </c>
      <c r="V232" s="62">
        <v>1078.5039999999999</v>
      </c>
      <c r="W232" s="86">
        <v>0.224</v>
      </c>
      <c r="X232" s="62">
        <v>1058.4982</v>
      </c>
      <c r="Y232" s="86">
        <v>0.224</v>
      </c>
      <c r="Z232" s="62">
        <v>1027.2792999999999</v>
      </c>
    </row>
    <row r="233" spans="4:26">
      <c r="D233" s="86">
        <v>0.22500000000000001</v>
      </c>
      <c r="E233" s="61">
        <v>-690.14279999999997</v>
      </c>
      <c r="U233" s="86">
        <v>0.22500000000000001</v>
      </c>
      <c r="V233" s="62">
        <v>1078.6268</v>
      </c>
      <c r="W233" s="86">
        <v>0.22500000000000001</v>
      </c>
      <c r="X233" s="62">
        <v>1058.537</v>
      </c>
      <c r="Y233" s="86">
        <v>0.22500000000000001</v>
      </c>
      <c r="Z233" s="62">
        <v>1027.2166999999999</v>
      </c>
    </row>
    <row r="234" spans="4:26">
      <c r="D234" s="86">
        <v>0.22600000000000001</v>
      </c>
      <c r="E234" s="61">
        <v>-691.99383999999998</v>
      </c>
      <c r="U234" s="86">
        <v>0.22600000000000001</v>
      </c>
      <c r="V234" s="62">
        <v>1078.7483999999999</v>
      </c>
      <c r="W234" s="86">
        <v>0.22600000000000001</v>
      </c>
      <c r="X234" s="62">
        <v>1058.5748000000001</v>
      </c>
      <c r="Y234" s="86">
        <v>0.22600000000000001</v>
      </c>
      <c r="Z234" s="62">
        <v>1027.1537000000001</v>
      </c>
    </row>
    <row r="235" spans="4:26">
      <c r="D235" s="86">
        <v>0.22700000000000001</v>
      </c>
      <c r="E235" s="61">
        <v>-693.83780000000002</v>
      </c>
      <c r="U235" s="86">
        <v>0.22700000000000001</v>
      </c>
      <c r="V235" s="62">
        <v>1078.8689999999999</v>
      </c>
      <c r="W235" s="86">
        <v>0.22700000000000001</v>
      </c>
      <c r="X235" s="62">
        <v>1058.6120000000001</v>
      </c>
      <c r="Y235" s="86">
        <v>0.22700000000000001</v>
      </c>
      <c r="Z235" s="62">
        <v>1027.0903000000001</v>
      </c>
    </row>
    <row r="236" spans="4:26">
      <c r="D236" s="86">
        <v>0.22800000000000001</v>
      </c>
      <c r="E236" s="61">
        <v>-695.6748</v>
      </c>
      <c r="U236" s="86">
        <v>0.22800000000000001</v>
      </c>
      <c r="V236" s="62">
        <v>1078.9885999999999</v>
      </c>
      <c r="W236" s="86">
        <v>0.22800000000000001</v>
      </c>
      <c r="X236" s="62">
        <v>1058.6483000000001</v>
      </c>
      <c r="Y236" s="86">
        <v>0.22800000000000001</v>
      </c>
      <c r="Z236" s="62">
        <v>1027.0265999999999</v>
      </c>
    </row>
    <row r="237" spans="4:26">
      <c r="D237" s="86">
        <v>0.22900000000000001</v>
      </c>
      <c r="E237" s="61">
        <v>-697.50476000000003</v>
      </c>
      <c r="U237" s="86">
        <v>0.22900000000000001</v>
      </c>
      <c r="V237" s="62">
        <v>1079.1071999999999</v>
      </c>
      <c r="W237" s="86">
        <v>0.22900000000000001</v>
      </c>
      <c r="X237" s="62">
        <v>1058.6838</v>
      </c>
      <c r="Y237" s="86">
        <v>0.22900000000000001</v>
      </c>
      <c r="Z237" s="62">
        <v>1026.9626000000001</v>
      </c>
    </row>
    <row r="238" spans="4:26">
      <c r="D238" s="86">
        <v>0.23</v>
      </c>
      <c r="E238" s="61">
        <v>-699.32780000000002</v>
      </c>
      <c r="U238" s="86">
        <v>0.23</v>
      </c>
      <c r="V238" s="62">
        <v>1079.2247</v>
      </c>
      <c r="W238" s="86">
        <v>0.23</v>
      </c>
      <c r="X238" s="62">
        <v>1058.7184999999999</v>
      </c>
      <c r="Y238" s="86">
        <v>0.23</v>
      </c>
      <c r="Z238" s="62">
        <v>1026.8982000000001</v>
      </c>
    </row>
    <row r="239" spans="4:26">
      <c r="D239" s="86">
        <v>0.23100000000000001</v>
      </c>
      <c r="E239" s="61">
        <v>-701.14400000000001</v>
      </c>
      <c r="U239" s="86">
        <v>0.23100000000000001</v>
      </c>
      <c r="V239" s="62">
        <v>1079.3413</v>
      </c>
      <c r="W239" s="86">
        <v>0.23100000000000001</v>
      </c>
      <c r="X239" s="62">
        <v>1058.7524000000001</v>
      </c>
      <c r="Y239" s="86">
        <v>0.23100000000000001</v>
      </c>
      <c r="Z239" s="62">
        <v>1026.8335999999999</v>
      </c>
    </row>
    <row r="240" spans="4:26">
      <c r="D240" s="86">
        <v>0.23200000000000001</v>
      </c>
      <c r="E240" s="61">
        <v>-702.95325000000003</v>
      </c>
      <c r="U240" s="86">
        <v>0.23200000000000001</v>
      </c>
      <c r="V240" s="62">
        <v>1079.4567999999999</v>
      </c>
      <c r="W240" s="86">
        <v>0.23200000000000001</v>
      </c>
      <c r="X240" s="62">
        <v>1058.7855999999999</v>
      </c>
      <c r="Y240" s="86">
        <v>0.23200000000000001</v>
      </c>
      <c r="Z240" s="62">
        <v>1026.7686000000001</v>
      </c>
    </row>
    <row r="241" spans="4:26">
      <c r="D241" s="86">
        <v>0.23300000000000001</v>
      </c>
      <c r="E241" s="61">
        <v>-704.75570000000005</v>
      </c>
      <c r="U241" s="86">
        <v>0.23300000000000001</v>
      </c>
      <c r="V241" s="62">
        <v>1079.5713000000001</v>
      </c>
      <c r="W241" s="86">
        <v>0.23300000000000001</v>
      </c>
      <c r="X241" s="62">
        <v>1058.818</v>
      </c>
      <c r="Y241" s="86">
        <v>0.23300000000000001</v>
      </c>
      <c r="Z241" s="62">
        <v>1026.7031999999999</v>
      </c>
    </row>
    <row r="242" spans="4:26">
      <c r="D242" s="86">
        <v>0.23400000000000001</v>
      </c>
      <c r="E242" s="61">
        <v>-706.55129999999997</v>
      </c>
      <c r="U242" s="86">
        <v>0.23400000000000001</v>
      </c>
      <c r="V242" s="62">
        <v>1079.6848</v>
      </c>
      <c r="W242" s="86">
        <v>0.23400000000000001</v>
      </c>
      <c r="X242" s="62">
        <v>1058.8495</v>
      </c>
      <c r="Y242" s="86">
        <v>0.23400000000000001</v>
      </c>
      <c r="Z242" s="62">
        <v>1026.6376</v>
      </c>
    </row>
    <row r="243" spans="4:26">
      <c r="D243" s="86">
        <v>0.23499999999999999</v>
      </c>
      <c r="E243" s="61">
        <v>-708.34010000000001</v>
      </c>
      <c r="U243" s="86">
        <v>0.23499999999999999</v>
      </c>
      <c r="V243" s="62">
        <v>1079.7972</v>
      </c>
      <c r="W243" s="86">
        <v>0.23499999999999999</v>
      </c>
      <c r="X243" s="62">
        <v>1058.8804</v>
      </c>
      <c r="Y243" s="86">
        <v>0.23499999999999999</v>
      </c>
      <c r="Z243" s="62">
        <v>1026.5717</v>
      </c>
    </row>
    <row r="244" spans="4:26">
      <c r="D244" s="86">
        <v>0.23599999999999999</v>
      </c>
      <c r="E244" s="61">
        <v>-710.12220000000002</v>
      </c>
      <c r="U244" s="86">
        <v>0.23599999999999999</v>
      </c>
      <c r="V244" s="62">
        <v>1079.9087999999999</v>
      </c>
      <c r="W244" s="86">
        <v>0.23599999999999999</v>
      </c>
      <c r="X244" s="62">
        <v>1058.9104</v>
      </c>
      <c r="Y244" s="86">
        <v>0.23599999999999999</v>
      </c>
      <c r="Z244" s="62">
        <v>1026.5054</v>
      </c>
    </row>
    <row r="245" spans="4:26">
      <c r="D245" s="86">
        <v>0.23699999999999999</v>
      </c>
      <c r="E245" s="61">
        <v>-711.89750000000004</v>
      </c>
      <c r="U245" s="86">
        <v>0.23699999999999999</v>
      </c>
      <c r="V245" s="62">
        <v>1080.0193999999999</v>
      </c>
      <c r="W245" s="86">
        <v>0.23699999999999999</v>
      </c>
      <c r="X245" s="62">
        <v>1058.9396999999999</v>
      </c>
      <c r="Y245" s="86">
        <v>0.23699999999999999</v>
      </c>
      <c r="Z245" s="62">
        <v>1026.4386999999999</v>
      </c>
    </row>
    <row r="246" spans="4:26">
      <c r="D246" s="86">
        <v>0.23799999999999999</v>
      </c>
      <c r="E246" s="61">
        <v>-713.6662</v>
      </c>
      <c r="U246" s="86">
        <v>0.23799999999999999</v>
      </c>
      <c r="V246" s="62">
        <v>1080.1288999999999</v>
      </c>
      <c r="W246" s="86">
        <v>0.23799999999999999</v>
      </c>
      <c r="X246" s="62">
        <v>1058.9683</v>
      </c>
      <c r="Y246" s="86">
        <v>0.23799999999999999</v>
      </c>
      <c r="Z246" s="62">
        <v>1026.3720000000001</v>
      </c>
    </row>
    <row r="247" spans="4:26">
      <c r="D247" s="86">
        <v>0.23899999999999999</v>
      </c>
      <c r="E247" s="61">
        <v>-715.42816000000005</v>
      </c>
      <c r="U247" s="86">
        <v>0.23899999999999999</v>
      </c>
      <c r="V247" s="62">
        <v>1080.2375</v>
      </c>
      <c r="W247" s="86">
        <v>0.23899999999999999</v>
      </c>
      <c r="X247" s="62">
        <v>1058.9960000000001</v>
      </c>
      <c r="Y247" s="86">
        <v>0.23899999999999999</v>
      </c>
      <c r="Z247" s="62">
        <v>1026.3046999999999</v>
      </c>
    </row>
    <row r="248" spans="4:26">
      <c r="D248" s="86">
        <v>0.24</v>
      </c>
      <c r="E248" s="61">
        <v>-717.18353000000002</v>
      </c>
      <c r="U248" s="86">
        <v>0.24</v>
      </c>
      <c r="V248" s="62">
        <v>1080.3452</v>
      </c>
      <c r="W248" s="86">
        <v>0.24</v>
      </c>
      <c r="X248" s="62">
        <v>1059.0231000000001</v>
      </c>
      <c r="Y248" s="86">
        <v>0.24</v>
      </c>
      <c r="Z248" s="62">
        <v>1026.2373</v>
      </c>
    </row>
    <row r="249" spans="4:26">
      <c r="D249" s="86">
        <v>0.24099999999999999</v>
      </c>
      <c r="E249" s="61">
        <v>-718.93230000000005</v>
      </c>
      <c r="U249" s="86">
        <v>0.24099999999999999</v>
      </c>
      <c r="V249" s="62">
        <v>1080.4519</v>
      </c>
      <c r="W249" s="86">
        <v>0.24099999999999999</v>
      </c>
      <c r="X249" s="62">
        <v>1059.0494000000001</v>
      </c>
      <c r="Y249" s="86">
        <v>0.24099999999999999</v>
      </c>
      <c r="Z249" s="62">
        <v>1026.1695999999999</v>
      </c>
    </row>
    <row r="250" spans="4:26">
      <c r="D250" s="86">
        <v>0.24199999999999999</v>
      </c>
      <c r="E250" s="61">
        <v>-720.67449999999997</v>
      </c>
      <c r="U250" s="86">
        <v>0.24199999999999999</v>
      </c>
      <c r="V250" s="62">
        <v>1080.5576000000001</v>
      </c>
      <c r="W250" s="86">
        <v>0.24199999999999999</v>
      </c>
      <c r="X250" s="62">
        <v>1059.075</v>
      </c>
      <c r="Y250" s="86">
        <v>0.24199999999999999</v>
      </c>
      <c r="Z250" s="62">
        <v>1026.1016</v>
      </c>
    </row>
    <row r="251" spans="4:26">
      <c r="D251" s="86">
        <v>0.24299999999999999</v>
      </c>
      <c r="E251" s="61">
        <v>-722.41016000000002</v>
      </c>
      <c r="U251" s="86">
        <v>0.24299999999999999</v>
      </c>
      <c r="V251" s="62">
        <v>1080.6624999999999</v>
      </c>
      <c r="W251" s="86">
        <v>0.24299999999999999</v>
      </c>
      <c r="X251" s="62">
        <v>1059.0998999999999</v>
      </c>
      <c r="Y251" s="86">
        <v>0.24299999999999999</v>
      </c>
      <c r="Z251" s="62">
        <v>1026.0333000000001</v>
      </c>
    </row>
    <row r="252" spans="4:26">
      <c r="D252" s="86">
        <v>0.24399999999999999</v>
      </c>
      <c r="E252" s="61">
        <v>-724.13930000000005</v>
      </c>
      <c r="U252" s="86">
        <v>0.24399999999999999</v>
      </c>
      <c r="V252" s="62">
        <v>1080.7664</v>
      </c>
      <c r="W252" s="86">
        <v>0.24399999999999999</v>
      </c>
      <c r="X252" s="62">
        <v>1059.124</v>
      </c>
      <c r="Y252" s="86">
        <v>0.24399999999999999</v>
      </c>
      <c r="Z252" s="62">
        <v>1025.9647</v>
      </c>
    </row>
    <row r="253" spans="4:26">
      <c r="D253" s="86">
        <v>0.245</v>
      </c>
      <c r="E253" s="61">
        <v>-725.86194</v>
      </c>
      <c r="U253" s="86">
        <v>0.245</v>
      </c>
      <c r="V253" s="62">
        <v>1080.8693000000001</v>
      </c>
      <c r="W253" s="86">
        <v>0.245</v>
      </c>
      <c r="X253" s="62">
        <v>1059.1476</v>
      </c>
      <c r="Y253" s="86">
        <v>0.245</v>
      </c>
      <c r="Z253" s="62">
        <v>1025.8959</v>
      </c>
    </row>
    <row r="254" spans="4:26">
      <c r="D254" s="86">
        <v>0.246</v>
      </c>
      <c r="E254" s="61">
        <v>-727.57809999999995</v>
      </c>
      <c r="U254" s="86">
        <v>0.246</v>
      </c>
      <c r="V254" s="62">
        <v>1080.9712999999999</v>
      </c>
      <c r="W254" s="86">
        <v>0.246</v>
      </c>
      <c r="X254" s="62">
        <v>1059.1703</v>
      </c>
      <c r="Y254" s="86">
        <v>0.246</v>
      </c>
      <c r="Z254" s="62">
        <v>1025.8269</v>
      </c>
    </row>
    <row r="255" spans="4:26">
      <c r="D255" s="86">
        <v>0.247</v>
      </c>
      <c r="E255" s="61">
        <v>-729.28790000000004</v>
      </c>
      <c r="U255" s="86">
        <v>0.247</v>
      </c>
      <c r="V255" s="62">
        <v>1081.0724</v>
      </c>
      <c r="W255" s="86">
        <v>0.247</v>
      </c>
      <c r="X255" s="62">
        <v>1059.1923999999999</v>
      </c>
      <c r="Y255" s="86">
        <v>0.247</v>
      </c>
      <c r="Z255" s="62">
        <v>1025.7575999999999</v>
      </c>
    </row>
    <row r="256" spans="4:26">
      <c r="D256" s="86">
        <v>0.248</v>
      </c>
      <c r="E256" s="61">
        <v>-730.99130000000002</v>
      </c>
      <c r="U256" s="86">
        <v>0.248</v>
      </c>
      <c r="V256" s="62">
        <v>1081.1726000000001</v>
      </c>
      <c r="W256" s="86">
        <v>0.248</v>
      </c>
      <c r="X256" s="62">
        <v>1059.2137</v>
      </c>
      <c r="Y256" s="86">
        <v>0.248</v>
      </c>
      <c r="Z256" s="62">
        <v>1025.6880000000001</v>
      </c>
    </row>
    <row r="257" spans="4:26">
      <c r="D257" s="86">
        <v>0.249</v>
      </c>
      <c r="E257" s="61">
        <v>-732.68830000000003</v>
      </c>
      <c r="U257" s="86">
        <v>0.249</v>
      </c>
      <c r="V257" s="62">
        <v>1081.2719</v>
      </c>
      <c r="W257" s="86">
        <v>0.249</v>
      </c>
      <c r="X257" s="62">
        <v>1059.2345</v>
      </c>
      <c r="Y257" s="86">
        <v>0.249</v>
      </c>
      <c r="Z257" s="62">
        <v>1025.6181999999999</v>
      </c>
    </row>
    <row r="258" spans="4:26">
      <c r="D258" s="86">
        <v>0.25</v>
      </c>
      <c r="E258" s="61">
        <v>-734.37896999999998</v>
      </c>
      <c r="U258" s="86">
        <v>0.25</v>
      </c>
      <c r="V258" s="62">
        <v>1081.3702000000001</v>
      </c>
      <c r="W258" s="86">
        <v>0.25</v>
      </c>
      <c r="X258" s="62">
        <v>1059.2545</v>
      </c>
      <c r="Y258" s="86">
        <v>0.25</v>
      </c>
      <c r="Z258" s="62">
        <v>1025.5481</v>
      </c>
    </row>
    <row r="259" spans="4:26">
      <c r="D259" s="86">
        <v>0.251</v>
      </c>
      <c r="E259" s="61">
        <v>-736.06330000000003</v>
      </c>
      <c r="U259" s="86">
        <v>0.251</v>
      </c>
      <c r="V259" s="62">
        <v>1081.4677999999999</v>
      </c>
      <c r="W259" s="86">
        <v>0.251</v>
      </c>
      <c r="X259" s="62">
        <v>1059.2737999999999</v>
      </c>
      <c r="Y259" s="86">
        <v>0.251</v>
      </c>
      <c r="Z259" s="62">
        <v>1025.4777999999999</v>
      </c>
    </row>
    <row r="260" spans="4:26">
      <c r="D260" s="86">
        <v>0.252</v>
      </c>
      <c r="E260" s="61">
        <v>-737.74132999999995</v>
      </c>
      <c r="U260" s="86">
        <v>0.252</v>
      </c>
      <c r="V260" s="62">
        <v>1081.5643</v>
      </c>
      <c r="W260" s="86">
        <v>0.252</v>
      </c>
      <c r="X260" s="62">
        <v>1059.2926</v>
      </c>
      <c r="Y260" s="86">
        <v>0.252</v>
      </c>
      <c r="Z260" s="62">
        <v>1025.4072000000001</v>
      </c>
    </row>
    <row r="261" spans="4:26">
      <c r="D261" s="86">
        <v>0.253</v>
      </c>
      <c r="E261" s="61">
        <v>-739.41309999999999</v>
      </c>
      <c r="U261" s="86">
        <v>0.253</v>
      </c>
      <c r="V261" s="62">
        <v>1081.6600000000001</v>
      </c>
      <c r="W261" s="86">
        <v>0.253</v>
      </c>
      <c r="X261" s="62">
        <v>1059.3105</v>
      </c>
      <c r="Y261" s="86">
        <v>0.253</v>
      </c>
      <c r="Z261" s="62">
        <v>1025.3363999999999</v>
      </c>
    </row>
    <row r="262" spans="4:26">
      <c r="D262" s="86">
        <v>0.254</v>
      </c>
      <c r="E262" s="61">
        <v>-741.07860000000005</v>
      </c>
      <c r="U262" s="86">
        <v>0.254</v>
      </c>
      <c r="V262" s="62">
        <v>1081.7548999999999</v>
      </c>
      <c r="W262" s="86">
        <v>0.254</v>
      </c>
      <c r="X262" s="62">
        <v>1059.3279</v>
      </c>
      <c r="Y262" s="86">
        <v>0.254</v>
      </c>
      <c r="Z262" s="62">
        <v>1025.2654</v>
      </c>
    </row>
    <row r="263" spans="4:26">
      <c r="D263" s="86">
        <v>0.255</v>
      </c>
      <c r="E263" s="61">
        <v>-742.73800000000006</v>
      </c>
      <c r="U263" s="86">
        <v>0.255</v>
      </c>
      <c r="V263" s="62">
        <v>1081.8489</v>
      </c>
      <c r="W263" s="86">
        <v>0.255</v>
      </c>
      <c r="X263" s="62">
        <v>1059.3445999999999</v>
      </c>
      <c r="Y263" s="86">
        <v>0.255</v>
      </c>
      <c r="Z263" s="62">
        <v>1025.1941999999999</v>
      </c>
    </row>
    <row r="264" spans="4:26">
      <c r="D264" s="86">
        <v>0.25600000000000001</v>
      </c>
      <c r="E264" s="61">
        <v>-744.39110000000005</v>
      </c>
      <c r="U264" s="86">
        <v>0.25600000000000001</v>
      </c>
      <c r="V264" s="62">
        <v>1081.9419</v>
      </c>
      <c r="W264" s="86">
        <v>0.25600000000000001</v>
      </c>
      <c r="X264" s="62">
        <v>1059.3607</v>
      </c>
      <c r="Y264" s="86">
        <v>0.25600000000000001</v>
      </c>
      <c r="Z264" s="62">
        <v>1025.1226999999999</v>
      </c>
    </row>
    <row r="265" spans="4:26">
      <c r="D265" s="86">
        <v>0.25700000000000001</v>
      </c>
      <c r="E265" s="61">
        <v>-746.03809999999999</v>
      </c>
      <c r="U265" s="86">
        <v>0.25700000000000001</v>
      </c>
      <c r="V265" s="62">
        <v>1082.0342000000001</v>
      </c>
      <c r="W265" s="86">
        <v>0.25700000000000001</v>
      </c>
      <c r="X265" s="62">
        <v>1059.3761999999999</v>
      </c>
      <c r="Y265" s="86">
        <v>0.25700000000000001</v>
      </c>
      <c r="Z265" s="62">
        <v>1025.0509999999999</v>
      </c>
    </row>
    <row r="266" spans="4:26">
      <c r="D266" s="86">
        <v>0.25800000000000001</v>
      </c>
      <c r="E266" s="61">
        <v>-747.67895999999996</v>
      </c>
      <c r="U266" s="86">
        <v>0.25800000000000001</v>
      </c>
      <c r="V266" s="62">
        <v>1082.1255000000001</v>
      </c>
      <c r="W266" s="86">
        <v>0.25800000000000001</v>
      </c>
      <c r="X266" s="62">
        <v>1059.3910000000001</v>
      </c>
      <c r="Y266" s="86">
        <v>0.25800000000000001</v>
      </c>
      <c r="Z266" s="62">
        <v>1024.9791</v>
      </c>
    </row>
    <row r="267" spans="4:26">
      <c r="D267" s="86">
        <v>0.25900000000000001</v>
      </c>
      <c r="E267" s="61">
        <v>-749.31370000000004</v>
      </c>
      <c r="U267" s="86">
        <v>0.25900000000000001</v>
      </c>
      <c r="V267" s="62">
        <v>1082.2161000000001</v>
      </c>
      <c r="W267" s="86">
        <v>0.25900000000000001</v>
      </c>
      <c r="X267" s="62">
        <v>1059.4051999999999</v>
      </c>
      <c r="Y267" s="86">
        <v>0.25900000000000001</v>
      </c>
      <c r="Z267" s="62">
        <v>1024.9070999999999</v>
      </c>
    </row>
    <row r="268" spans="4:26">
      <c r="D268" s="86">
        <v>0.26</v>
      </c>
      <c r="E268" s="61">
        <v>-750.94240000000002</v>
      </c>
      <c r="U268" s="86">
        <v>0.26</v>
      </c>
      <c r="V268" s="62">
        <v>1082.3058000000001</v>
      </c>
      <c r="W268" s="86">
        <v>0.26</v>
      </c>
      <c r="X268" s="62">
        <v>1059.4186999999999</v>
      </c>
      <c r="Y268" s="86">
        <v>0.26</v>
      </c>
      <c r="Z268" s="62">
        <v>1024.8347000000001</v>
      </c>
    </row>
    <row r="269" spans="4:26">
      <c r="D269" s="86">
        <v>0.26100000000000001</v>
      </c>
      <c r="E269" s="61">
        <v>-752.56500000000005</v>
      </c>
      <c r="U269" s="86">
        <v>0.26100000000000001</v>
      </c>
      <c r="V269" s="62">
        <v>1082.3945000000001</v>
      </c>
      <c r="W269" s="86">
        <v>0.26100000000000001</v>
      </c>
      <c r="X269" s="62">
        <v>1059.4315999999999</v>
      </c>
      <c r="Y269" s="86">
        <v>0.26100000000000001</v>
      </c>
      <c r="Z269" s="62">
        <v>1024.7621999999999</v>
      </c>
    </row>
    <row r="270" spans="4:26">
      <c r="D270" s="86">
        <v>0.26200000000000001</v>
      </c>
      <c r="E270" s="61">
        <v>-754.1816</v>
      </c>
      <c r="U270" s="86">
        <v>0.26200000000000001</v>
      </c>
      <c r="V270" s="62">
        <v>1082.4825000000001</v>
      </c>
      <c r="W270" s="86">
        <v>0.26200000000000001</v>
      </c>
      <c r="X270" s="62">
        <v>1059.4438</v>
      </c>
      <c r="Y270" s="86">
        <v>0.26200000000000001</v>
      </c>
      <c r="Z270" s="62">
        <v>1024.6895999999999</v>
      </c>
    </row>
    <row r="271" spans="4:26">
      <c r="D271" s="86">
        <v>0.26300000000000001</v>
      </c>
      <c r="E271" s="61">
        <v>-755.7921</v>
      </c>
      <c r="U271" s="86">
        <v>0.26300000000000001</v>
      </c>
      <c r="V271" s="62">
        <v>1082.5697</v>
      </c>
      <c r="W271" s="86">
        <v>0.26300000000000001</v>
      </c>
      <c r="X271" s="62">
        <v>1059.4556</v>
      </c>
      <c r="Y271" s="86">
        <v>0.26300000000000001</v>
      </c>
      <c r="Z271" s="62">
        <v>1024.6167</v>
      </c>
    </row>
    <row r="272" spans="4:26">
      <c r="D272" s="86">
        <v>0.26400000000000001</v>
      </c>
      <c r="E272" s="61">
        <v>-757.39670000000001</v>
      </c>
      <c r="U272" s="86">
        <v>0.26400000000000001</v>
      </c>
      <c r="V272" s="62">
        <v>1082.6559999999999</v>
      </c>
      <c r="W272" s="86">
        <v>0.26400000000000001</v>
      </c>
      <c r="X272" s="62">
        <v>1059.4666999999999</v>
      </c>
      <c r="Y272" s="86">
        <v>0.26400000000000001</v>
      </c>
      <c r="Z272" s="62">
        <v>1024.5436</v>
      </c>
    </row>
    <row r="273" spans="4:26">
      <c r="D273" s="86">
        <v>0.26500000000000001</v>
      </c>
      <c r="E273" s="61">
        <v>-758.99536000000001</v>
      </c>
      <c r="U273" s="86">
        <v>0.26500000000000001</v>
      </c>
      <c r="V273" s="62">
        <v>1082.7416000000001</v>
      </c>
      <c r="W273" s="86">
        <v>0.26500000000000001</v>
      </c>
      <c r="X273" s="62">
        <v>1059.4772</v>
      </c>
      <c r="Y273" s="86">
        <v>0.26500000000000001</v>
      </c>
      <c r="Z273" s="62">
        <v>1024.4702</v>
      </c>
    </row>
    <row r="274" spans="4:26">
      <c r="D274" s="86">
        <v>0.26600000000000001</v>
      </c>
      <c r="E274" s="61">
        <v>-760.58799999999997</v>
      </c>
      <c r="U274" s="86">
        <v>0.26600000000000001</v>
      </c>
      <c r="V274" s="62">
        <v>1082.8262</v>
      </c>
      <c r="W274" s="86">
        <v>0.26600000000000001</v>
      </c>
      <c r="X274" s="62">
        <v>1059.4870000000001</v>
      </c>
      <c r="Y274" s="86">
        <v>0.26600000000000001</v>
      </c>
      <c r="Z274" s="62">
        <v>1024.3969</v>
      </c>
    </row>
    <row r="275" spans="4:26">
      <c r="D275" s="86">
        <v>0.26700000000000002</v>
      </c>
      <c r="E275" s="61">
        <v>-762.1748</v>
      </c>
      <c r="U275" s="86">
        <v>0.26700000000000002</v>
      </c>
      <c r="V275" s="62">
        <v>1082.9100000000001</v>
      </c>
      <c r="W275" s="86">
        <v>0.26700000000000002</v>
      </c>
      <c r="X275" s="62">
        <v>1059.4965</v>
      </c>
      <c r="Y275" s="86">
        <v>0.26700000000000002</v>
      </c>
      <c r="Z275" s="62">
        <v>1024.3231000000001</v>
      </c>
    </row>
    <row r="276" spans="4:26">
      <c r="D276" s="86">
        <v>0.26800000000000002</v>
      </c>
      <c r="E276" s="61">
        <v>-763.75570000000005</v>
      </c>
      <c r="U276" s="86">
        <v>0.26800000000000002</v>
      </c>
      <c r="V276" s="62">
        <v>1082.9931999999999</v>
      </c>
      <c r="W276" s="86">
        <v>0.26800000000000002</v>
      </c>
      <c r="X276" s="62">
        <v>1059.5051000000001</v>
      </c>
      <c r="Y276" s="86">
        <v>0.26800000000000002</v>
      </c>
      <c r="Z276" s="62">
        <v>1024.2492999999999</v>
      </c>
    </row>
    <row r="277" spans="4:26">
      <c r="D277" s="86">
        <v>0.26900000000000002</v>
      </c>
      <c r="E277" s="61">
        <v>-765.33069999999998</v>
      </c>
      <c r="U277" s="86">
        <v>0.26900000000000002</v>
      </c>
      <c r="V277" s="62">
        <v>1083.0753999999999</v>
      </c>
      <c r="W277" s="86">
        <v>0.26900000000000002</v>
      </c>
      <c r="X277" s="62">
        <v>1059.5133000000001</v>
      </c>
      <c r="Y277" s="86">
        <v>0.26900000000000002</v>
      </c>
      <c r="Z277" s="62">
        <v>1024.1753000000001</v>
      </c>
    </row>
    <row r="278" spans="4:26">
      <c r="D278" s="86">
        <v>0.27</v>
      </c>
      <c r="E278" s="61">
        <v>-766.8999</v>
      </c>
      <c r="U278" s="86">
        <v>0.27</v>
      </c>
      <c r="V278" s="62">
        <v>1083.1569</v>
      </c>
      <c r="W278" s="86">
        <v>0.27</v>
      </c>
      <c r="X278" s="62">
        <v>1059.5209</v>
      </c>
      <c r="Y278" s="86">
        <v>0.27</v>
      </c>
      <c r="Z278" s="62">
        <v>1024.1012000000001</v>
      </c>
    </row>
    <row r="279" spans="4:26">
      <c r="D279" s="86">
        <v>0.27100000000000002</v>
      </c>
      <c r="E279" s="61">
        <v>-768.46320000000003</v>
      </c>
      <c r="U279" s="86">
        <v>0.27100000000000002</v>
      </c>
      <c r="V279" s="62">
        <v>1083.2375</v>
      </c>
      <c r="W279" s="86">
        <v>0.27100000000000002</v>
      </c>
      <c r="X279" s="62">
        <v>1059.5278000000001</v>
      </c>
      <c r="Y279" s="86">
        <v>0.27100000000000002</v>
      </c>
      <c r="Z279" s="62">
        <v>1024.0269000000001</v>
      </c>
    </row>
    <row r="280" spans="4:26">
      <c r="D280" s="86">
        <v>0.27200000000000002</v>
      </c>
      <c r="E280" s="61">
        <v>-770.02075000000002</v>
      </c>
      <c r="U280" s="86">
        <v>0.27200000000000002</v>
      </c>
      <c r="V280" s="62">
        <v>1083.3175000000001</v>
      </c>
      <c r="W280" s="86">
        <v>0.27200000000000002</v>
      </c>
      <c r="X280" s="62">
        <v>1059.5343</v>
      </c>
      <c r="Y280" s="86">
        <v>0.27200000000000002</v>
      </c>
      <c r="Z280" s="62">
        <v>1023.9523</v>
      </c>
    </row>
    <row r="281" spans="4:26">
      <c r="D281" s="86">
        <v>0.27300000000000002</v>
      </c>
      <c r="E281" s="61">
        <v>-771.57259999999997</v>
      </c>
      <c r="U281" s="86">
        <v>0.27300000000000002</v>
      </c>
      <c r="V281" s="62">
        <v>1083.3966</v>
      </c>
      <c r="W281" s="86">
        <v>0.27300000000000002</v>
      </c>
      <c r="X281" s="62">
        <v>1059.5401999999999</v>
      </c>
      <c r="Y281" s="86">
        <v>0.27300000000000002</v>
      </c>
      <c r="Z281" s="62">
        <v>1023.8776</v>
      </c>
    </row>
    <row r="282" spans="4:26">
      <c r="D282" s="86">
        <v>0.27400000000000002</v>
      </c>
      <c r="E282" s="61">
        <v>-773.11850000000004</v>
      </c>
      <c r="U282" s="86">
        <v>0.27400000000000002</v>
      </c>
      <c r="V282" s="62">
        <v>1083.4748999999999</v>
      </c>
      <c r="W282" s="86">
        <v>0.27400000000000002</v>
      </c>
      <c r="X282" s="62">
        <v>1059.5454</v>
      </c>
      <c r="Y282" s="86">
        <v>0.27400000000000002</v>
      </c>
      <c r="Z282" s="62">
        <v>1023.8028</v>
      </c>
    </row>
    <row r="283" spans="4:26">
      <c r="D283" s="86">
        <v>0.27500000000000002</v>
      </c>
      <c r="E283" s="61">
        <v>-774.65880000000004</v>
      </c>
      <c r="U283" s="86">
        <v>0.27500000000000002</v>
      </c>
      <c r="V283" s="62">
        <v>1083.5525</v>
      </c>
      <c r="W283" s="86">
        <v>0.27500000000000002</v>
      </c>
      <c r="X283" s="62">
        <v>1059.5501999999999</v>
      </c>
      <c r="Y283" s="86">
        <v>0.27500000000000002</v>
      </c>
      <c r="Z283" s="62">
        <v>1023.7278</v>
      </c>
    </row>
    <row r="284" spans="4:26">
      <c r="D284" s="86">
        <v>0.27600000000000002</v>
      </c>
      <c r="E284" s="61">
        <v>-776.1934</v>
      </c>
      <c r="U284" s="86">
        <v>0.27600000000000002</v>
      </c>
      <c r="V284" s="62">
        <v>1083.6293000000001</v>
      </c>
      <c r="W284" s="86">
        <v>0.27600000000000002</v>
      </c>
      <c r="X284" s="62">
        <v>1059.5544</v>
      </c>
      <c r="Y284" s="86">
        <v>0.27600000000000002</v>
      </c>
      <c r="Z284" s="62">
        <v>1023.6526</v>
      </c>
    </row>
    <row r="285" spans="4:26">
      <c r="D285" s="86">
        <v>0.27700000000000002</v>
      </c>
      <c r="E285" s="61">
        <v>-777.72230000000002</v>
      </c>
      <c r="U285" s="86">
        <v>0.27700000000000002</v>
      </c>
      <c r="V285" s="62">
        <v>1083.7052000000001</v>
      </c>
      <c r="W285" s="86">
        <v>0.27700000000000002</v>
      </c>
      <c r="X285" s="62">
        <v>1059.5581</v>
      </c>
      <c r="Y285" s="86">
        <v>0.27700000000000002</v>
      </c>
      <c r="Z285" s="62">
        <v>1023.57733</v>
      </c>
    </row>
    <row r="286" spans="4:26">
      <c r="D286" s="86">
        <v>0.27800000000000002</v>
      </c>
      <c r="E286" s="61">
        <v>-779.24549999999999</v>
      </c>
      <c r="U286" s="86">
        <v>0.27800000000000002</v>
      </c>
      <c r="V286" s="62">
        <v>1083.7805000000001</v>
      </c>
      <c r="W286" s="86">
        <v>0.27800000000000002</v>
      </c>
      <c r="X286" s="62">
        <v>1059.5612000000001</v>
      </c>
      <c r="Y286" s="86">
        <v>0.27800000000000002</v>
      </c>
      <c r="Z286" s="62">
        <v>1023.50183</v>
      </c>
    </row>
    <row r="287" spans="4:26">
      <c r="D287" s="86">
        <v>0.27900000000000003</v>
      </c>
      <c r="E287" s="61">
        <v>-780.76306</v>
      </c>
      <c r="U287" s="86">
        <v>0.27900000000000003</v>
      </c>
      <c r="V287" s="62">
        <v>1083.855</v>
      </c>
      <c r="W287" s="86">
        <v>0.27900000000000003</v>
      </c>
      <c r="X287" s="62">
        <v>1059.5636999999999</v>
      </c>
      <c r="Y287" s="86">
        <v>0.27900000000000003</v>
      </c>
      <c r="Z287" s="62">
        <v>1023.4263</v>
      </c>
    </row>
    <row r="288" spans="4:26">
      <c r="D288" s="86">
        <v>0.28000000000000003</v>
      </c>
      <c r="E288" s="61">
        <v>-782.27495999999996</v>
      </c>
      <c r="U288" s="86">
        <v>0.28000000000000003</v>
      </c>
      <c r="V288" s="62">
        <v>1083.9286999999999</v>
      </c>
      <c r="W288" s="86">
        <v>0.28000000000000003</v>
      </c>
      <c r="X288" s="62">
        <v>1059.5658000000001</v>
      </c>
      <c r="Y288" s="86">
        <v>0.28000000000000003</v>
      </c>
      <c r="Z288" s="62">
        <v>1023.3505</v>
      </c>
    </row>
    <row r="289" spans="4:26">
      <c r="D289" s="86">
        <v>0.28100000000000003</v>
      </c>
      <c r="E289" s="61">
        <v>-783.78129999999999</v>
      </c>
      <c r="U289" s="86">
        <v>0.28100000000000003</v>
      </c>
      <c r="V289" s="62">
        <v>1084.0017</v>
      </c>
      <c r="W289" s="86">
        <v>0.28100000000000003</v>
      </c>
      <c r="X289" s="62">
        <v>1059.5673999999999</v>
      </c>
      <c r="Y289" s="86">
        <v>0.28100000000000003</v>
      </c>
      <c r="Z289" s="62">
        <v>1023.27466</v>
      </c>
    </row>
    <row r="290" spans="4:26">
      <c r="D290" s="86">
        <v>0.28199999999999997</v>
      </c>
      <c r="E290" s="61">
        <v>-785.28204000000005</v>
      </c>
      <c r="U290" s="86">
        <v>0.28199999999999997</v>
      </c>
      <c r="V290" s="62">
        <v>1084.0740000000001</v>
      </c>
      <c r="W290" s="86">
        <v>0.28199999999999997</v>
      </c>
      <c r="X290" s="62">
        <v>1059.5684000000001</v>
      </c>
      <c r="Y290" s="86">
        <v>0.28199999999999997</v>
      </c>
      <c r="Z290" s="62">
        <v>1023.1986000000001</v>
      </c>
    </row>
    <row r="291" spans="4:26">
      <c r="D291" s="86">
        <v>0.28299999999999997</v>
      </c>
      <c r="E291" s="61">
        <v>-786.77719999999999</v>
      </c>
      <c r="U291" s="86">
        <v>0.28299999999999997</v>
      </c>
      <c r="V291" s="62">
        <v>1084.1455000000001</v>
      </c>
      <c r="W291" s="86">
        <v>0.28299999999999997</v>
      </c>
      <c r="X291" s="62">
        <v>1059.5688</v>
      </c>
      <c r="Y291" s="86">
        <v>0.28299999999999997</v>
      </c>
      <c r="Z291" s="62">
        <v>1023.12244</v>
      </c>
    </row>
    <row r="292" spans="4:26">
      <c r="D292" s="86">
        <v>0.28399999999999997</v>
      </c>
      <c r="E292" s="61">
        <v>-788.26679999999999</v>
      </c>
      <c r="U292" s="86">
        <v>0.28399999999999997</v>
      </c>
      <c r="V292" s="62">
        <v>1084.2163</v>
      </c>
      <c r="W292" s="86">
        <v>0.28399999999999997</v>
      </c>
      <c r="X292" s="62">
        <v>1059.5688</v>
      </c>
      <c r="Y292" s="86">
        <v>0.28399999999999997</v>
      </c>
      <c r="Z292" s="62">
        <v>1023.04614</v>
      </c>
    </row>
    <row r="293" spans="4:26">
      <c r="D293" s="86">
        <v>0.28499999999999998</v>
      </c>
      <c r="E293" s="61">
        <v>-789.75085000000001</v>
      </c>
      <c r="U293" s="86">
        <v>0.28499999999999998</v>
      </c>
      <c r="V293" s="62">
        <v>1084.2864</v>
      </c>
      <c r="W293" s="86">
        <v>0.28499999999999998</v>
      </c>
      <c r="X293" s="62">
        <v>1059.5681999999999</v>
      </c>
      <c r="Y293" s="86">
        <v>0.28499999999999998</v>
      </c>
      <c r="Z293" s="62">
        <v>1022.9697</v>
      </c>
    </row>
    <row r="294" spans="4:26">
      <c r="D294" s="86">
        <v>0.28599999999999998</v>
      </c>
      <c r="E294" s="61">
        <v>-791.22942999999998</v>
      </c>
      <c r="U294" s="86">
        <v>0.28599999999999998</v>
      </c>
      <c r="V294" s="62">
        <v>1084.3557000000001</v>
      </c>
      <c r="W294" s="86">
        <v>0.28599999999999998</v>
      </c>
      <c r="X294" s="62">
        <v>1059.5672999999999</v>
      </c>
      <c r="Y294" s="86">
        <v>0.28599999999999998</v>
      </c>
      <c r="Z294" s="62">
        <v>1022.8932</v>
      </c>
    </row>
    <row r="295" spans="4:26">
      <c r="D295" s="86">
        <v>0.28699999999999998</v>
      </c>
      <c r="E295" s="61">
        <v>-792.70249999999999</v>
      </c>
      <c r="U295" s="86">
        <v>0.28699999999999998</v>
      </c>
      <c r="V295" s="62">
        <v>1084.4242999999999</v>
      </c>
      <c r="W295" s="86">
        <v>0.28699999999999998</v>
      </c>
      <c r="X295" s="62">
        <v>1059.5657000000001</v>
      </c>
      <c r="Y295" s="86">
        <v>0.28699999999999998</v>
      </c>
      <c r="Z295" s="62">
        <v>1022.8165</v>
      </c>
    </row>
    <row r="296" spans="4:26">
      <c r="D296" s="86">
        <v>0.28799999999999998</v>
      </c>
      <c r="E296" s="61">
        <v>-794.17010000000005</v>
      </c>
      <c r="U296" s="86">
        <v>0.28799999999999998</v>
      </c>
      <c r="V296" s="62">
        <v>1084.4921999999999</v>
      </c>
      <c r="W296" s="86">
        <v>0.28799999999999998</v>
      </c>
      <c r="X296" s="62">
        <v>1059.5636</v>
      </c>
      <c r="Y296" s="86">
        <v>0.28799999999999998</v>
      </c>
      <c r="Z296" s="62">
        <v>1022.7397</v>
      </c>
    </row>
    <row r="297" spans="4:26">
      <c r="D297" s="86">
        <v>0.28899999999999998</v>
      </c>
      <c r="E297" s="61">
        <v>-795.63225999999997</v>
      </c>
      <c r="U297" s="86">
        <v>0.28899999999999998</v>
      </c>
      <c r="V297" s="62">
        <v>1084.5592999999999</v>
      </c>
      <c r="W297" s="86">
        <v>0.28899999999999998</v>
      </c>
      <c r="X297" s="62">
        <v>1059.5609999999999</v>
      </c>
      <c r="Y297" s="86">
        <v>0.28899999999999998</v>
      </c>
      <c r="Z297" s="62">
        <v>1022.6627999999999</v>
      </c>
    </row>
    <row r="298" spans="4:26">
      <c r="D298" s="86">
        <v>0.28999999999999998</v>
      </c>
      <c r="E298" s="61">
        <v>-797.08900000000006</v>
      </c>
      <c r="U298" s="86">
        <v>0.28999999999999998</v>
      </c>
      <c r="V298" s="62">
        <v>1084.6259</v>
      </c>
      <c r="W298" s="86">
        <v>0.28999999999999998</v>
      </c>
      <c r="X298" s="62">
        <v>1059.558</v>
      </c>
      <c r="Y298" s="86">
        <v>0.28999999999999998</v>
      </c>
      <c r="Z298" s="62">
        <v>1022.58575</v>
      </c>
    </row>
    <row r="299" spans="4:26">
      <c r="D299" s="86">
        <v>0.29099999999999998</v>
      </c>
      <c r="E299" s="61">
        <v>-798.54020000000003</v>
      </c>
      <c r="U299" s="86">
        <v>0.29099999999999998</v>
      </c>
      <c r="V299" s="62">
        <v>1084.6917000000001</v>
      </c>
      <c r="W299" s="86">
        <v>0.29099999999999998</v>
      </c>
      <c r="X299" s="62">
        <v>1059.5545999999999</v>
      </c>
      <c r="Y299" s="86">
        <v>0.29099999999999998</v>
      </c>
      <c r="Z299" s="62">
        <v>1022.5086</v>
      </c>
    </row>
    <row r="300" spans="4:26">
      <c r="D300" s="86">
        <v>0.29199999999999998</v>
      </c>
      <c r="E300" s="61">
        <v>-799.98614999999995</v>
      </c>
      <c r="U300" s="86">
        <v>0.29199999999999998</v>
      </c>
      <c r="V300" s="62">
        <v>1084.7566999999999</v>
      </c>
      <c r="W300" s="86">
        <v>0.29199999999999998</v>
      </c>
      <c r="X300" s="62">
        <v>1059.5505000000001</v>
      </c>
      <c r="Y300" s="86">
        <v>0.29199999999999998</v>
      </c>
      <c r="Z300" s="62">
        <v>1022.43134</v>
      </c>
    </row>
    <row r="301" spans="4:26">
      <c r="D301" s="86">
        <v>0.29299999999999998</v>
      </c>
      <c r="E301" s="61">
        <v>-801.42664000000002</v>
      </c>
      <c r="U301" s="86">
        <v>0.29299999999999998</v>
      </c>
      <c r="V301" s="62">
        <v>1084.8209999999999</v>
      </c>
      <c r="W301" s="86">
        <v>0.29299999999999998</v>
      </c>
      <c r="X301" s="62">
        <v>1059.546</v>
      </c>
      <c r="Y301" s="86">
        <v>0.29299999999999998</v>
      </c>
      <c r="Z301" s="62">
        <v>1022.35394</v>
      </c>
    </row>
    <row r="302" spans="4:26">
      <c r="D302" s="86">
        <v>0.29399999999999998</v>
      </c>
      <c r="E302" s="61">
        <v>-802.86176</v>
      </c>
      <c r="U302" s="86">
        <v>0.29399999999999998</v>
      </c>
      <c r="V302" s="62">
        <v>1084.8848</v>
      </c>
      <c r="W302" s="86">
        <v>0.29399999999999998</v>
      </c>
      <c r="X302" s="62">
        <v>1059.5409999999999</v>
      </c>
      <c r="Y302" s="86">
        <v>0.29399999999999998</v>
      </c>
      <c r="Z302" s="62">
        <v>1022.2764</v>
      </c>
    </row>
    <row r="303" spans="4:26">
      <c r="D303" s="86">
        <v>0.29499999999999998</v>
      </c>
      <c r="E303" s="61">
        <v>-804.29150000000004</v>
      </c>
      <c r="U303" s="86">
        <v>0.29499999999999998</v>
      </c>
      <c r="V303" s="62">
        <v>1084.9477999999999</v>
      </c>
      <c r="W303" s="86">
        <v>0.29499999999999998</v>
      </c>
      <c r="X303" s="62">
        <v>1059.5355999999999</v>
      </c>
      <c r="Y303" s="86">
        <v>0.29499999999999998</v>
      </c>
      <c r="Z303" s="62">
        <v>1022.19885</v>
      </c>
    </row>
    <row r="304" spans="4:26">
      <c r="D304" s="86">
        <v>0.29599999999999999</v>
      </c>
      <c r="E304" s="61">
        <v>-805.71594000000005</v>
      </c>
      <c r="U304" s="86">
        <v>0.29599999999999999</v>
      </c>
      <c r="V304" s="62">
        <v>1085.01</v>
      </c>
      <c r="W304" s="86">
        <v>0.29599999999999999</v>
      </c>
      <c r="X304" s="62">
        <v>1059.5298</v>
      </c>
      <c r="Y304" s="86">
        <v>0.29599999999999999</v>
      </c>
      <c r="Z304" s="62">
        <v>1022.1211499999999</v>
      </c>
    </row>
    <row r="305" spans="4:26">
      <c r="D305" s="86">
        <v>0.29699999999999999</v>
      </c>
      <c r="E305" s="61">
        <v>-807.13509999999997</v>
      </c>
      <c r="U305" s="86">
        <v>0.29699999999999999</v>
      </c>
      <c r="V305" s="62">
        <v>1085.0717</v>
      </c>
      <c r="W305" s="86">
        <v>0.29699999999999999</v>
      </c>
      <c r="X305" s="62">
        <v>1059.5233000000001</v>
      </c>
      <c r="Y305" s="86">
        <v>0.29699999999999999</v>
      </c>
      <c r="Z305" s="62">
        <v>1022.04333</v>
      </c>
    </row>
    <row r="306" spans="4:26">
      <c r="D306" s="86">
        <v>0.29799999999999999</v>
      </c>
      <c r="E306" s="61">
        <v>-808.5489</v>
      </c>
      <c r="U306" s="86">
        <v>0.29799999999999999</v>
      </c>
      <c r="V306" s="62">
        <v>1085.1327000000001</v>
      </c>
      <c r="W306" s="86">
        <v>0.29799999999999999</v>
      </c>
      <c r="X306" s="62">
        <v>1059.5165</v>
      </c>
      <c r="Y306" s="86">
        <v>0.29799999999999999</v>
      </c>
      <c r="Z306" s="62">
        <v>1021.96545</v>
      </c>
    </row>
    <row r="307" spans="4:26">
      <c r="D307" s="86">
        <v>0.29899999999999999</v>
      </c>
      <c r="E307" s="61">
        <v>-809.95745999999997</v>
      </c>
      <c r="U307" s="86">
        <v>0.29899999999999999</v>
      </c>
      <c r="V307" s="62">
        <v>1085.1929</v>
      </c>
      <c r="W307" s="86">
        <v>0.29899999999999999</v>
      </c>
      <c r="X307" s="62">
        <v>1059.5092999999999</v>
      </c>
      <c r="Y307" s="86">
        <v>0.29899999999999999</v>
      </c>
      <c r="Z307" s="62">
        <v>1021.8874499999999</v>
      </c>
    </row>
    <row r="308" spans="4:26">
      <c r="D308" s="86">
        <v>0.3</v>
      </c>
      <c r="E308" s="61">
        <v>-811.36069999999995</v>
      </c>
      <c r="U308" s="86">
        <v>0.3</v>
      </c>
      <c r="V308" s="62">
        <v>1085.2526</v>
      </c>
      <c r="W308" s="86">
        <v>0.3</v>
      </c>
      <c r="X308" s="62">
        <v>1059.5015000000001</v>
      </c>
      <c r="Y308" s="86">
        <v>0.3</v>
      </c>
      <c r="Z308" s="62">
        <v>1021.8093</v>
      </c>
    </row>
    <row r="309" spans="4:26">
      <c r="D309" s="86">
        <v>0.30099999999999999</v>
      </c>
      <c r="E309" s="61">
        <v>-812.75869999999998</v>
      </c>
      <c r="U309" s="86">
        <v>0.30099999999999999</v>
      </c>
      <c r="V309" s="62">
        <v>1085.3115</v>
      </c>
      <c r="W309" s="86">
        <v>0.30099999999999999</v>
      </c>
      <c r="X309" s="62">
        <v>1059.4933000000001</v>
      </c>
      <c r="Y309" s="86">
        <v>0.30099999999999999</v>
      </c>
      <c r="Z309" s="62">
        <v>1021.73114</v>
      </c>
    </row>
    <row r="310" spans="4:26">
      <c r="D310" s="86">
        <v>0.30199999999999999</v>
      </c>
      <c r="E310" s="61">
        <v>-814.15150000000006</v>
      </c>
      <c r="U310" s="86">
        <v>0.30199999999999999</v>
      </c>
      <c r="V310" s="62">
        <v>1085.3697999999999</v>
      </c>
      <c r="W310" s="86">
        <v>0.30199999999999999</v>
      </c>
      <c r="X310" s="62">
        <v>1059.4847</v>
      </c>
      <c r="Y310" s="86">
        <v>0.30199999999999999</v>
      </c>
      <c r="Z310" s="62">
        <v>1021.6529</v>
      </c>
    </row>
    <row r="311" spans="4:26">
      <c r="D311" s="86">
        <v>0.30299999999999999</v>
      </c>
      <c r="E311" s="61">
        <v>-815.53899999999999</v>
      </c>
      <c r="U311" s="86">
        <v>0.30299999999999999</v>
      </c>
      <c r="V311" s="62">
        <v>1085.4274</v>
      </c>
      <c r="W311" s="86">
        <v>0.30299999999999999</v>
      </c>
      <c r="X311" s="62">
        <v>1059.4756</v>
      </c>
      <c r="Y311" s="86">
        <v>0.30299999999999999</v>
      </c>
      <c r="Z311" s="62">
        <v>1021.5744999999999</v>
      </c>
    </row>
    <row r="312" spans="4:26">
      <c r="D312" s="86">
        <v>0.30399999999999999</v>
      </c>
      <c r="E312" s="61">
        <v>-816.92139999999995</v>
      </c>
      <c r="U312" s="86">
        <v>0.30399999999999999</v>
      </c>
      <c r="V312" s="62">
        <v>1085.4844000000001</v>
      </c>
      <c r="W312" s="86">
        <v>0.30399999999999999</v>
      </c>
      <c r="X312" s="62">
        <v>1059.4661000000001</v>
      </c>
      <c r="Y312" s="86">
        <v>0.30399999999999999</v>
      </c>
      <c r="Z312" s="62">
        <v>1021.49603</v>
      </c>
    </row>
    <row r="313" spans="4:26">
      <c r="D313" s="86">
        <v>0.30499999999999999</v>
      </c>
      <c r="E313" s="61">
        <v>-818.29849999999999</v>
      </c>
      <c r="U313" s="86">
        <v>0.30499999999999999</v>
      </c>
      <c r="V313" s="62">
        <v>1085.5408</v>
      </c>
      <c r="W313" s="86">
        <v>0.30499999999999999</v>
      </c>
      <c r="X313" s="62">
        <v>1059.4562000000001</v>
      </c>
      <c r="Y313" s="86">
        <v>0.30499999999999999</v>
      </c>
      <c r="Z313" s="62">
        <v>1021.41754</v>
      </c>
    </row>
    <row r="314" spans="4:26">
      <c r="D314" s="86">
        <v>0.30599999999999999</v>
      </c>
      <c r="E314" s="61">
        <v>-819.67049999999995</v>
      </c>
      <c r="U314" s="86">
        <v>0.30599999999999999</v>
      </c>
      <c r="V314" s="62">
        <v>1085.5963999999999</v>
      </c>
      <c r="W314" s="86">
        <v>0.30599999999999999</v>
      </c>
      <c r="X314" s="62">
        <v>1059.4458</v>
      </c>
      <c r="Y314" s="86">
        <v>0.30599999999999999</v>
      </c>
      <c r="Z314" s="62">
        <v>1021.33887</v>
      </c>
    </row>
    <row r="315" spans="4:26">
      <c r="D315" s="86">
        <v>0.307</v>
      </c>
      <c r="E315" s="61">
        <v>-821.03723000000002</v>
      </c>
      <c r="U315" s="86">
        <v>0.307</v>
      </c>
      <c r="V315" s="62">
        <v>1085.6514999999999</v>
      </c>
      <c r="W315" s="86">
        <v>0.307</v>
      </c>
      <c r="X315" s="62">
        <v>1059.4349</v>
      </c>
      <c r="Y315" s="86">
        <v>0.307</v>
      </c>
      <c r="Z315" s="62">
        <v>1021.2602000000001</v>
      </c>
    </row>
    <row r="316" spans="4:26">
      <c r="D316" s="86">
        <v>0.308</v>
      </c>
      <c r="E316" s="61">
        <v>-822.39890000000003</v>
      </c>
      <c r="U316" s="86">
        <v>0.308</v>
      </c>
      <c r="V316" s="62">
        <v>1085.7058</v>
      </c>
      <c r="W316" s="86">
        <v>0.308</v>
      </c>
      <c r="X316" s="62">
        <v>1059.4237000000001</v>
      </c>
      <c r="Y316" s="86">
        <v>0.308</v>
      </c>
      <c r="Z316" s="62">
        <v>1021.1814000000001</v>
      </c>
    </row>
    <row r="317" spans="4:26">
      <c r="D317" s="86">
        <v>0.309</v>
      </c>
      <c r="E317" s="61">
        <v>-823.75543000000005</v>
      </c>
      <c r="U317" s="86">
        <v>0.309</v>
      </c>
      <c r="V317" s="62">
        <v>1085.7596000000001</v>
      </c>
      <c r="W317" s="86">
        <v>0.309</v>
      </c>
      <c r="X317" s="62">
        <v>1059.412</v>
      </c>
      <c r="Y317" s="86">
        <v>0.309</v>
      </c>
      <c r="Z317" s="62">
        <v>1021.10254</v>
      </c>
    </row>
    <row r="318" spans="4:26">
      <c r="D318" s="86">
        <v>0.31</v>
      </c>
      <c r="E318" s="61">
        <v>-825.10675000000003</v>
      </c>
      <c r="U318" s="86">
        <v>0.31</v>
      </c>
      <c r="V318" s="62">
        <v>1085.8126999999999</v>
      </c>
      <c r="W318" s="86">
        <v>0.31</v>
      </c>
      <c r="X318" s="62">
        <v>1059.3998999999999</v>
      </c>
      <c r="Y318" s="86">
        <v>0.31</v>
      </c>
      <c r="Z318" s="62">
        <v>1021.0236</v>
      </c>
    </row>
    <row r="319" spans="4:26">
      <c r="D319" s="86">
        <v>0.311</v>
      </c>
      <c r="E319" s="61">
        <v>-826.45306000000005</v>
      </c>
      <c r="U319" s="86">
        <v>0.311</v>
      </c>
      <c r="V319" s="62">
        <v>1085.8652</v>
      </c>
      <c r="W319" s="86">
        <v>0.311</v>
      </c>
      <c r="X319" s="62">
        <v>1059.3875</v>
      </c>
      <c r="Y319" s="86">
        <v>0.311</v>
      </c>
      <c r="Z319" s="62">
        <v>1020.9446</v>
      </c>
    </row>
    <row r="320" spans="4:26">
      <c r="D320" s="86">
        <v>0.312</v>
      </c>
      <c r="E320" s="61">
        <v>-827.79420000000005</v>
      </c>
      <c r="U320" s="86">
        <v>0.312</v>
      </c>
      <c r="V320" s="62">
        <v>1085.9170999999999</v>
      </c>
      <c r="W320" s="86">
        <v>0.312</v>
      </c>
      <c r="X320" s="62">
        <v>1059.3744999999999</v>
      </c>
      <c r="Y320" s="86">
        <v>0.312</v>
      </c>
      <c r="Z320" s="62">
        <v>1020.8655</v>
      </c>
    </row>
    <row r="321" spans="4:26">
      <c r="D321" s="86">
        <v>0.313</v>
      </c>
      <c r="E321" s="61">
        <v>-829.13030000000003</v>
      </c>
      <c r="U321" s="86">
        <v>0.313</v>
      </c>
      <c r="V321" s="62">
        <v>1085.9684</v>
      </c>
      <c r="W321" s="86">
        <v>0.313</v>
      </c>
      <c r="X321" s="62">
        <v>1059.3612000000001</v>
      </c>
      <c r="Y321" s="86">
        <v>0.313</v>
      </c>
      <c r="Z321" s="62">
        <v>1020.7863</v>
      </c>
    </row>
    <row r="322" spans="4:26">
      <c r="D322" s="86">
        <v>0.314</v>
      </c>
      <c r="E322" s="61">
        <v>-830.46130000000005</v>
      </c>
      <c r="U322" s="86">
        <v>0.314</v>
      </c>
      <c r="V322" s="62">
        <v>1086.019</v>
      </c>
      <c r="W322" s="86">
        <v>0.314</v>
      </c>
      <c r="X322" s="62">
        <v>1059.3474000000001</v>
      </c>
      <c r="Y322" s="86">
        <v>0.314</v>
      </c>
      <c r="Z322" s="62">
        <v>1020.7071</v>
      </c>
    </row>
    <row r="323" spans="4:26">
      <c r="D323" s="86">
        <v>0.315</v>
      </c>
      <c r="E323" s="61">
        <v>-831.78723000000002</v>
      </c>
      <c r="U323" s="86">
        <v>0.315</v>
      </c>
      <c r="V323" s="62">
        <v>1086.0690999999999</v>
      </c>
      <c r="W323" s="86">
        <v>0.315</v>
      </c>
      <c r="X323" s="62">
        <v>1059.3334</v>
      </c>
      <c r="Y323" s="86">
        <v>0.315</v>
      </c>
      <c r="Z323" s="62">
        <v>1020.6278</v>
      </c>
    </row>
    <row r="324" spans="4:26">
      <c r="D324" s="86">
        <v>0.316</v>
      </c>
      <c r="E324" s="61">
        <v>-833.10815000000002</v>
      </c>
      <c r="U324" s="86">
        <v>0.316</v>
      </c>
      <c r="V324" s="62">
        <v>1086.1185</v>
      </c>
      <c r="W324" s="86">
        <v>0.316</v>
      </c>
      <c r="X324" s="62">
        <v>1059.3188</v>
      </c>
      <c r="Y324" s="86">
        <v>0.316</v>
      </c>
      <c r="Z324" s="62">
        <v>1020.54846</v>
      </c>
    </row>
    <row r="325" spans="4:26">
      <c r="D325" s="86">
        <v>0.317</v>
      </c>
      <c r="E325" s="61">
        <v>-834.42399999999998</v>
      </c>
      <c r="U325" s="86">
        <v>0.317</v>
      </c>
      <c r="V325" s="62">
        <v>1086.1674</v>
      </c>
      <c r="W325" s="86">
        <v>0.317</v>
      </c>
      <c r="X325" s="62">
        <v>1059.3037999999999</v>
      </c>
      <c r="Y325" s="86">
        <v>0.317</v>
      </c>
      <c r="Z325" s="62">
        <v>1020.46906</v>
      </c>
    </row>
    <row r="326" spans="4:26">
      <c r="D326" s="86">
        <v>0.318</v>
      </c>
      <c r="E326" s="61">
        <v>-835.73486000000003</v>
      </c>
      <c r="U326" s="86">
        <v>0.318</v>
      </c>
      <c r="V326" s="62">
        <v>1086.2156</v>
      </c>
      <c r="W326" s="86">
        <v>0.318</v>
      </c>
      <c r="X326" s="62">
        <v>1059.2886000000001</v>
      </c>
      <c r="Y326" s="86">
        <v>0.318</v>
      </c>
      <c r="Z326" s="62">
        <v>1020.3896</v>
      </c>
    </row>
    <row r="327" spans="4:26">
      <c r="D327" s="86">
        <v>0.31900000000000001</v>
      </c>
      <c r="E327" s="61">
        <v>-837.04065000000003</v>
      </c>
      <c r="U327" s="86">
        <v>0.31900000000000001</v>
      </c>
      <c r="V327" s="62">
        <v>1086.2632000000001</v>
      </c>
      <c r="W327" s="86">
        <v>0.31900000000000001</v>
      </c>
      <c r="X327" s="62">
        <v>1059.2728</v>
      </c>
      <c r="Y327" s="86">
        <v>0.31900000000000001</v>
      </c>
      <c r="Z327" s="62">
        <v>1020.31006</v>
      </c>
    </row>
    <row r="328" spans="4:26">
      <c r="D328" s="86">
        <v>0.32</v>
      </c>
      <c r="E328" s="61">
        <v>-838.3415</v>
      </c>
      <c r="U328" s="86">
        <v>0.32</v>
      </c>
      <c r="V328" s="62">
        <v>1086.3101999999999</v>
      </c>
      <c r="W328" s="86">
        <v>0.32</v>
      </c>
      <c r="X328" s="62">
        <v>1059.2566999999999</v>
      </c>
      <c r="Y328" s="86">
        <v>0.32</v>
      </c>
      <c r="Z328" s="62">
        <v>1020.2304</v>
      </c>
    </row>
    <row r="329" spans="4:26">
      <c r="D329" s="86">
        <v>0.32100000000000001</v>
      </c>
      <c r="E329" s="61">
        <v>-839.63729999999998</v>
      </c>
      <c r="U329" s="86">
        <v>0.32100000000000001</v>
      </c>
      <c r="V329" s="62">
        <v>1086.3567</v>
      </c>
      <c r="W329" s="86">
        <v>0.32100000000000001</v>
      </c>
      <c r="X329" s="62">
        <v>1059.2402</v>
      </c>
      <c r="Y329" s="86">
        <v>0.32100000000000001</v>
      </c>
      <c r="Z329" s="62">
        <v>1020.15076</v>
      </c>
    </row>
    <row r="330" spans="4:26">
      <c r="D330" s="86">
        <v>0.32200000000000001</v>
      </c>
      <c r="E330" s="61">
        <v>-840.92816000000005</v>
      </c>
      <c r="U330" s="86">
        <v>0.32200000000000001</v>
      </c>
      <c r="V330" s="62">
        <v>1086.4024999999999</v>
      </c>
      <c r="W330" s="86">
        <v>0.32200000000000001</v>
      </c>
      <c r="X330" s="62">
        <v>1059.2234000000001</v>
      </c>
      <c r="Y330" s="86">
        <v>0.32200000000000001</v>
      </c>
      <c r="Z330" s="62">
        <v>1020.07104</v>
      </c>
    </row>
    <row r="331" spans="4:26">
      <c r="D331" s="86">
        <v>0.32300000000000001</v>
      </c>
      <c r="E331" s="61">
        <v>-842.21400000000006</v>
      </c>
      <c r="U331" s="86">
        <v>0.32300000000000001</v>
      </c>
      <c r="V331" s="62">
        <v>1086.4477999999999</v>
      </c>
      <c r="W331" s="86">
        <v>0.32300000000000001</v>
      </c>
      <c r="X331" s="62">
        <v>1059.2059999999999</v>
      </c>
      <c r="Y331" s="86">
        <v>0.32300000000000001</v>
      </c>
      <c r="Z331" s="62">
        <v>1019.9913</v>
      </c>
    </row>
    <row r="332" spans="4:26">
      <c r="D332" s="86">
        <v>0.32400000000000001</v>
      </c>
      <c r="E332" s="61">
        <v>-843.49492999999995</v>
      </c>
      <c r="U332" s="86">
        <v>0.32400000000000001</v>
      </c>
      <c r="V332" s="62">
        <v>1086.4924000000001</v>
      </c>
      <c r="W332" s="86">
        <v>0.32400000000000001</v>
      </c>
      <c r="X332" s="62">
        <v>1059.1885</v>
      </c>
      <c r="Y332" s="86">
        <v>0.32400000000000001</v>
      </c>
      <c r="Z332" s="62">
        <v>1019.9115</v>
      </c>
    </row>
    <row r="333" spans="4:26">
      <c r="D333" s="86">
        <v>0.32500000000000001</v>
      </c>
      <c r="E333" s="61">
        <v>-844.77089999999998</v>
      </c>
      <c r="U333" s="86">
        <v>0.32500000000000001</v>
      </c>
      <c r="V333" s="62">
        <v>1086.5364999999999</v>
      </c>
      <c r="W333" s="86">
        <v>0.32500000000000001</v>
      </c>
      <c r="X333" s="62">
        <v>1059.1704</v>
      </c>
      <c r="Y333" s="86">
        <v>0.32500000000000001</v>
      </c>
      <c r="Z333" s="62">
        <v>1019.8316</v>
      </c>
    </row>
    <row r="334" spans="4:26">
      <c r="D334" s="86">
        <v>0.32600000000000001</v>
      </c>
      <c r="E334" s="61">
        <v>-846.04192999999998</v>
      </c>
      <c r="U334" s="86">
        <v>0.32600000000000001</v>
      </c>
      <c r="V334" s="62">
        <v>1086.58</v>
      </c>
      <c r="W334" s="86">
        <v>0.32600000000000001</v>
      </c>
      <c r="X334" s="62">
        <v>1059.1521</v>
      </c>
      <c r="Y334" s="86">
        <v>0.32600000000000001</v>
      </c>
      <c r="Z334" s="62">
        <v>1019.7517</v>
      </c>
    </row>
    <row r="335" spans="4:26">
      <c r="D335" s="86">
        <v>0.32700000000000001</v>
      </c>
      <c r="E335" s="61">
        <v>-847.30799999999999</v>
      </c>
      <c r="U335" s="86">
        <v>0.32700000000000001</v>
      </c>
      <c r="V335" s="62">
        <v>1086.6229000000001</v>
      </c>
      <c r="W335" s="86">
        <v>0.32700000000000001</v>
      </c>
      <c r="X335" s="62">
        <v>1059.1333</v>
      </c>
      <c r="Y335" s="86">
        <v>0.32700000000000001</v>
      </c>
      <c r="Z335" s="62">
        <v>1019.67175</v>
      </c>
    </row>
    <row r="336" spans="4:26">
      <c r="D336" s="86">
        <v>0.32800000000000001</v>
      </c>
      <c r="E336" s="61">
        <v>-848.56915000000004</v>
      </c>
      <c r="U336" s="86">
        <v>0.32800000000000001</v>
      </c>
      <c r="V336" s="62">
        <v>1086.6652999999999</v>
      </c>
      <c r="W336" s="86">
        <v>0.32800000000000001</v>
      </c>
      <c r="X336" s="62">
        <v>1059.1143</v>
      </c>
      <c r="Y336" s="86">
        <v>0.32800000000000001</v>
      </c>
      <c r="Z336" s="62">
        <v>1019.59174</v>
      </c>
    </row>
    <row r="337" spans="4:26">
      <c r="D337" s="86">
        <v>0.32900000000000001</v>
      </c>
      <c r="E337" s="61">
        <v>-849.82543999999996</v>
      </c>
      <c r="U337" s="86">
        <v>0.32900000000000001</v>
      </c>
      <c r="V337" s="62">
        <v>1086.7072000000001</v>
      </c>
      <c r="W337" s="86">
        <v>0.32900000000000001</v>
      </c>
      <c r="X337" s="62">
        <v>1059.0947000000001</v>
      </c>
      <c r="Y337" s="86">
        <v>0.32900000000000001</v>
      </c>
      <c r="Z337" s="62">
        <v>1019.5117</v>
      </c>
    </row>
    <row r="338" spans="4:26">
      <c r="D338" s="86">
        <v>0.33</v>
      </c>
      <c r="E338" s="61">
        <v>-851.07680000000005</v>
      </c>
      <c r="U338" s="86">
        <v>0.33</v>
      </c>
      <c r="V338" s="62">
        <v>1086.7483999999999</v>
      </c>
      <c r="W338" s="86">
        <v>0.33</v>
      </c>
      <c r="X338" s="62">
        <v>1059.075</v>
      </c>
      <c r="Y338" s="86">
        <v>0.33</v>
      </c>
      <c r="Z338" s="62">
        <v>1019.4316</v>
      </c>
    </row>
    <row r="339" spans="4:26">
      <c r="D339" s="86">
        <v>0.33100000000000002</v>
      </c>
      <c r="E339" s="61">
        <v>-852.32324000000006</v>
      </c>
      <c r="U339" s="86">
        <v>0.33100000000000002</v>
      </c>
      <c r="V339" s="62">
        <v>1086.7891</v>
      </c>
      <c r="W339" s="86">
        <v>0.33100000000000002</v>
      </c>
      <c r="X339" s="62">
        <v>1059.0547999999999</v>
      </c>
      <c r="Y339" s="86">
        <v>0.33100000000000002</v>
      </c>
      <c r="Z339" s="62">
        <v>1019.35144</v>
      </c>
    </row>
    <row r="340" spans="4:26">
      <c r="D340" s="86">
        <v>0.33200000000000002</v>
      </c>
      <c r="E340" s="61">
        <v>-853.56479999999999</v>
      </c>
      <c r="U340" s="86">
        <v>0.33200000000000002</v>
      </c>
      <c r="V340" s="62">
        <v>1086.8291999999999</v>
      </c>
      <c r="W340" s="86">
        <v>0.33200000000000002</v>
      </c>
      <c r="X340" s="62">
        <v>1059.0342000000001</v>
      </c>
      <c r="Y340" s="86">
        <v>0.33200000000000002</v>
      </c>
      <c r="Z340" s="62">
        <v>1019.2713</v>
      </c>
    </row>
    <row r="341" spans="4:26">
      <c r="D341" s="86">
        <v>0.33300000000000002</v>
      </c>
      <c r="E341" s="61">
        <v>-854.80150000000003</v>
      </c>
      <c r="U341" s="86">
        <v>0.33300000000000002</v>
      </c>
      <c r="V341" s="62">
        <v>1086.8688</v>
      </c>
      <c r="W341" s="86">
        <v>0.33300000000000002</v>
      </c>
      <c r="X341" s="62">
        <v>1059.0133000000001</v>
      </c>
      <c r="Y341" s="86">
        <v>0.33300000000000002</v>
      </c>
      <c r="Z341" s="62">
        <v>1019.1911</v>
      </c>
    </row>
    <row r="342" spans="4:26">
      <c r="D342" s="86">
        <v>0.33400000000000002</v>
      </c>
      <c r="E342" s="61">
        <v>-856.03330000000005</v>
      </c>
      <c r="U342" s="86">
        <v>0.33400000000000002</v>
      </c>
      <c r="V342" s="62">
        <v>1086.9077</v>
      </c>
      <c r="W342" s="86">
        <v>0.33400000000000002</v>
      </c>
      <c r="X342" s="62">
        <v>1058.9920999999999</v>
      </c>
      <c r="Y342" s="86">
        <v>0.33400000000000002</v>
      </c>
      <c r="Z342" s="62">
        <v>1019.1108400000001</v>
      </c>
    </row>
    <row r="343" spans="4:26">
      <c r="D343" s="86">
        <v>0.33500000000000002</v>
      </c>
      <c r="E343" s="61">
        <v>-857.26025000000004</v>
      </c>
      <c r="U343" s="86">
        <v>0.33500000000000002</v>
      </c>
      <c r="V343" s="62">
        <v>1086.9463000000001</v>
      </c>
      <c r="W343" s="86">
        <v>0.33500000000000002</v>
      </c>
      <c r="X343" s="62">
        <v>1058.9704999999999</v>
      </c>
      <c r="Y343" s="86">
        <v>0.33500000000000002</v>
      </c>
      <c r="Z343" s="62">
        <v>1019.0305</v>
      </c>
    </row>
    <row r="344" spans="4:26">
      <c r="D344" s="86">
        <v>0.33600000000000002</v>
      </c>
      <c r="E344" s="61">
        <v>-858.48235999999997</v>
      </c>
      <c r="U344" s="86">
        <v>0.33600000000000002</v>
      </c>
      <c r="V344" s="62">
        <v>1086.9840999999999</v>
      </c>
      <c r="W344" s="86">
        <v>0.33600000000000002</v>
      </c>
      <c r="X344" s="62">
        <v>1058.9485999999999</v>
      </c>
      <c r="Y344" s="86">
        <v>0.33600000000000002</v>
      </c>
      <c r="Z344" s="62">
        <v>1018.9502</v>
      </c>
    </row>
    <row r="345" spans="4:26">
      <c r="D345" s="86">
        <v>0.33700000000000002</v>
      </c>
      <c r="E345" s="61">
        <v>-859.69965000000002</v>
      </c>
      <c r="U345" s="86">
        <v>0.33700000000000002</v>
      </c>
      <c r="V345" s="62">
        <v>1087.0215000000001</v>
      </c>
      <c r="W345" s="86">
        <v>0.33700000000000002</v>
      </c>
      <c r="X345" s="62">
        <v>1058.9263000000001</v>
      </c>
      <c r="Y345" s="86">
        <v>0.33700000000000002</v>
      </c>
      <c r="Z345" s="62">
        <v>1018.8699</v>
      </c>
    </row>
    <row r="346" spans="4:26">
      <c r="D346" s="86">
        <v>0.33800000000000002</v>
      </c>
      <c r="E346" s="61">
        <v>-860.91205000000002</v>
      </c>
      <c r="U346" s="86">
        <v>0.33800000000000002</v>
      </c>
      <c r="V346" s="62">
        <v>1087.0582999999999</v>
      </c>
      <c r="W346" s="86">
        <v>0.33800000000000002</v>
      </c>
      <c r="X346" s="62">
        <v>1058.9037000000001</v>
      </c>
      <c r="Y346" s="86">
        <v>0.33800000000000002</v>
      </c>
      <c r="Z346" s="62">
        <v>1018.7895</v>
      </c>
    </row>
    <row r="347" spans="4:26">
      <c r="D347" s="86">
        <v>0.33900000000000002</v>
      </c>
      <c r="E347" s="61">
        <v>-862.11959999999999</v>
      </c>
      <c r="U347" s="86">
        <v>0.33900000000000002</v>
      </c>
      <c r="V347" s="62">
        <v>1087.0947000000001</v>
      </c>
      <c r="W347" s="86">
        <v>0.33900000000000002</v>
      </c>
      <c r="X347" s="62">
        <v>1058.8806999999999</v>
      </c>
      <c r="Y347" s="86">
        <v>0.33900000000000002</v>
      </c>
      <c r="Z347" s="62">
        <v>1018.70905</v>
      </c>
    </row>
    <row r="348" spans="4:26">
      <c r="D348" s="86">
        <v>0.34</v>
      </c>
      <c r="E348" s="61">
        <v>-863.32240000000002</v>
      </c>
      <c r="U348" s="86">
        <v>0.34</v>
      </c>
      <c r="V348" s="62">
        <v>1087.1305</v>
      </c>
      <c r="W348" s="86">
        <v>0.34</v>
      </c>
      <c r="X348" s="62">
        <v>1058.8575000000001</v>
      </c>
      <c r="Y348" s="86">
        <v>0.34</v>
      </c>
      <c r="Z348" s="62">
        <v>1018.6286</v>
      </c>
    </row>
    <row r="349" spans="4:26">
      <c r="D349" s="86">
        <v>0.34100000000000003</v>
      </c>
      <c r="E349" s="61">
        <v>-864.52030000000002</v>
      </c>
      <c r="U349" s="86">
        <v>0.34100000000000003</v>
      </c>
      <c r="V349" s="62">
        <v>1087.1658</v>
      </c>
      <c r="W349" s="86">
        <v>0.34100000000000003</v>
      </c>
      <c r="X349" s="62">
        <v>1058.8339000000001</v>
      </c>
      <c r="Y349" s="86">
        <v>0.34100000000000003</v>
      </c>
      <c r="Z349" s="62">
        <v>1018.5481600000001</v>
      </c>
    </row>
    <row r="350" spans="4:26">
      <c r="D350" s="86">
        <v>0.34200000000000003</v>
      </c>
      <c r="E350" s="61">
        <v>-865.71343999999999</v>
      </c>
      <c r="U350" s="86">
        <v>0.34200000000000003</v>
      </c>
      <c r="V350" s="62">
        <v>1087.2003999999999</v>
      </c>
      <c r="W350" s="86">
        <v>0.34200000000000003</v>
      </c>
      <c r="X350" s="62">
        <v>1058.8099</v>
      </c>
      <c r="Y350" s="86">
        <v>0.34200000000000003</v>
      </c>
      <c r="Z350" s="62">
        <v>1018.46765</v>
      </c>
    </row>
    <row r="351" spans="4:26">
      <c r="D351" s="86">
        <v>0.34300000000000003</v>
      </c>
      <c r="E351" s="61">
        <v>-866.90173000000004</v>
      </c>
      <c r="U351" s="86">
        <v>0.34300000000000003</v>
      </c>
      <c r="V351" s="62">
        <v>1087.2346</v>
      </c>
      <c r="W351" s="86">
        <v>0.34300000000000003</v>
      </c>
      <c r="X351" s="62">
        <v>1058.7858000000001</v>
      </c>
      <c r="Y351" s="86">
        <v>0.34300000000000003</v>
      </c>
      <c r="Z351" s="62">
        <v>1018.38715</v>
      </c>
    </row>
    <row r="352" spans="4:26">
      <c r="D352" s="86">
        <v>0.34399999999999997</v>
      </c>
      <c r="E352" s="61">
        <v>-868.08519999999999</v>
      </c>
      <c r="U352" s="86">
        <v>0.34399999999999997</v>
      </c>
      <c r="V352" s="62">
        <v>1087.2683</v>
      </c>
      <c r="W352" s="86">
        <v>0.34399999999999997</v>
      </c>
      <c r="X352" s="62">
        <v>1058.7610999999999</v>
      </c>
      <c r="Y352" s="86">
        <v>0.34399999999999997</v>
      </c>
      <c r="Z352" s="62">
        <v>1018.3066</v>
      </c>
    </row>
    <row r="353" spans="4:26">
      <c r="D353" s="86">
        <v>0.34499999999999997</v>
      </c>
      <c r="E353" s="61">
        <v>-869.26390000000004</v>
      </c>
      <c r="U353" s="86">
        <v>0.34499999999999997</v>
      </c>
      <c r="V353" s="62">
        <v>1087.3014000000001</v>
      </c>
      <c r="W353" s="86">
        <v>0.34499999999999997</v>
      </c>
      <c r="X353" s="62">
        <v>1058.7362000000001</v>
      </c>
      <c r="Y353" s="86">
        <v>0.34499999999999997</v>
      </c>
      <c r="Z353" s="62">
        <v>1018.226</v>
      </c>
    </row>
    <row r="354" spans="4:26">
      <c r="D354" s="86">
        <v>0.34599999999999997</v>
      </c>
      <c r="E354" s="61">
        <v>-870.43786999999998</v>
      </c>
      <c r="U354" s="86">
        <v>0.34599999999999997</v>
      </c>
      <c r="V354" s="62">
        <v>1087.3341</v>
      </c>
      <c r="W354" s="86">
        <v>0.34599999999999997</v>
      </c>
      <c r="X354" s="62">
        <v>1058.711</v>
      </c>
      <c r="Y354" s="86">
        <v>0.34599999999999997</v>
      </c>
      <c r="Z354" s="62">
        <v>1018.14545</v>
      </c>
    </row>
    <row r="355" spans="4:26">
      <c r="D355" s="86">
        <v>0.34699999999999998</v>
      </c>
      <c r="E355" s="61">
        <v>-871.60699999999997</v>
      </c>
      <c r="U355" s="86">
        <v>0.34699999999999998</v>
      </c>
      <c r="V355" s="62">
        <v>1087.3661999999999</v>
      </c>
      <c r="W355" s="86">
        <v>0.34699999999999998</v>
      </c>
      <c r="X355" s="62">
        <v>1058.6855</v>
      </c>
      <c r="Y355" s="86">
        <v>0.34699999999999998</v>
      </c>
      <c r="Z355" s="62">
        <v>1018.0648</v>
      </c>
    </row>
    <row r="356" spans="4:26">
      <c r="D356" s="86">
        <v>0.34799999999999998</v>
      </c>
      <c r="E356" s="61">
        <v>-872.7713</v>
      </c>
      <c r="U356" s="86">
        <v>0.34799999999999998</v>
      </c>
      <c r="V356" s="62">
        <v>1087.3978</v>
      </c>
      <c r="W356" s="86">
        <v>0.34799999999999998</v>
      </c>
      <c r="X356" s="62">
        <v>1058.6596999999999</v>
      </c>
      <c r="Y356" s="86">
        <v>0.34799999999999998</v>
      </c>
      <c r="Z356" s="62">
        <v>1017.9842</v>
      </c>
    </row>
    <row r="357" spans="4:26">
      <c r="D357" s="86">
        <v>0.34899999999999998</v>
      </c>
      <c r="E357" s="61">
        <v>-873.93089999999995</v>
      </c>
      <c r="U357" s="86">
        <v>0.34899999999999998</v>
      </c>
      <c r="V357" s="62">
        <v>1087.4290000000001</v>
      </c>
      <c r="W357" s="86">
        <v>0.34899999999999998</v>
      </c>
      <c r="X357" s="62">
        <v>1058.6334999999999</v>
      </c>
      <c r="Y357" s="86">
        <v>0.34899999999999998</v>
      </c>
      <c r="Z357" s="62">
        <v>1017.90356</v>
      </c>
    </row>
    <row r="358" spans="4:26">
      <c r="D358" s="86">
        <v>0.35</v>
      </c>
      <c r="E358" s="61">
        <v>-875.08569999999997</v>
      </c>
      <c r="U358" s="86">
        <v>0.35</v>
      </c>
      <c r="V358" s="62">
        <v>1087.4594999999999</v>
      </c>
      <c r="W358" s="86">
        <v>0.35</v>
      </c>
      <c r="X358" s="62">
        <v>1058.607</v>
      </c>
      <c r="Y358" s="86">
        <v>0.35</v>
      </c>
      <c r="Z358" s="62">
        <v>1017.8229</v>
      </c>
    </row>
    <row r="359" spans="4:26">
      <c r="D359" s="86">
        <v>0.35099999999999998</v>
      </c>
      <c r="E359" s="61">
        <v>-876.23569999999995</v>
      </c>
      <c r="U359" s="86">
        <v>0.35099999999999998</v>
      </c>
      <c r="V359" s="62">
        <v>1087.4896000000001</v>
      </c>
      <c r="W359" s="86">
        <v>0.35099999999999998</v>
      </c>
      <c r="X359" s="62">
        <v>1058.5803000000001</v>
      </c>
      <c r="Y359" s="86">
        <v>0.35099999999999998</v>
      </c>
      <c r="Z359" s="62">
        <v>1017.7422</v>
      </c>
    </row>
    <row r="360" spans="4:26">
      <c r="D360" s="86">
        <v>0.35199999999999998</v>
      </c>
      <c r="E360" s="61">
        <v>-877.38099999999997</v>
      </c>
      <c r="U360" s="86">
        <v>0.35199999999999998</v>
      </c>
      <c r="V360" s="62">
        <v>1087.5192999999999</v>
      </c>
      <c r="W360" s="86">
        <v>0.35199999999999998</v>
      </c>
      <c r="X360" s="62">
        <v>1058.5532000000001</v>
      </c>
      <c r="Y360" s="86">
        <v>0.35199999999999998</v>
      </c>
      <c r="Z360" s="62">
        <v>1017.6615</v>
      </c>
    </row>
    <row r="361" spans="4:26">
      <c r="D361" s="86">
        <v>0.35299999999999998</v>
      </c>
      <c r="E361" s="61">
        <v>-878.52149999999995</v>
      </c>
      <c r="U361" s="86">
        <v>0.35299999999999998</v>
      </c>
      <c r="V361" s="62">
        <v>1087.5482999999999</v>
      </c>
      <c r="W361" s="86">
        <v>0.35299999999999998</v>
      </c>
      <c r="X361" s="62">
        <v>1058.5259000000001</v>
      </c>
      <c r="Y361" s="86">
        <v>0.35299999999999998</v>
      </c>
      <c r="Z361" s="62">
        <v>1017.5808</v>
      </c>
    </row>
    <row r="362" spans="4:26">
      <c r="D362" s="86">
        <v>0.35399999999999998</v>
      </c>
      <c r="E362" s="61">
        <v>-879.65719999999999</v>
      </c>
      <c r="U362" s="86">
        <v>0.35399999999999998</v>
      </c>
      <c r="V362" s="62">
        <v>1087.5769</v>
      </c>
      <c r="W362" s="86">
        <v>0.35399999999999998</v>
      </c>
      <c r="X362" s="62">
        <v>1058.4982</v>
      </c>
      <c r="Y362" s="86">
        <v>0.35399999999999998</v>
      </c>
      <c r="Z362" s="62">
        <v>1017.50006</v>
      </c>
    </row>
    <row r="363" spans="4:26">
      <c r="D363" s="86">
        <v>0.35499999999999998</v>
      </c>
      <c r="E363" s="61">
        <v>-880.78819999999996</v>
      </c>
      <c r="U363" s="86">
        <v>0.35499999999999998</v>
      </c>
      <c r="V363" s="62">
        <v>1087.6051</v>
      </c>
      <c r="W363" s="86">
        <v>0.35499999999999998</v>
      </c>
      <c r="X363" s="62">
        <v>1058.4702</v>
      </c>
      <c r="Y363" s="86">
        <v>0.35499999999999998</v>
      </c>
      <c r="Z363" s="62">
        <v>1017.4193</v>
      </c>
    </row>
    <row r="364" spans="4:26">
      <c r="D364" s="86">
        <v>0.35599999999999998</v>
      </c>
      <c r="E364" s="61">
        <v>-881.9144</v>
      </c>
      <c r="U364" s="86">
        <v>0.35599999999999998</v>
      </c>
      <c r="V364" s="62">
        <v>1087.6327000000001</v>
      </c>
      <c r="W364" s="86">
        <v>0.35599999999999998</v>
      </c>
      <c r="X364" s="62">
        <v>1058.4419</v>
      </c>
      <c r="Y364" s="86">
        <v>0.35599999999999998</v>
      </c>
      <c r="Z364" s="62">
        <v>1017.33856</v>
      </c>
    </row>
    <row r="365" spans="4:26">
      <c r="D365" s="86">
        <v>0.35699999999999998</v>
      </c>
      <c r="E365" s="61">
        <v>-883.03589999999997</v>
      </c>
      <c r="U365" s="86">
        <v>0.35699999999999998</v>
      </c>
      <c r="V365" s="62">
        <v>1087.6597999999999</v>
      </c>
      <c r="W365" s="86">
        <v>0.35699999999999998</v>
      </c>
      <c r="X365" s="62">
        <v>1058.4132999999999</v>
      </c>
      <c r="Y365" s="86">
        <v>0.35699999999999998</v>
      </c>
      <c r="Z365" s="62">
        <v>1017.2578</v>
      </c>
    </row>
    <row r="366" spans="4:26">
      <c r="D366" s="86">
        <v>0.35799999999999998</v>
      </c>
      <c r="E366" s="61">
        <v>-884.15264999999999</v>
      </c>
      <c r="U366" s="86">
        <v>0.35799999999999998</v>
      </c>
      <c r="V366" s="62">
        <v>1087.6865</v>
      </c>
      <c r="W366" s="86">
        <v>0.35799999999999998</v>
      </c>
      <c r="X366" s="62">
        <v>1058.3844999999999</v>
      </c>
      <c r="Y366" s="86">
        <v>0.35799999999999998</v>
      </c>
      <c r="Z366" s="62">
        <v>1017.17706</v>
      </c>
    </row>
    <row r="367" spans="4:26">
      <c r="D367" s="86">
        <v>0.35899999999999999</v>
      </c>
      <c r="E367" s="61">
        <v>-885.26464999999996</v>
      </c>
      <c r="U367" s="86">
        <v>0.35899999999999999</v>
      </c>
      <c r="V367" s="62">
        <v>1087.7126000000001</v>
      </c>
      <c r="W367" s="86">
        <v>0.35899999999999999</v>
      </c>
      <c r="X367" s="62">
        <v>1058.3552999999999</v>
      </c>
      <c r="Y367" s="86">
        <v>0.35899999999999999</v>
      </c>
      <c r="Z367" s="62">
        <v>1017.0963</v>
      </c>
    </row>
    <row r="368" spans="4:26">
      <c r="D368" s="86">
        <v>0.36</v>
      </c>
      <c r="E368" s="61">
        <v>-886.37189999999998</v>
      </c>
      <c r="U368" s="86">
        <v>0.36</v>
      </c>
      <c r="V368" s="62">
        <v>1087.7384</v>
      </c>
      <c r="W368" s="86">
        <v>0.36</v>
      </c>
      <c r="X368" s="62">
        <v>1058.3259</v>
      </c>
      <c r="Y368" s="86">
        <v>0.36</v>
      </c>
      <c r="Z368" s="62">
        <v>1017.0155</v>
      </c>
    </row>
    <row r="369" spans="4:26">
      <c r="D369" s="86">
        <v>0.36099999999999999</v>
      </c>
      <c r="E369" s="61">
        <v>-887.47437000000002</v>
      </c>
      <c r="U369" s="86">
        <v>0.36099999999999999</v>
      </c>
      <c r="V369" s="62">
        <v>1087.7635</v>
      </c>
      <c r="W369" s="86">
        <v>0.36099999999999999</v>
      </c>
      <c r="X369" s="62">
        <v>1058.2963</v>
      </c>
      <c r="Y369" s="86">
        <v>0.36099999999999999</v>
      </c>
      <c r="Z369" s="62">
        <v>1016.93475</v>
      </c>
    </row>
    <row r="370" spans="4:26">
      <c r="D370" s="86">
        <v>0.36199999999999999</v>
      </c>
      <c r="E370" s="61">
        <v>-888.57213999999999</v>
      </c>
      <c r="U370" s="86">
        <v>0.36199999999999999</v>
      </c>
      <c r="V370" s="62">
        <v>1087.7882999999999</v>
      </c>
      <c r="W370" s="86">
        <v>0.36199999999999999</v>
      </c>
      <c r="X370" s="62">
        <v>1058.2662</v>
      </c>
      <c r="Y370" s="86">
        <v>0.36199999999999999</v>
      </c>
      <c r="Z370" s="62">
        <v>1016.85394</v>
      </c>
    </row>
    <row r="371" spans="4:26">
      <c r="D371" s="86">
        <v>0.36299999999999999</v>
      </c>
      <c r="E371" s="61">
        <v>-889.66516000000001</v>
      </c>
      <c r="U371" s="86">
        <v>0.36299999999999999</v>
      </c>
      <c r="V371" s="62">
        <v>1087.8126</v>
      </c>
      <c r="W371" s="86">
        <v>0.36299999999999999</v>
      </c>
      <c r="X371" s="62">
        <v>1058.2361000000001</v>
      </c>
      <c r="Y371" s="86">
        <v>0.36299999999999999</v>
      </c>
      <c r="Z371" s="62">
        <v>1016.7732</v>
      </c>
    </row>
    <row r="372" spans="4:26">
      <c r="D372" s="86">
        <v>0.36399999999999999</v>
      </c>
      <c r="E372" s="61">
        <v>-890.75350000000003</v>
      </c>
      <c r="U372" s="86">
        <v>0.36399999999999999</v>
      </c>
      <c r="V372" s="62">
        <v>1087.8363999999999</v>
      </c>
      <c r="W372" s="86">
        <v>0.36399999999999999</v>
      </c>
      <c r="X372" s="62">
        <v>1058.2054000000001</v>
      </c>
      <c r="Y372" s="86">
        <v>0.36399999999999999</v>
      </c>
      <c r="Z372" s="62">
        <v>1016.6924</v>
      </c>
    </row>
    <row r="373" spans="4:26">
      <c r="D373" s="86">
        <v>0.36499999999999999</v>
      </c>
      <c r="E373" s="61">
        <v>-891.83704</v>
      </c>
      <c r="U373" s="86">
        <v>0.36499999999999999</v>
      </c>
      <c r="V373" s="62">
        <v>1087.8598999999999</v>
      </c>
      <c r="W373" s="86">
        <v>0.36499999999999999</v>
      </c>
      <c r="X373" s="62">
        <v>1058.1747</v>
      </c>
      <c r="Y373" s="86">
        <v>0.36499999999999999</v>
      </c>
      <c r="Z373" s="62">
        <v>1016.6116</v>
      </c>
    </row>
    <row r="374" spans="4:26">
      <c r="D374" s="86">
        <v>0.36599999999999999</v>
      </c>
      <c r="E374" s="61">
        <v>-892.91583000000003</v>
      </c>
      <c r="U374" s="86">
        <v>0.36599999999999999</v>
      </c>
      <c r="V374" s="62">
        <v>1087.8827000000001</v>
      </c>
      <c r="W374" s="86">
        <v>0.36599999999999999</v>
      </c>
      <c r="X374" s="62">
        <v>1058.1436000000001</v>
      </c>
      <c r="Y374" s="86">
        <v>0.36599999999999999</v>
      </c>
      <c r="Z374" s="62">
        <v>1016.5308</v>
      </c>
    </row>
    <row r="375" spans="4:26">
      <c r="D375" s="86">
        <v>0.36699999999999999</v>
      </c>
      <c r="E375" s="61">
        <v>-893.98990000000003</v>
      </c>
      <c r="U375" s="86">
        <v>0.36699999999999999</v>
      </c>
      <c r="V375" s="62">
        <v>1087.9051999999999</v>
      </c>
      <c r="W375" s="86">
        <v>0.36699999999999999</v>
      </c>
      <c r="X375" s="62">
        <v>1058.1122</v>
      </c>
      <c r="Y375" s="86">
        <v>0.36699999999999999</v>
      </c>
      <c r="Z375" s="62">
        <v>1016.45</v>
      </c>
    </row>
    <row r="376" spans="4:26">
      <c r="D376" s="86">
        <v>0.36799999999999999</v>
      </c>
      <c r="E376" s="61">
        <v>-895.05930000000001</v>
      </c>
      <c r="U376" s="86">
        <v>0.36799999999999999</v>
      </c>
      <c r="V376" s="62">
        <v>1087.9271000000001</v>
      </c>
      <c r="W376" s="86">
        <v>0.36799999999999999</v>
      </c>
      <c r="X376" s="62">
        <v>1058.0806</v>
      </c>
      <c r="Y376" s="86">
        <v>0.36799999999999999</v>
      </c>
      <c r="Z376" s="62">
        <v>1016.3692</v>
      </c>
    </row>
    <row r="377" spans="4:26">
      <c r="D377" s="86">
        <v>0.36899999999999999</v>
      </c>
      <c r="E377" s="61">
        <v>-896.12390000000005</v>
      </c>
      <c r="U377" s="86">
        <v>0.36899999999999999</v>
      </c>
      <c r="V377" s="62">
        <v>1087.9485999999999</v>
      </c>
      <c r="W377" s="86">
        <v>0.36899999999999999</v>
      </c>
      <c r="X377" s="62">
        <v>1058.0487000000001</v>
      </c>
      <c r="Y377" s="86">
        <v>0.36899999999999999</v>
      </c>
      <c r="Z377" s="62">
        <v>1016.28845</v>
      </c>
    </row>
    <row r="378" spans="4:26">
      <c r="D378" s="86">
        <v>0.37</v>
      </c>
      <c r="E378" s="61">
        <v>-897.18384000000003</v>
      </c>
      <c r="U378" s="86">
        <v>0.37</v>
      </c>
      <c r="V378" s="62">
        <v>1087.9697000000001</v>
      </c>
      <c r="W378" s="86">
        <v>0.37</v>
      </c>
      <c r="X378" s="62">
        <v>1058.0165999999999</v>
      </c>
      <c r="Y378" s="86">
        <v>0.37</v>
      </c>
      <c r="Z378" s="62">
        <v>1016.20764</v>
      </c>
    </row>
    <row r="379" spans="4:26">
      <c r="D379" s="86">
        <v>0.371</v>
      </c>
      <c r="E379" s="61">
        <v>-898.23895000000005</v>
      </c>
      <c r="U379" s="86">
        <v>0.371</v>
      </c>
      <c r="V379" s="62">
        <v>1087.9902</v>
      </c>
      <c r="W379" s="86">
        <v>0.371</v>
      </c>
      <c r="X379" s="62">
        <v>1057.9840999999999</v>
      </c>
      <c r="Y379" s="86">
        <v>0.371</v>
      </c>
      <c r="Z379" s="62">
        <v>1016.1269</v>
      </c>
    </row>
    <row r="380" spans="4:26">
      <c r="D380" s="86">
        <v>0.372</v>
      </c>
      <c r="E380" s="61">
        <v>-899.28936999999996</v>
      </c>
      <c r="U380" s="86">
        <v>0.372</v>
      </c>
      <c r="V380" s="62">
        <v>1088.0105000000001</v>
      </c>
      <c r="W380" s="86">
        <v>0.372</v>
      </c>
      <c r="X380" s="62">
        <v>1057.9514999999999</v>
      </c>
      <c r="Y380" s="86">
        <v>0.372</v>
      </c>
      <c r="Z380" s="62">
        <v>1016.0461</v>
      </c>
    </row>
    <row r="381" spans="4:26">
      <c r="D381" s="86">
        <v>0.373</v>
      </c>
      <c r="E381" s="61">
        <v>-900.33510000000001</v>
      </c>
      <c r="U381" s="86">
        <v>0.373</v>
      </c>
      <c r="V381" s="62">
        <v>1088.0301999999999</v>
      </c>
      <c r="W381" s="86">
        <v>0.373</v>
      </c>
      <c r="X381" s="62">
        <v>1057.9186</v>
      </c>
      <c r="Y381" s="86">
        <v>0.373</v>
      </c>
      <c r="Z381" s="62">
        <v>1015.96533</v>
      </c>
    </row>
    <row r="382" spans="4:26">
      <c r="D382" s="86">
        <v>0.374</v>
      </c>
      <c r="E382" s="61">
        <v>-901.37599999999998</v>
      </c>
      <c r="U382" s="86">
        <v>0.374</v>
      </c>
      <c r="V382" s="62">
        <v>1088.0494000000001</v>
      </c>
      <c r="W382" s="86">
        <v>0.374</v>
      </c>
      <c r="X382" s="62">
        <v>1057.8853999999999</v>
      </c>
      <c r="Y382" s="86">
        <v>0.374</v>
      </c>
      <c r="Z382" s="62">
        <v>1015.8846</v>
      </c>
    </row>
    <row r="383" spans="4:26">
      <c r="D383" s="86">
        <v>0.375</v>
      </c>
      <c r="E383" s="61">
        <v>-902.41223000000002</v>
      </c>
      <c r="U383" s="86">
        <v>0.375</v>
      </c>
      <c r="V383" s="62">
        <v>1088.0681999999999</v>
      </c>
      <c r="W383" s="86">
        <v>0.375</v>
      </c>
      <c r="X383" s="62">
        <v>1057.8518999999999</v>
      </c>
      <c r="Y383" s="86">
        <v>0.375</v>
      </c>
      <c r="Z383" s="62">
        <v>1015.8038</v>
      </c>
    </row>
    <row r="384" spans="4:26">
      <c r="D384" s="86">
        <v>0.376</v>
      </c>
      <c r="E384" s="61">
        <v>-903.44366000000002</v>
      </c>
      <c r="U384" s="86">
        <v>0.376</v>
      </c>
      <c r="V384" s="62">
        <v>1088.0867000000001</v>
      </c>
      <c r="W384" s="86">
        <v>0.376</v>
      </c>
      <c r="X384" s="62">
        <v>1057.8181999999999</v>
      </c>
      <c r="Y384" s="86">
        <v>0.376</v>
      </c>
      <c r="Z384" s="62">
        <v>1015.723</v>
      </c>
    </row>
    <row r="385" spans="4:26">
      <c r="D385" s="86">
        <v>0.377</v>
      </c>
      <c r="E385" s="61">
        <v>-904.47040000000004</v>
      </c>
      <c r="U385" s="86">
        <v>0.377</v>
      </c>
      <c r="V385" s="62">
        <v>1088.1045999999999</v>
      </c>
      <c r="W385" s="86">
        <v>0.377</v>
      </c>
      <c r="X385" s="62">
        <v>1057.7843</v>
      </c>
      <c r="Y385" s="86">
        <v>0.377</v>
      </c>
      <c r="Z385" s="62">
        <v>1015.64233</v>
      </c>
    </row>
    <row r="386" spans="4:26">
      <c r="D386" s="86">
        <v>0.378</v>
      </c>
      <c r="E386" s="61">
        <v>-905.49239999999998</v>
      </c>
      <c r="U386" s="86">
        <v>0.378</v>
      </c>
      <c r="V386" s="62">
        <v>1088.1222</v>
      </c>
      <c r="W386" s="86">
        <v>0.378</v>
      </c>
      <c r="X386" s="62">
        <v>1057.75</v>
      </c>
      <c r="Y386" s="86">
        <v>0.378</v>
      </c>
      <c r="Z386" s="62">
        <v>1015.5616</v>
      </c>
    </row>
    <row r="387" spans="4:26">
      <c r="D387" s="86">
        <v>0.379</v>
      </c>
      <c r="E387" s="61">
        <v>-906.50963999999999</v>
      </c>
      <c r="U387" s="86">
        <v>0.379</v>
      </c>
      <c r="V387" s="62">
        <v>1088.1393</v>
      </c>
      <c r="W387" s="86">
        <v>0.379</v>
      </c>
      <c r="X387" s="62">
        <v>1057.7156</v>
      </c>
      <c r="Y387" s="86">
        <v>0.379</v>
      </c>
      <c r="Z387" s="62">
        <v>1015.48083</v>
      </c>
    </row>
    <row r="388" spans="4:26">
      <c r="D388" s="86">
        <v>0.38</v>
      </c>
      <c r="E388" s="61">
        <v>-907.52210000000002</v>
      </c>
      <c r="U388" s="86">
        <v>0.38</v>
      </c>
      <c r="V388" s="62">
        <v>1088.1559</v>
      </c>
      <c r="W388" s="86">
        <v>0.38</v>
      </c>
      <c r="X388" s="62">
        <v>1057.6809000000001</v>
      </c>
      <c r="Y388" s="86">
        <v>0.38</v>
      </c>
      <c r="Z388" s="62">
        <v>1015.4001500000001</v>
      </c>
    </row>
    <row r="389" spans="4:26">
      <c r="D389" s="86">
        <v>0.38100000000000001</v>
      </c>
      <c r="E389" s="61">
        <v>-908.52985000000001</v>
      </c>
      <c r="U389" s="86">
        <v>0.38100000000000001</v>
      </c>
      <c r="V389" s="62">
        <v>1088.1721</v>
      </c>
      <c r="W389" s="86">
        <v>0.38100000000000001</v>
      </c>
      <c r="X389" s="62">
        <v>1057.646</v>
      </c>
      <c r="Y389" s="86">
        <v>0.38100000000000001</v>
      </c>
      <c r="Z389" s="62">
        <v>1015.31946</v>
      </c>
    </row>
    <row r="390" spans="4:26">
      <c r="D390" s="86">
        <v>0.38200000000000001</v>
      </c>
      <c r="E390" s="61">
        <v>-909.53283999999996</v>
      </c>
      <c r="U390" s="86">
        <v>0.38200000000000001</v>
      </c>
      <c r="V390" s="62">
        <v>1088.1880000000001</v>
      </c>
      <c r="W390" s="86">
        <v>0.38200000000000001</v>
      </c>
      <c r="X390" s="62">
        <v>1057.6107999999999</v>
      </c>
      <c r="Y390" s="86">
        <v>0.38200000000000001</v>
      </c>
      <c r="Z390" s="62">
        <v>1015.2388</v>
      </c>
    </row>
    <row r="391" spans="4:26">
      <c r="D391" s="86">
        <v>0.38300000000000001</v>
      </c>
      <c r="E391" s="61">
        <v>-910.53107</v>
      </c>
      <c r="U391" s="86">
        <v>0.38300000000000001</v>
      </c>
      <c r="V391" s="62">
        <v>1088.2034000000001</v>
      </c>
      <c r="W391" s="86">
        <v>0.38300000000000001</v>
      </c>
      <c r="X391" s="62">
        <v>1057.5753999999999</v>
      </c>
      <c r="Y391" s="86">
        <v>0.38300000000000001</v>
      </c>
      <c r="Z391" s="62">
        <v>1015.15814</v>
      </c>
    </row>
    <row r="392" spans="4:26">
      <c r="D392" s="86">
        <v>0.38400000000000001</v>
      </c>
      <c r="E392" s="61">
        <v>-911.52454</v>
      </c>
      <c r="U392" s="86">
        <v>0.38400000000000001</v>
      </c>
      <c r="V392" s="62">
        <v>1088.2183</v>
      </c>
      <c r="W392" s="86">
        <v>0.38400000000000001</v>
      </c>
      <c r="X392" s="62">
        <v>1057.5398</v>
      </c>
      <c r="Y392" s="86">
        <v>0.38400000000000001</v>
      </c>
      <c r="Z392" s="62">
        <v>1015.07745</v>
      </c>
    </row>
    <row r="393" spans="4:26">
      <c r="D393" s="86">
        <v>0.38500000000000001</v>
      </c>
      <c r="E393" s="61">
        <v>-912.51319999999998</v>
      </c>
      <c r="U393" s="86">
        <v>0.38500000000000001</v>
      </c>
      <c r="V393" s="62">
        <v>1088.2328</v>
      </c>
      <c r="W393" s="86">
        <v>0.38500000000000001</v>
      </c>
      <c r="X393" s="62">
        <v>1057.5038999999999</v>
      </c>
      <c r="Y393" s="86">
        <v>0.38500000000000001</v>
      </c>
      <c r="Z393" s="62">
        <v>1014.9968</v>
      </c>
    </row>
    <row r="394" spans="4:26">
      <c r="D394" s="86">
        <v>0.38600000000000001</v>
      </c>
      <c r="E394" s="61">
        <v>-913.49712999999997</v>
      </c>
      <c r="U394" s="86">
        <v>0.38600000000000001</v>
      </c>
      <c r="V394" s="62">
        <v>1088.2470000000001</v>
      </c>
      <c r="W394" s="86">
        <v>0.38600000000000001</v>
      </c>
      <c r="X394" s="62">
        <v>1057.4677999999999</v>
      </c>
      <c r="Y394" s="86">
        <v>0.38600000000000001</v>
      </c>
      <c r="Z394" s="62">
        <v>1014.9162</v>
      </c>
    </row>
    <row r="395" spans="4:26">
      <c r="D395" s="86">
        <v>0.38700000000000001</v>
      </c>
      <c r="E395" s="61">
        <v>-914.47630000000004</v>
      </c>
      <c r="U395" s="86">
        <v>0.38700000000000001</v>
      </c>
      <c r="V395" s="62">
        <v>1088.2607</v>
      </c>
      <c r="W395" s="86">
        <v>0.38700000000000001</v>
      </c>
      <c r="X395" s="62">
        <v>1057.4313999999999</v>
      </c>
      <c r="Y395" s="86">
        <v>0.38700000000000001</v>
      </c>
      <c r="Z395" s="62">
        <v>1014.8356</v>
      </c>
    </row>
    <row r="396" spans="4:26">
      <c r="D396" s="86">
        <v>0.38800000000000001</v>
      </c>
      <c r="E396" s="61">
        <v>-915.45069999999998</v>
      </c>
      <c r="U396" s="86">
        <v>0.38800000000000001</v>
      </c>
      <c r="V396" s="62">
        <v>1088.2739999999999</v>
      </c>
      <c r="W396" s="86">
        <v>0.38800000000000001</v>
      </c>
      <c r="X396" s="62">
        <v>1057.3948</v>
      </c>
      <c r="Y396" s="86">
        <v>0.38800000000000001</v>
      </c>
      <c r="Z396" s="62">
        <v>1014.755</v>
      </c>
    </row>
    <row r="397" spans="4:26">
      <c r="D397" s="86">
        <v>0.38900000000000001</v>
      </c>
      <c r="E397" s="61">
        <v>-916.4203</v>
      </c>
      <c r="U397" s="86">
        <v>0.38900000000000001</v>
      </c>
      <c r="V397" s="62">
        <v>1088.2869000000001</v>
      </c>
      <c r="W397" s="86">
        <v>0.38900000000000001</v>
      </c>
      <c r="X397" s="62">
        <v>1057.3579999999999</v>
      </c>
      <c r="Y397" s="86">
        <v>0.38900000000000001</v>
      </c>
      <c r="Z397" s="62">
        <v>1014.67444</v>
      </c>
    </row>
    <row r="398" spans="4:26">
      <c r="D398" s="86">
        <v>0.39</v>
      </c>
      <c r="E398" s="61">
        <v>-917.38513</v>
      </c>
      <c r="U398" s="86">
        <v>0.39</v>
      </c>
      <c r="V398" s="62">
        <v>1088.2994000000001</v>
      </c>
      <c r="W398" s="86">
        <v>0.39</v>
      </c>
      <c r="X398" s="62">
        <v>1057.3208999999999</v>
      </c>
      <c r="Y398" s="86">
        <v>0.39</v>
      </c>
      <c r="Z398" s="62">
        <v>1014.5939</v>
      </c>
    </row>
    <row r="399" spans="4:26">
      <c r="D399" s="86">
        <v>0.39100000000000001</v>
      </c>
      <c r="E399" s="61">
        <v>-918.34514999999999</v>
      </c>
      <c r="U399" s="86">
        <v>0.39100000000000001</v>
      </c>
      <c r="V399" s="62">
        <v>1088.3115</v>
      </c>
      <c r="W399" s="86">
        <v>0.39100000000000001</v>
      </c>
      <c r="X399" s="62">
        <v>1057.2837</v>
      </c>
      <c r="Y399" s="86">
        <v>0.39100000000000001</v>
      </c>
      <c r="Z399" s="62">
        <v>1014.51337</v>
      </c>
    </row>
    <row r="400" spans="4:26">
      <c r="D400" s="86">
        <v>0.39200000000000002</v>
      </c>
      <c r="E400" s="61">
        <v>-919.30034999999998</v>
      </c>
      <c r="U400" s="86">
        <v>0.39200000000000002</v>
      </c>
      <c r="V400" s="62">
        <v>1088.3231000000001</v>
      </c>
      <c r="W400" s="86">
        <v>0.39200000000000002</v>
      </c>
      <c r="X400" s="62">
        <v>1057.2462</v>
      </c>
      <c r="Y400" s="86">
        <v>0.39200000000000002</v>
      </c>
      <c r="Z400" s="62">
        <v>1014.43286</v>
      </c>
    </row>
    <row r="401" spans="4:26">
      <c r="D401" s="86">
        <v>0.39300000000000002</v>
      </c>
      <c r="E401" s="61">
        <v>-920.25080000000003</v>
      </c>
      <c r="U401" s="86">
        <v>0.39300000000000002</v>
      </c>
      <c r="V401" s="62">
        <v>1088.3344999999999</v>
      </c>
      <c r="W401" s="86">
        <v>0.39300000000000002</v>
      </c>
      <c r="X401" s="62">
        <v>1057.2085</v>
      </c>
      <c r="Y401" s="86">
        <v>0.39300000000000002</v>
      </c>
      <c r="Z401" s="62">
        <v>1014.35236</v>
      </c>
    </row>
    <row r="402" spans="4:26">
      <c r="D402" s="86">
        <v>0.39400000000000002</v>
      </c>
      <c r="E402" s="61">
        <v>-921.19640000000004</v>
      </c>
      <c r="U402" s="86">
        <v>0.39400000000000002</v>
      </c>
      <c r="V402" s="62">
        <v>1088.3453</v>
      </c>
      <c r="W402" s="86">
        <v>0.39400000000000002</v>
      </c>
      <c r="X402" s="62">
        <v>1057.1704999999999</v>
      </c>
      <c r="Y402" s="86">
        <v>0.39400000000000002</v>
      </c>
      <c r="Z402" s="62">
        <v>1014.27185</v>
      </c>
    </row>
    <row r="403" spans="4:26">
      <c r="D403" s="86">
        <v>0.39500000000000002</v>
      </c>
      <c r="E403" s="61">
        <v>-922.13720000000001</v>
      </c>
      <c r="U403" s="86">
        <v>0.39500000000000002</v>
      </c>
      <c r="V403" s="62">
        <v>1088.3558</v>
      </c>
      <c r="W403" s="86">
        <v>0.39500000000000002</v>
      </c>
      <c r="X403" s="62">
        <v>1057.1323</v>
      </c>
      <c r="Y403" s="86">
        <v>0.39500000000000002</v>
      </c>
      <c r="Z403" s="62">
        <v>1014.1914</v>
      </c>
    </row>
    <row r="404" spans="4:26">
      <c r="D404" s="86">
        <v>0.39600000000000002</v>
      </c>
      <c r="E404" s="61">
        <v>-923.07324000000006</v>
      </c>
      <c r="U404" s="86">
        <v>0.39600000000000002</v>
      </c>
      <c r="V404" s="62">
        <v>1088.3658</v>
      </c>
      <c r="W404" s="86">
        <v>0.39600000000000002</v>
      </c>
      <c r="X404" s="62">
        <v>1057.0940000000001</v>
      </c>
      <c r="Y404" s="86">
        <v>0.39600000000000002</v>
      </c>
      <c r="Z404" s="62">
        <v>1014.111</v>
      </c>
    </row>
    <row r="405" spans="4:26">
      <c r="D405" s="86">
        <v>0.39700000000000002</v>
      </c>
      <c r="E405" s="61">
        <v>-924.00440000000003</v>
      </c>
      <c r="U405" s="86">
        <v>0.39700000000000002</v>
      </c>
      <c r="V405" s="62">
        <v>1088.3756000000001</v>
      </c>
      <c r="W405" s="86">
        <v>0.39700000000000002</v>
      </c>
      <c r="X405" s="62">
        <v>1057.0554</v>
      </c>
      <c r="Y405" s="86">
        <v>0.39700000000000002</v>
      </c>
      <c r="Z405" s="62">
        <v>1014.0306</v>
      </c>
    </row>
    <row r="406" spans="4:26">
      <c r="D406" s="86">
        <v>0.39800000000000002</v>
      </c>
      <c r="E406" s="61">
        <v>-924.9307</v>
      </c>
      <c r="U406" s="86">
        <v>0.39800000000000002</v>
      </c>
      <c r="V406" s="62">
        <v>1088.3849</v>
      </c>
      <c r="W406" s="86">
        <v>0.39800000000000002</v>
      </c>
      <c r="X406" s="62">
        <v>1057.0165999999999</v>
      </c>
      <c r="Y406" s="86">
        <v>0.39800000000000002</v>
      </c>
      <c r="Z406" s="62">
        <v>1013.9502</v>
      </c>
    </row>
    <row r="407" spans="4:26">
      <c r="D407" s="86">
        <v>0.39900000000000002</v>
      </c>
      <c r="E407" s="61">
        <v>-925.85222999999996</v>
      </c>
      <c r="U407" s="86">
        <v>0.39900000000000002</v>
      </c>
      <c r="V407" s="62">
        <v>1088.3938000000001</v>
      </c>
      <c r="W407" s="86">
        <v>0.39900000000000002</v>
      </c>
      <c r="X407" s="62">
        <v>1056.9776999999999</v>
      </c>
      <c r="Y407" s="86">
        <v>0.39900000000000002</v>
      </c>
      <c r="Z407" s="62">
        <v>1013.8699</v>
      </c>
    </row>
    <row r="408" spans="4:26">
      <c r="D408" s="86">
        <v>0.4</v>
      </c>
      <c r="E408" s="61">
        <v>-926.76890000000003</v>
      </c>
      <c r="U408" s="86">
        <v>0.4</v>
      </c>
      <c r="V408" s="62">
        <v>1088.4023</v>
      </c>
      <c r="W408" s="86">
        <v>0.4</v>
      </c>
      <c r="X408" s="62">
        <v>1056.9384</v>
      </c>
      <c r="Y408" s="86">
        <v>0.4</v>
      </c>
      <c r="Z408" s="62">
        <v>1013.78955</v>
      </c>
    </row>
    <row r="409" spans="4:26">
      <c r="D409" s="86">
        <v>0.40100000000000002</v>
      </c>
      <c r="E409" s="61">
        <v>-927.6807</v>
      </c>
      <c r="U409" s="86">
        <v>0.40100000000000002</v>
      </c>
      <c r="V409" s="62">
        <v>1088.4105</v>
      </c>
      <c r="W409" s="86">
        <v>0.40100000000000002</v>
      </c>
      <c r="X409" s="62">
        <v>1056.8988999999999</v>
      </c>
      <c r="Y409" s="86">
        <v>0.40100000000000002</v>
      </c>
      <c r="Z409" s="62">
        <v>1013.7092</v>
      </c>
    </row>
    <row r="410" spans="4:26">
      <c r="D410" s="86">
        <v>0.40200000000000002</v>
      </c>
      <c r="E410" s="61">
        <v>-928.58765000000005</v>
      </c>
      <c r="U410" s="86">
        <v>0.40200000000000002</v>
      </c>
      <c r="V410" s="62">
        <v>1088.4182000000001</v>
      </c>
      <c r="W410" s="86">
        <v>0.40200000000000002</v>
      </c>
      <c r="X410" s="62">
        <v>1056.8594000000001</v>
      </c>
      <c r="Y410" s="86">
        <v>0.40200000000000002</v>
      </c>
      <c r="Z410" s="62">
        <v>1013.62897</v>
      </c>
    </row>
    <row r="411" spans="4:26">
      <c r="D411" s="86">
        <v>0.40300000000000002</v>
      </c>
      <c r="E411" s="61">
        <v>-929.48974999999996</v>
      </c>
      <c r="U411" s="86">
        <v>0.40300000000000002</v>
      </c>
      <c r="V411" s="62">
        <v>1088.4257</v>
      </c>
      <c r="W411" s="86">
        <v>0.40300000000000002</v>
      </c>
      <c r="X411" s="62">
        <v>1056.8195000000001</v>
      </c>
      <c r="Y411" s="86">
        <v>0.40300000000000002</v>
      </c>
      <c r="Z411" s="62">
        <v>1013.5487000000001</v>
      </c>
    </row>
    <row r="412" spans="4:26">
      <c r="D412" s="86">
        <v>0.40400000000000003</v>
      </c>
      <c r="E412" s="61">
        <v>-930.38689999999997</v>
      </c>
      <c r="U412" s="86">
        <v>0.40400000000000003</v>
      </c>
      <c r="V412" s="62">
        <v>1088.4326000000001</v>
      </c>
      <c r="W412" s="86">
        <v>0.40400000000000003</v>
      </c>
      <c r="X412" s="62">
        <v>1056.7793999999999</v>
      </c>
      <c r="Y412" s="86">
        <v>0.40400000000000003</v>
      </c>
      <c r="Z412" s="62">
        <v>1013.4684999999999</v>
      </c>
    </row>
    <row r="413" spans="4:26">
      <c r="D413" s="86">
        <v>0.40500000000000003</v>
      </c>
      <c r="E413" s="61">
        <v>-931.27923999999996</v>
      </c>
      <c r="U413" s="86">
        <v>0.40500000000000003</v>
      </c>
      <c r="V413" s="62">
        <v>1088.4393</v>
      </c>
      <c r="W413" s="86">
        <v>0.40500000000000003</v>
      </c>
      <c r="X413" s="62">
        <v>1056.7393</v>
      </c>
      <c r="Y413" s="86">
        <v>0.40500000000000003</v>
      </c>
      <c r="Z413" s="62">
        <v>1013.3883</v>
      </c>
    </row>
    <row r="414" spans="4:26">
      <c r="D414" s="86">
        <v>0.40600000000000003</v>
      </c>
      <c r="E414" s="61">
        <v>-932.16669999999999</v>
      </c>
      <c r="U414" s="86">
        <v>0.40600000000000003</v>
      </c>
      <c r="V414" s="62">
        <v>1088.4456</v>
      </c>
      <c r="W414" s="86">
        <v>0.40600000000000003</v>
      </c>
      <c r="X414" s="62">
        <v>1056.6986999999999</v>
      </c>
      <c r="Y414" s="86">
        <v>0.40600000000000003</v>
      </c>
      <c r="Z414" s="62">
        <v>1013.30817</v>
      </c>
    </row>
    <row r="415" spans="4:26">
      <c r="D415" s="86">
        <v>0.40699999999999997</v>
      </c>
      <c r="E415" s="61">
        <v>-933.04920000000004</v>
      </c>
      <c r="U415" s="86">
        <v>0.40699999999999997</v>
      </c>
      <c r="V415" s="62">
        <v>1088.4513999999999</v>
      </c>
      <c r="W415" s="86">
        <v>0.40699999999999997</v>
      </c>
      <c r="X415" s="62">
        <v>1056.6581000000001</v>
      </c>
      <c r="Y415" s="86">
        <v>0.40699999999999997</v>
      </c>
      <c r="Z415" s="62">
        <v>1013.228</v>
      </c>
    </row>
    <row r="416" spans="4:26">
      <c r="D416" s="86">
        <v>0.40799999999999997</v>
      </c>
      <c r="E416" s="61">
        <v>-933.92679999999996</v>
      </c>
      <c r="U416" s="86">
        <v>0.40799999999999997</v>
      </c>
      <c r="V416" s="62">
        <v>1088.4568999999999</v>
      </c>
      <c r="W416" s="86">
        <v>0.40799999999999997</v>
      </c>
      <c r="X416" s="62">
        <v>1056.6172999999999</v>
      </c>
      <c r="Y416" s="86">
        <v>0.40799999999999997</v>
      </c>
      <c r="Z416" s="62">
        <v>1013.1479</v>
      </c>
    </row>
    <row r="417" spans="4:26">
      <c r="D417" s="86">
        <v>0.40899999999999997</v>
      </c>
      <c r="E417" s="61">
        <v>-934.79956000000004</v>
      </c>
      <c r="U417" s="86">
        <v>0.40899999999999997</v>
      </c>
      <c r="V417" s="62">
        <v>1088.462</v>
      </c>
      <c r="W417" s="86">
        <v>0.40899999999999997</v>
      </c>
      <c r="X417" s="62">
        <v>1056.5762</v>
      </c>
      <c r="Y417" s="86">
        <v>0.40899999999999997</v>
      </c>
      <c r="Z417" s="62">
        <v>1013.0678</v>
      </c>
    </row>
    <row r="418" spans="4:26">
      <c r="D418" s="86">
        <v>0.41</v>
      </c>
      <c r="E418" s="61">
        <v>-935.66729999999995</v>
      </c>
      <c r="U418" s="86">
        <v>0.41</v>
      </c>
      <c r="V418" s="62">
        <v>1088.4667999999999</v>
      </c>
      <c r="W418" s="86">
        <v>0.41</v>
      </c>
      <c r="X418" s="62">
        <v>1056.5350000000001</v>
      </c>
      <c r="Y418" s="86">
        <v>0.41</v>
      </c>
      <c r="Z418" s="62">
        <v>1012.9878</v>
      </c>
    </row>
    <row r="419" spans="4:26">
      <c r="D419" s="86">
        <v>0.41099999999999998</v>
      </c>
      <c r="E419" s="61">
        <v>-936.53015000000005</v>
      </c>
      <c r="U419" s="86">
        <v>0.41099999999999998</v>
      </c>
      <c r="V419" s="62">
        <v>1088.4712</v>
      </c>
      <c r="W419" s="86">
        <v>0.41099999999999998</v>
      </c>
      <c r="X419" s="62">
        <v>1056.4935</v>
      </c>
      <c r="Y419" s="86">
        <v>0.41099999999999998</v>
      </c>
      <c r="Z419" s="62">
        <v>1012.9078</v>
      </c>
    </row>
    <row r="420" spans="4:26">
      <c r="D420" s="86">
        <v>0.41199999999999998</v>
      </c>
      <c r="E420" s="61">
        <v>-937.38806</v>
      </c>
      <c r="U420" s="86">
        <v>0.41199999999999998</v>
      </c>
      <c r="V420" s="62">
        <v>1088.4753000000001</v>
      </c>
      <c r="W420" s="86">
        <v>0.41199999999999998</v>
      </c>
      <c r="X420" s="62">
        <v>1056.4519</v>
      </c>
      <c r="Y420" s="86">
        <v>0.41199999999999998</v>
      </c>
      <c r="Z420" s="62">
        <v>1012.82776</v>
      </c>
    </row>
    <row r="421" spans="4:26">
      <c r="D421" s="86">
        <v>0.41299999999999998</v>
      </c>
      <c r="E421" s="61">
        <v>-938.24096999999995</v>
      </c>
      <c r="U421" s="86">
        <v>0.41299999999999998</v>
      </c>
      <c r="V421" s="62">
        <v>1088.479</v>
      </c>
      <c r="W421" s="86">
        <v>0.41299999999999998</v>
      </c>
      <c r="X421" s="62">
        <v>1056.4102</v>
      </c>
      <c r="Y421" s="86">
        <v>0.41299999999999998</v>
      </c>
      <c r="Z421" s="62">
        <v>1012.7478599999999</v>
      </c>
    </row>
    <row r="422" spans="4:26">
      <c r="D422" s="86">
        <v>0.41399999999999998</v>
      </c>
      <c r="E422" s="61">
        <v>-939.08900000000006</v>
      </c>
      <c r="U422" s="86">
        <v>0.41399999999999998</v>
      </c>
      <c r="V422" s="62">
        <v>1088.4822999999999</v>
      </c>
      <c r="W422" s="86">
        <v>0.41399999999999998</v>
      </c>
      <c r="X422" s="62">
        <v>1056.3681999999999</v>
      </c>
      <c r="Y422" s="86">
        <v>0.41399999999999998</v>
      </c>
      <c r="Z422" s="62">
        <v>1012.6679</v>
      </c>
    </row>
    <row r="423" spans="4:26">
      <c r="D423" s="86">
        <v>0.41499999999999998</v>
      </c>
      <c r="E423" s="61">
        <v>-939.93195000000003</v>
      </c>
      <c r="U423" s="86">
        <v>0.41499999999999998</v>
      </c>
      <c r="V423" s="62">
        <v>1088.4852000000001</v>
      </c>
      <c r="W423" s="86">
        <v>0.41499999999999998</v>
      </c>
      <c r="X423" s="62">
        <v>1056.3259</v>
      </c>
      <c r="Y423" s="86">
        <v>0.41499999999999998</v>
      </c>
      <c r="Z423" s="62">
        <v>1012.5881000000001</v>
      </c>
    </row>
    <row r="424" spans="4:26">
      <c r="D424" s="86">
        <v>0.41599999999999998</v>
      </c>
      <c r="E424" s="61">
        <v>-940.76995999999997</v>
      </c>
      <c r="U424" s="86">
        <v>0.41599999999999998</v>
      </c>
      <c r="V424" s="62">
        <v>1088.4879000000001</v>
      </c>
      <c r="W424" s="86">
        <v>0.41599999999999998</v>
      </c>
      <c r="X424" s="62">
        <v>1056.2836</v>
      </c>
      <c r="Y424" s="86">
        <v>0.41599999999999998</v>
      </c>
      <c r="Z424" s="62">
        <v>1012.5082</v>
      </c>
    </row>
    <row r="425" spans="4:26">
      <c r="D425" s="86">
        <v>0.41699999999999998</v>
      </c>
      <c r="E425" s="61">
        <v>-941.60297000000003</v>
      </c>
      <c r="U425" s="86">
        <v>0.41699999999999998</v>
      </c>
      <c r="V425" s="62">
        <v>1088.4901</v>
      </c>
      <c r="W425" s="86">
        <v>0.41699999999999998</v>
      </c>
      <c r="X425" s="62">
        <v>1056.241</v>
      </c>
      <c r="Y425" s="86">
        <v>0.41699999999999998</v>
      </c>
      <c r="Z425" s="62">
        <v>1012.4284</v>
      </c>
    </row>
    <row r="426" spans="4:26">
      <c r="D426" s="86">
        <v>0.41799999999999998</v>
      </c>
      <c r="E426" s="61">
        <v>-942.43100000000004</v>
      </c>
      <c r="U426" s="86">
        <v>0.41799999999999998</v>
      </c>
      <c r="V426" s="62">
        <v>1088.4920999999999</v>
      </c>
      <c r="W426" s="86">
        <v>0.41799999999999998</v>
      </c>
      <c r="X426" s="62">
        <v>1056.1982</v>
      </c>
      <c r="Y426" s="86">
        <v>0.41799999999999998</v>
      </c>
      <c r="Z426" s="62">
        <v>1012.34863</v>
      </c>
    </row>
    <row r="427" spans="4:26">
      <c r="D427" s="86">
        <v>0.41899999999999998</v>
      </c>
      <c r="E427" s="61">
        <v>-943.25396999999998</v>
      </c>
      <c r="U427" s="86">
        <v>0.41899999999999998</v>
      </c>
      <c r="V427" s="62">
        <v>1088.4937</v>
      </c>
      <c r="W427" s="86">
        <v>0.41899999999999998</v>
      </c>
      <c r="X427" s="62">
        <v>1056.1552999999999</v>
      </c>
      <c r="Y427" s="86">
        <v>0.41899999999999998</v>
      </c>
      <c r="Z427" s="62">
        <v>1012.26886</v>
      </c>
    </row>
    <row r="428" spans="4:26">
      <c r="D428" s="86">
        <v>0.42</v>
      </c>
      <c r="E428" s="61">
        <v>-944.07195999999999</v>
      </c>
      <c r="U428" s="86">
        <v>0.42</v>
      </c>
      <c r="V428" s="62">
        <v>1088.4947999999999</v>
      </c>
      <c r="W428" s="86">
        <v>0.42</v>
      </c>
      <c r="X428" s="62">
        <v>1056.1122</v>
      </c>
      <c r="Y428" s="86">
        <v>0.42</v>
      </c>
      <c r="Z428" s="62">
        <v>1012.18915</v>
      </c>
    </row>
    <row r="429" spans="4:26">
      <c r="D429" s="86">
        <v>0.42099999999999999</v>
      </c>
      <c r="E429" s="61">
        <v>-944.88490000000002</v>
      </c>
      <c r="U429" s="86">
        <v>0.42099999999999999</v>
      </c>
      <c r="V429" s="62">
        <v>1088.4956</v>
      </c>
      <c r="W429" s="86">
        <v>0.42099999999999999</v>
      </c>
      <c r="X429" s="62">
        <v>1056.069</v>
      </c>
      <c r="Y429" s="86">
        <v>0.42099999999999999</v>
      </c>
      <c r="Z429" s="62">
        <v>1012.1095</v>
      </c>
    </row>
    <row r="430" spans="4:26">
      <c r="D430" s="86">
        <v>0.42199999999999999</v>
      </c>
      <c r="E430" s="61">
        <v>-945.69269999999995</v>
      </c>
      <c r="U430" s="86">
        <v>0.42199999999999999</v>
      </c>
      <c r="V430" s="62">
        <v>1088.4962</v>
      </c>
      <c r="W430" s="86">
        <v>0.42199999999999999</v>
      </c>
      <c r="X430" s="62">
        <v>1056.0255</v>
      </c>
      <c r="Y430" s="86">
        <v>0.42199999999999999</v>
      </c>
      <c r="Z430" s="62">
        <v>1012.02985</v>
      </c>
    </row>
    <row r="431" spans="4:26">
      <c r="D431" s="86">
        <v>0.42299999999999999</v>
      </c>
      <c r="E431" s="61">
        <v>-946.49549999999999</v>
      </c>
      <c r="U431" s="86">
        <v>0.42299999999999999</v>
      </c>
      <c r="V431" s="62">
        <v>1088.4963</v>
      </c>
      <c r="W431" s="86">
        <v>0.42299999999999999</v>
      </c>
      <c r="X431" s="62">
        <v>1055.9818</v>
      </c>
      <c r="Y431" s="86">
        <v>0.42299999999999999</v>
      </c>
      <c r="Z431" s="62">
        <v>1011.95026</v>
      </c>
    </row>
    <row r="432" spans="4:26">
      <c r="D432" s="86">
        <v>0.42399999999999999</v>
      </c>
      <c r="E432" s="61">
        <v>-947.29319999999996</v>
      </c>
      <c r="U432" s="86">
        <v>0.42399999999999999</v>
      </c>
      <c r="V432" s="62">
        <v>1088.4962</v>
      </c>
      <c r="W432" s="86">
        <v>0.42399999999999999</v>
      </c>
      <c r="X432" s="62">
        <v>1055.9380000000001</v>
      </c>
      <c r="Y432" s="86">
        <v>0.42399999999999999</v>
      </c>
      <c r="Z432" s="62">
        <v>1011.8707000000001</v>
      </c>
    </row>
    <row r="433" spans="4:26">
      <c r="D433" s="86">
        <v>0.42499999999999999</v>
      </c>
      <c r="E433" s="61">
        <v>-948.08590000000004</v>
      </c>
      <c r="U433" s="86">
        <v>0.42499999999999999</v>
      </c>
      <c r="V433" s="62">
        <v>1088.4956999999999</v>
      </c>
      <c r="W433" s="86">
        <v>0.42499999999999999</v>
      </c>
      <c r="X433" s="62">
        <v>1055.894</v>
      </c>
      <c r="Y433" s="86">
        <v>0.42499999999999999</v>
      </c>
      <c r="Z433" s="62">
        <v>1011.7912</v>
      </c>
    </row>
    <row r="434" spans="4:26">
      <c r="D434" s="86">
        <v>0.42599999999999999</v>
      </c>
      <c r="E434" s="61">
        <v>-948.87334999999996</v>
      </c>
      <c r="U434" s="86">
        <v>0.42599999999999999</v>
      </c>
      <c r="V434" s="62">
        <v>1088.4948999999999</v>
      </c>
      <c r="W434" s="86">
        <v>0.42599999999999999</v>
      </c>
      <c r="X434" s="62">
        <v>1055.8498999999999</v>
      </c>
      <c r="Y434" s="86">
        <v>0.42599999999999999</v>
      </c>
      <c r="Z434" s="62">
        <v>1011.7117</v>
      </c>
    </row>
    <row r="435" spans="4:26">
      <c r="D435" s="86">
        <v>0.42699999999999999</v>
      </c>
      <c r="E435" s="61">
        <v>-949.65575999999999</v>
      </c>
      <c r="U435" s="86">
        <v>0.42699999999999999</v>
      </c>
      <c r="V435" s="62">
        <v>1088.4937</v>
      </c>
      <c r="W435" s="86">
        <v>0.42699999999999999</v>
      </c>
      <c r="X435" s="62">
        <v>1055.8054999999999</v>
      </c>
      <c r="Y435" s="86">
        <v>0.42699999999999999</v>
      </c>
      <c r="Z435" s="62">
        <v>1011.63226</v>
      </c>
    </row>
    <row r="436" spans="4:26">
      <c r="D436" s="86">
        <v>0.42799999999999999</v>
      </c>
      <c r="E436" s="61">
        <v>-950.43304000000001</v>
      </c>
      <c r="U436" s="86">
        <v>0.42799999999999999</v>
      </c>
      <c r="V436" s="62">
        <v>1088.4920999999999</v>
      </c>
      <c r="W436" s="86">
        <v>0.42799999999999999</v>
      </c>
      <c r="X436" s="62">
        <v>1055.761</v>
      </c>
      <c r="Y436" s="86">
        <v>0.42799999999999999</v>
      </c>
      <c r="Z436" s="62">
        <v>1011.55286</v>
      </c>
    </row>
    <row r="437" spans="4:26">
      <c r="D437" s="86">
        <v>0.42899999999999999</v>
      </c>
      <c r="E437" s="61">
        <v>-951.20514000000003</v>
      </c>
      <c r="U437" s="86">
        <v>0.42899999999999999</v>
      </c>
      <c r="V437" s="62">
        <v>1088.4902</v>
      </c>
      <c r="W437" s="86">
        <v>0.42899999999999999</v>
      </c>
      <c r="X437" s="62">
        <v>1055.7163</v>
      </c>
      <c r="Y437" s="86">
        <v>0.42899999999999999</v>
      </c>
      <c r="Z437" s="62">
        <v>1011.4734999999999</v>
      </c>
    </row>
    <row r="438" spans="4:26">
      <c r="D438" s="86">
        <v>0.43</v>
      </c>
      <c r="E438" s="61">
        <v>-951.97209999999995</v>
      </c>
      <c r="U438" s="86">
        <v>0.43</v>
      </c>
      <c r="V438" s="62">
        <v>1088.4880000000001</v>
      </c>
      <c r="W438" s="86">
        <v>0.43</v>
      </c>
      <c r="X438" s="62">
        <v>1055.6714999999999</v>
      </c>
      <c r="Y438" s="86">
        <v>0.43</v>
      </c>
      <c r="Z438" s="62">
        <v>1011.39417</v>
      </c>
    </row>
    <row r="439" spans="4:26">
      <c r="D439" s="86">
        <v>0.43099999999999999</v>
      </c>
      <c r="E439" s="61">
        <v>-952.73395000000005</v>
      </c>
      <c r="U439" s="86">
        <v>0.43099999999999999</v>
      </c>
      <c r="V439" s="62">
        <v>1088.4856</v>
      </c>
      <c r="W439" s="86">
        <v>0.43099999999999999</v>
      </c>
      <c r="X439" s="62">
        <v>1055.6265000000001</v>
      </c>
      <c r="Y439" s="86">
        <v>0.43099999999999999</v>
      </c>
      <c r="Z439" s="62">
        <v>1011.3149</v>
      </c>
    </row>
    <row r="440" spans="4:26">
      <c r="D440" s="86">
        <v>0.432</v>
      </c>
      <c r="E440" s="61">
        <v>-953.49054000000001</v>
      </c>
      <c r="U440" s="86">
        <v>0.432</v>
      </c>
      <c r="V440" s="62">
        <v>1088.4828</v>
      </c>
      <c r="W440" s="86">
        <v>0.432</v>
      </c>
      <c r="X440" s="62">
        <v>1055.5813000000001</v>
      </c>
      <c r="Y440" s="86">
        <v>0.432</v>
      </c>
      <c r="Z440" s="62">
        <v>1011.2356600000001</v>
      </c>
    </row>
    <row r="441" spans="4:26">
      <c r="D441" s="86">
        <v>0.433</v>
      </c>
      <c r="E441" s="61">
        <v>-954.24194</v>
      </c>
      <c r="U441" s="86">
        <v>0.433</v>
      </c>
      <c r="V441" s="62">
        <v>1088.4795999999999</v>
      </c>
      <c r="W441" s="86">
        <v>0.433</v>
      </c>
      <c r="X441" s="62">
        <v>1055.5360000000001</v>
      </c>
      <c r="Y441" s="86">
        <v>0.433</v>
      </c>
      <c r="Z441" s="62">
        <v>1011.15643</v>
      </c>
    </row>
    <row r="442" spans="4:26">
      <c r="D442" s="86">
        <v>0.434</v>
      </c>
      <c r="E442" s="61">
        <v>-954.98815999999999</v>
      </c>
      <c r="U442" s="86">
        <v>0.434</v>
      </c>
      <c r="V442" s="62">
        <v>1088.4761000000001</v>
      </c>
      <c r="W442" s="86">
        <v>0.434</v>
      </c>
      <c r="X442" s="62">
        <v>1055.4905000000001</v>
      </c>
      <c r="Y442" s="86">
        <v>0.434</v>
      </c>
      <c r="Z442" s="62">
        <v>1011.0773</v>
      </c>
    </row>
    <row r="443" spans="4:26">
      <c r="D443" s="86">
        <v>0.435</v>
      </c>
      <c r="E443" s="61">
        <v>-955.72910000000002</v>
      </c>
      <c r="U443" s="86">
        <v>0.435</v>
      </c>
      <c r="V443" s="62">
        <v>1088.4722999999999</v>
      </c>
      <c r="W443" s="86">
        <v>0.435</v>
      </c>
      <c r="X443" s="62">
        <v>1055.4448</v>
      </c>
      <c r="Y443" s="86">
        <v>0.435</v>
      </c>
      <c r="Z443" s="62">
        <v>1010.99817</v>
      </c>
    </row>
    <row r="444" spans="4:26">
      <c r="D444" s="86">
        <v>0.436</v>
      </c>
      <c r="E444" s="61">
        <v>-956.46483999999998</v>
      </c>
      <c r="U444" s="86">
        <v>0.436</v>
      </c>
      <c r="V444" s="62">
        <v>1088.4681</v>
      </c>
      <c r="W444" s="86">
        <v>0.436</v>
      </c>
      <c r="X444" s="62">
        <v>1055.3989999999999</v>
      </c>
      <c r="Y444" s="86">
        <v>0.436</v>
      </c>
      <c r="Z444" s="62">
        <v>1010.9191</v>
      </c>
    </row>
    <row r="445" spans="4:26">
      <c r="D445" s="86">
        <v>0.437</v>
      </c>
      <c r="E445" s="61">
        <v>-957.19529999999997</v>
      </c>
      <c r="U445" s="86">
        <v>0.437</v>
      </c>
      <c r="V445" s="62">
        <v>1088.4636</v>
      </c>
      <c r="W445" s="86">
        <v>0.437</v>
      </c>
      <c r="X445" s="62">
        <v>1055.3530000000001</v>
      </c>
      <c r="Y445" s="86">
        <v>0.437</v>
      </c>
      <c r="Z445" s="62">
        <v>1010.8401</v>
      </c>
    </row>
    <row r="446" spans="4:26">
      <c r="D446" s="86">
        <v>0.438</v>
      </c>
      <c r="E446" s="61">
        <v>-957.92052999999999</v>
      </c>
      <c r="U446" s="86">
        <v>0.438</v>
      </c>
      <c r="V446" s="62">
        <v>1088.4589000000001</v>
      </c>
      <c r="W446" s="86">
        <v>0.438</v>
      </c>
      <c r="X446" s="62">
        <v>1055.3069</v>
      </c>
      <c r="Y446" s="86">
        <v>0.438</v>
      </c>
      <c r="Z446" s="62">
        <v>1010.7611000000001</v>
      </c>
    </row>
    <row r="447" spans="4:26">
      <c r="D447" s="86">
        <v>0.439</v>
      </c>
      <c r="E447" s="61">
        <v>-958.64044000000001</v>
      </c>
      <c r="U447" s="86">
        <v>0.439</v>
      </c>
      <c r="V447" s="62">
        <v>1088.4539</v>
      </c>
      <c r="W447" s="86">
        <v>0.439</v>
      </c>
      <c r="X447" s="62">
        <v>1055.2606000000001</v>
      </c>
      <c r="Y447" s="86">
        <v>0.439</v>
      </c>
      <c r="Z447" s="62">
        <v>1010.6821</v>
      </c>
    </row>
    <row r="448" spans="4:26">
      <c r="D448" s="86">
        <v>0.44</v>
      </c>
      <c r="E448" s="61">
        <v>-959.35504000000003</v>
      </c>
      <c r="U448" s="86">
        <v>0.44</v>
      </c>
      <c r="V448" s="62">
        <v>1088.4484</v>
      </c>
      <c r="W448" s="86">
        <v>0.44</v>
      </c>
      <c r="X448" s="62">
        <v>1055.2141999999999</v>
      </c>
      <c r="Y448" s="86">
        <v>0.44</v>
      </c>
      <c r="Z448" s="62">
        <v>1010.6033</v>
      </c>
    </row>
    <row r="449" spans="4:26">
      <c r="D449" s="86">
        <v>0.441</v>
      </c>
      <c r="E449" s="61">
        <v>-960.0643</v>
      </c>
      <c r="U449" s="86">
        <v>0.441</v>
      </c>
      <c r="V449" s="62">
        <v>1088.4427000000001</v>
      </c>
      <c r="W449" s="86">
        <v>0.441</v>
      </c>
      <c r="X449" s="62">
        <v>1055.1676</v>
      </c>
      <c r="Y449" s="86">
        <v>0.441</v>
      </c>
      <c r="Z449" s="62">
        <v>1010.5244</v>
      </c>
    </row>
    <row r="450" spans="4:26">
      <c r="D450" s="86">
        <v>0.442</v>
      </c>
      <c r="E450" s="61">
        <v>-960.76824999999997</v>
      </c>
      <c r="U450" s="86">
        <v>0.442</v>
      </c>
      <c r="V450" s="62">
        <v>1088.4366</v>
      </c>
      <c r="W450" s="86">
        <v>0.442</v>
      </c>
      <c r="X450" s="62">
        <v>1055.1207999999999</v>
      </c>
      <c r="Y450" s="86">
        <v>0.442</v>
      </c>
      <c r="Z450" s="62">
        <v>1010.4456</v>
      </c>
    </row>
    <row r="451" spans="4:26">
      <c r="D451" s="86">
        <v>0.443</v>
      </c>
      <c r="E451" s="61">
        <v>-961.46680000000003</v>
      </c>
      <c r="U451" s="86">
        <v>0.443</v>
      </c>
      <c r="V451" s="62">
        <v>1088.4303</v>
      </c>
      <c r="W451" s="86">
        <v>0.443</v>
      </c>
      <c r="X451" s="62">
        <v>1055.0740000000001</v>
      </c>
      <c r="Y451" s="86">
        <v>0.443</v>
      </c>
      <c r="Z451" s="62">
        <v>1010.3668</v>
      </c>
    </row>
    <row r="452" spans="4:26">
      <c r="D452" s="86">
        <v>0.44400000000000001</v>
      </c>
      <c r="E452" s="61">
        <v>-962.16003000000001</v>
      </c>
      <c r="U452" s="86">
        <v>0.44400000000000001</v>
      </c>
      <c r="V452" s="62">
        <v>1088.4237000000001</v>
      </c>
      <c r="W452" s="86">
        <v>0.44400000000000001</v>
      </c>
      <c r="X452" s="62">
        <v>1055.027</v>
      </c>
      <c r="Y452" s="86">
        <v>0.44400000000000001</v>
      </c>
      <c r="Z452" s="62">
        <v>1010.2881</v>
      </c>
    </row>
    <row r="453" spans="4:26">
      <c r="D453" s="86">
        <v>0.44500000000000001</v>
      </c>
      <c r="E453" s="61">
        <v>-962.84784000000002</v>
      </c>
      <c r="U453" s="86">
        <v>0.44500000000000001</v>
      </c>
      <c r="V453" s="62">
        <v>1088.4167</v>
      </c>
      <c r="W453" s="86">
        <v>0.44500000000000001</v>
      </c>
      <c r="X453" s="62">
        <v>1054.9797000000001</v>
      </c>
      <c r="Y453" s="86">
        <v>0.44500000000000001</v>
      </c>
      <c r="Z453" s="62">
        <v>1010.2094</v>
      </c>
    </row>
    <row r="454" spans="4:26">
      <c r="D454" s="86">
        <v>0.44600000000000001</v>
      </c>
      <c r="E454" s="61">
        <v>-963.53030000000001</v>
      </c>
      <c r="U454" s="86">
        <v>0.44600000000000001</v>
      </c>
      <c r="V454" s="62">
        <v>1088.4094</v>
      </c>
      <c r="W454" s="86">
        <v>0.44600000000000001</v>
      </c>
      <c r="X454" s="62">
        <v>1054.9323999999999</v>
      </c>
      <c r="Y454" s="86">
        <v>0.44600000000000001</v>
      </c>
      <c r="Z454" s="62">
        <v>1010.1308</v>
      </c>
    </row>
    <row r="455" spans="4:26">
      <c r="D455" s="86">
        <v>0.44700000000000001</v>
      </c>
      <c r="E455" s="61">
        <v>-964.20730000000003</v>
      </c>
      <c r="U455" s="86">
        <v>0.44700000000000001</v>
      </c>
      <c r="V455" s="62">
        <v>1088.402</v>
      </c>
      <c r="W455" s="86">
        <v>0.44700000000000001</v>
      </c>
      <c r="X455" s="62">
        <v>1054.8849</v>
      </c>
      <c r="Y455" s="86">
        <v>0.44700000000000001</v>
      </c>
      <c r="Z455" s="62">
        <v>1010.05225</v>
      </c>
    </row>
    <row r="456" spans="4:26">
      <c r="D456" s="86">
        <v>0.44800000000000001</v>
      </c>
      <c r="E456" s="61">
        <v>-964.87885000000006</v>
      </c>
      <c r="U456" s="86">
        <v>0.44800000000000001</v>
      </c>
      <c r="V456" s="62">
        <v>1088.394</v>
      </c>
      <c r="W456" s="86">
        <v>0.44800000000000001</v>
      </c>
      <c r="X456" s="62">
        <v>1054.8372999999999</v>
      </c>
      <c r="Y456" s="86">
        <v>0.44800000000000001</v>
      </c>
      <c r="Z456" s="62">
        <v>1009.9737</v>
      </c>
    </row>
    <row r="457" spans="4:26">
      <c r="D457" s="86">
        <v>0.44900000000000001</v>
      </c>
      <c r="E457" s="61">
        <v>-965.54489999999998</v>
      </c>
      <c r="U457" s="86">
        <v>0.44900000000000001</v>
      </c>
      <c r="V457" s="62">
        <v>1088.3859</v>
      </c>
      <c r="W457" s="86">
        <v>0.44900000000000001</v>
      </c>
      <c r="X457" s="62">
        <v>1054.7893999999999</v>
      </c>
      <c r="Y457" s="86">
        <v>0.44900000000000001</v>
      </c>
      <c r="Z457" s="62">
        <v>1009.8952</v>
      </c>
    </row>
    <row r="458" spans="4:26">
      <c r="D458" s="86">
        <v>0.45</v>
      </c>
      <c r="E458" s="61">
        <v>-966.20556999999997</v>
      </c>
      <c r="U458" s="86">
        <v>0.45</v>
      </c>
      <c r="V458" s="62">
        <v>1088.3774000000001</v>
      </c>
      <c r="W458" s="86">
        <v>0.45</v>
      </c>
      <c r="X458" s="62">
        <v>1054.7416000000001</v>
      </c>
      <c r="Y458" s="86">
        <v>0.45</v>
      </c>
      <c r="Z458" s="62">
        <v>1009.8167999999999</v>
      </c>
    </row>
    <row r="459" spans="4:26">
      <c r="D459" s="86">
        <v>0.45100000000000001</v>
      </c>
      <c r="E459" s="61">
        <v>-966.86066000000005</v>
      </c>
      <c r="U459" s="86">
        <v>0.45100000000000001</v>
      </c>
      <c r="V459" s="62">
        <v>1088.3687</v>
      </c>
      <c r="W459" s="86">
        <v>0.45100000000000001</v>
      </c>
      <c r="X459" s="62">
        <v>1054.6935000000001</v>
      </c>
      <c r="Y459" s="86">
        <v>0.45100000000000001</v>
      </c>
      <c r="Z459" s="62">
        <v>1009.7384</v>
      </c>
    </row>
    <row r="460" spans="4:26">
      <c r="D460" s="86">
        <v>0.45200000000000001</v>
      </c>
      <c r="E460" s="61">
        <v>-967.51025000000004</v>
      </c>
      <c r="U460" s="86">
        <v>0.45200000000000001</v>
      </c>
      <c r="V460" s="62">
        <v>1088.3596</v>
      </c>
      <c r="W460" s="86">
        <v>0.45200000000000001</v>
      </c>
      <c r="X460" s="62">
        <v>1054.6452999999999</v>
      </c>
      <c r="Y460" s="86">
        <v>0.45200000000000001</v>
      </c>
      <c r="Z460" s="62">
        <v>1009.66003</v>
      </c>
    </row>
    <row r="461" spans="4:26">
      <c r="D461" s="86">
        <v>0.45300000000000001</v>
      </c>
      <c r="E461" s="61">
        <v>-968.15436</v>
      </c>
      <c r="U461" s="86">
        <v>0.45300000000000001</v>
      </c>
      <c r="V461" s="62">
        <v>1088.3502000000001</v>
      </c>
      <c r="W461" s="86">
        <v>0.45300000000000001</v>
      </c>
      <c r="X461" s="62">
        <v>1054.5969</v>
      </c>
      <c r="Y461" s="86">
        <v>0.45300000000000001</v>
      </c>
      <c r="Z461" s="62">
        <v>1009.5818</v>
      </c>
    </row>
    <row r="462" spans="4:26">
      <c r="D462" s="86">
        <v>0.45400000000000001</v>
      </c>
      <c r="E462" s="61">
        <v>-968.79290000000003</v>
      </c>
      <c r="U462" s="86">
        <v>0.45400000000000001</v>
      </c>
      <c r="V462" s="62">
        <v>1088.3406</v>
      </c>
      <c r="W462" s="86">
        <v>0.45400000000000001</v>
      </c>
      <c r="X462" s="62">
        <v>1054.5485000000001</v>
      </c>
      <c r="Y462" s="86">
        <v>0.45400000000000001</v>
      </c>
      <c r="Z462" s="62">
        <v>1009.50354</v>
      </c>
    </row>
    <row r="463" spans="4:26">
      <c r="D463" s="86">
        <v>0.45500000000000002</v>
      </c>
      <c r="E463" s="61">
        <v>-969.42583999999999</v>
      </c>
      <c r="U463" s="86">
        <v>0.45500000000000002</v>
      </c>
      <c r="V463" s="62">
        <v>1088.3307</v>
      </c>
      <c r="W463" s="86">
        <v>0.45500000000000002</v>
      </c>
      <c r="X463" s="62">
        <v>1054.4999</v>
      </c>
      <c r="Y463" s="86">
        <v>0.45500000000000002</v>
      </c>
      <c r="Z463" s="62">
        <v>1009.42535</v>
      </c>
    </row>
    <row r="464" spans="4:26">
      <c r="D464" s="86">
        <v>0.45600000000000002</v>
      </c>
      <c r="E464" s="61">
        <v>-970.05319999999995</v>
      </c>
      <c r="U464" s="86">
        <v>0.45600000000000002</v>
      </c>
      <c r="V464" s="62">
        <v>1088.3204000000001</v>
      </c>
      <c r="W464" s="86">
        <v>0.45600000000000002</v>
      </c>
      <c r="X464" s="62">
        <v>1054.451</v>
      </c>
      <c r="Y464" s="86">
        <v>0.45600000000000002</v>
      </c>
      <c r="Z464" s="62">
        <v>1009.34717</v>
      </c>
    </row>
    <row r="465" spans="4:26">
      <c r="D465" s="86">
        <v>0.45700000000000002</v>
      </c>
      <c r="E465" s="61">
        <v>-970.67499999999995</v>
      </c>
      <c r="U465" s="86">
        <v>0.45700000000000002</v>
      </c>
      <c r="V465" s="62">
        <v>1088.3099</v>
      </c>
      <c r="W465" s="86">
        <v>0.45700000000000002</v>
      </c>
      <c r="X465" s="62">
        <v>1054.4022</v>
      </c>
      <c r="Y465" s="86">
        <v>0.45700000000000002</v>
      </c>
      <c r="Z465" s="62">
        <v>1009.2691</v>
      </c>
    </row>
    <row r="466" spans="4:26">
      <c r="D466" s="86">
        <v>0.45800000000000002</v>
      </c>
      <c r="E466" s="61">
        <v>-971.29114000000004</v>
      </c>
      <c r="U466" s="86">
        <v>0.45800000000000002</v>
      </c>
      <c r="V466" s="62">
        <v>1088.2991999999999</v>
      </c>
      <c r="W466" s="86">
        <v>0.45800000000000002</v>
      </c>
      <c r="X466" s="62">
        <v>1054.3531</v>
      </c>
      <c r="Y466" s="86">
        <v>0.45800000000000002</v>
      </c>
      <c r="Z466" s="62">
        <v>1009.19104</v>
      </c>
    </row>
    <row r="467" spans="4:26">
      <c r="D467" s="86">
        <v>0.45900000000000002</v>
      </c>
      <c r="E467" s="61">
        <v>-971.90160000000003</v>
      </c>
      <c r="U467" s="86">
        <v>0.45900000000000002</v>
      </c>
      <c r="V467" s="62">
        <v>1088.2881</v>
      </c>
      <c r="W467" s="86">
        <v>0.45900000000000002</v>
      </c>
      <c r="X467" s="62">
        <v>1054.3040000000001</v>
      </c>
      <c r="Y467" s="86">
        <v>0.45900000000000002</v>
      </c>
      <c r="Z467" s="62">
        <v>1009.11304</v>
      </c>
    </row>
    <row r="468" spans="4:26">
      <c r="D468" s="86">
        <v>0.46</v>
      </c>
      <c r="E468" s="61">
        <v>-972.50649999999996</v>
      </c>
      <c r="U468" s="86">
        <v>0.46</v>
      </c>
      <c r="V468" s="62">
        <v>1088.2766999999999</v>
      </c>
      <c r="W468" s="86">
        <v>0.46</v>
      </c>
      <c r="X468" s="62">
        <v>1054.2547999999999</v>
      </c>
      <c r="Y468" s="86">
        <v>0.46</v>
      </c>
      <c r="Z468" s="62">
        <v>1009.0351000000001</v>
      </c>
    </row>
    <row r="469" spans="4:26">
      <c r="D469" s="86">
        <v>0.46100000000000002</v>
      </c>
      <c r="E469" s="61">
        <v>-973.10559999999998</v>
      </c>
      <c r="U469" s="86">
        <v>0.46100000000000002</v>
      </c>
      <c r="V469" s="62">
        <v>1088.2650000000001</v>
      </c>
      <c r="W469" s="86">
        <v>0.46100000000000002</v>
      </c>
      <c r="X469" s="62">
        <v>1054.2053000000001</v>
      </c>
      <c r="Y469" s="86">
        <v>0.46100000000000002</v>
      </c>
      <c r="Z469" s="62">
        <v>1008.9571999999999</v>
      </c>
    </row>
    <row r="470" spans="4:26">
      <c r="D470" s="86">
        <v>0.46200000000000002</v>
      </c>
      <c r="E470" s="61">
        <v>-973.69903999999997</v>
      </c>
      <c r="U470" s="86">
        <v>0.46200000000000002</v>
      </c>
      <c r="V470" s="62">
        <v>1088.2529999999999</v>
      </c>
      <c r="W470" s="86">
        <v>0.46200000000000002</v>
      </c>
      <c r="X470" s="62">
        <v>1054.1558</v>
      </c>
      <c r="Y470" s="86">
        <v>0.46200000000000002</v>
      </c>
      <c r="Z470" s="62">
        <v>1008.8794</v>
      </c>
    </row>
    <row r="471" spans="4:26">
      <c r="D471" s="86">
        <v>0.46300000000000002</v>
      </c>
      <c r="E471" s="61">
        <v>-974.28674000000001</v>
      </c>
      <c r="U471" s="86">
        <v>0.46300000000000002</v>
      </c>
      <c r="V471" s="62">
        <v>1088.2408</v>
      </c>
      <c r="W471" s="86">
        <v>0.46300000000000002</v>
      </c>
      <c r="X471" s="62">
        <v>1054.1061</v>
      </c>
      <c r="Y471" s="86">
        <v>0.46300000000000002</v>
      </c>
      <c r="Z471" s="62">
        <v>1008.8016</v>
      </c>
    </row>
    <row r="472" spans="4:26">
      <c r="D472" s="86">
        <v>0.46400000000000002</v>
      </c>
      <c r="E472" s="61">
        <v>-974.86865</v>
      </c>
      <c r="U472" s="86">
        <v>0.46400000000000002</v>
      </c>
      <c r="V472" s="62">
        <v>1088.2284</v>
      </c>
      <c r="W472" s="86">
        <v>0.46400000000000002</v>
      </c>
      <c r="X472" s="62">
        <v>1054.0563</v>
      </c>
      <c r="Y472" s="86">
        <v>0.46400000000000002</v>
      </c>
      <c r="Z472" s="62">
        <v>1008.7238</v>
      </c>
    </row>
    <row r="473" spans="4:26">
      <c r="D473" s="86">
        <v>0.46500000000000002</v>
      </c>
      <c r="E473" s="61">
        <v>-975.44479999999999</v>
      </c>
      <c r="U473" s="86">
        <v>0.46500000000000002</v>
      </c>
      <c r="V473" s="62">
        <v>1088.2156</v>
      </c>
      <c r="W473" s="86">
        <v>0.46500000000000002</v>
      </c>
      <c r="X473" s="62">
        <v>1054.0063</v>
      </c>
      <c r="Y473" s="86">
        <v>0.46500000000000002</v>
      </c>
      <c r="Z473" s="62">
        <v>1008.6462</v>
      </c>
    </row>
    <row r="474" spans="4:26">
      <c r="D474" s="86">
        <v>0.46600000000000003</v>
      </c>
      <c r="E474" s="61">
        <v>-976.01520000000005</v>
      </c>
      <c r="U474" s="86">
        <v>0.46600000000000003</v>
      </c>
      <c r="V474" s="62">
        <v>1088.2025000000001</v>
      </c>
      <c r="W474" s="86">
        <v>0.46600000000000003</v>
      </c>
      <c r="X474" s="62">
        <v>1053.9563000000001</v>
      </c>
      <c r="Y474" s="86">
        <v>0.46600000000000003</v>
      </c>
      <c r="Z474" s="62">
        <v>1008.56854</v>
      </c>
    </row>
    <row r="475" spans="4:26">
      <c r="D475" s="86">
        <v>0.46700000000000003</v>
      </c>
      <c r="E475" s="61">
        <v>-976.57979999999998</v>
      </c>
      <c r="U475" s="86">
        <v>0.46700000000000003</v>
      </c>
      <c r="V475" s="62">
        <v>1088.1892</v>
      </c>
      <c r="W475" s="86">
        <v>0.46700000000000003</v>
      </c>
      <c r="X475" s="62">
        <v>1053.9059999999999</v>
      </c>
      <c r="Y475" s="86">
        <v>0.46700000000000003</v>
      </c>
      <c r="Z475" s="62">
        <v>1008.4909699999999</v>
      </c>
    </row>
    <row r="476" spans="4:26">
      <c r="D476" s="86">
        <v>0.46800000000000003</v>
      </c>
      <c r="E476" s="61">
        <v>-977.13855000000001</v>
      </c>
      <c r="U476" s="86">
        <v>0.46800000000000003</v>
      </c>
      <c r="V476" s="62">
        <v>1088.1757</v>
      </c>
      <c r="W476" s="86">
        <v>0.46800000000000003</v>
      </c>
      <c r="X476" s="62">
        <v>1053.8557000000001</v>
      </c>
      <c r="Y476" s="86">
        <v>0.46800000000000003</v>
      </c>
      <c r="Z476" s="62">
        <v>1008.4134</v>
      </c>
    </row>
    <row r="477" spans="4:26">
      <c r="D477" s="86">
        <v>0.46899999999999997</v>
      </c>
      <c r="E477" s="61">
        <v>-977.69140000000004</v>
      </c>
      <c r="U477" s="86">
        <v>0.46899999999999997</v>
      </c>
      <c r="V477" s="62">
        <v>1088.1617000000001</v>
      </c>
      <c r="W477" s="86">
        <v>0.46899999999999997</v>
      </c>
      <c r="X477" s="62">
        <v>1053.8053</v>
      </c>
      <c r="Y477" s="86">
        <v>0.46899999999999997</v>
      </c>
      <c r="Z477" s="62">
        <v>1008.3359400000001</v>
      </c>
    </row>
    <row r="478" spans="4:26">
      <c r="D478" s="86">
        <v>0.47</v>
      </c>
      <c r="E478" s="61">
        <v>-978.23839999999996</v>
      </c>
      <c r="U478" s="86">
        <v>0.47</v>
      </c>
      <c r="V478" s="62">
        <v>1088.1476</v>
      </c>
      <c r="W478" s="86">
        <v>0.47</v>
      </c>
      <c r="X478" s="62">
        <v>1053.7547999999999</v>
      </c>
      <c r="Y478" s="86">
        <v>0.47</v>
      </c>
      <c r="Z478" s="62">
        <v>1008.2585</v>
      </c>
    </row>
    <row r="479" spans="4:26">
      <c r="D479" s="86">
        <v>0.47099999999999997</v>
      </c>
      <c r="E479" s="61">
        <v>-978.77949999999998</v>
      </c>
      <c r="U479" s="86">
        <v>0.47099999999999997</v>
      </c>
      <c r="V479" s="62">
        <v>1088.1332</v>
      </c>
      <c r="W479" s="86">
        <v>0.47099999999999997</v>
      </c>
      <c r="X479" s="62">
        <v>1053.7040999999999</v>
      </c>
      <c r="Y479" s="86">
        <v>0.47099999999999997</v>
      </c>
      <c r="Z479" s="62">
        <v>1008.18115</v>
      </c>
    </row>
    <row r="480" spans="4:26">
      <c r="D480" s="86">
        <v>0.47199999999999998</v>
      </c>
      <c r="E480" s="61">
        <v>-979.31470000000002</v>
      </c>
      <c r="U480" s="86">
        <v>0.47199999999999998</v>
      </c>
      <c r="V480" s="62">
        <v>1088.1185</v>
      </c>
      <c r="W480" s="86">
        <v>0.47199999999999998</v>
      </c>
      <c r="X480" s="62">
        <v>1053.6532999999999</v>
      </c>
      <c r="Y480" s="86">
        <v>0.47199999999999998</v>
      </c>
      <c r="Z480" s="62">
        <v>1008.1038</v>
      </c>
    </row>
    <row r="481" spans="4:26">
      <c r="D481" s="86">
        <v>0.47299999999999998</v>
      </c>
      <c r="E481" s="61">
        <v>-979.84389999999996</v>
      </c>
      <c r="U481" s="86">
        <v>0.47299999999999998</v>
      </c>
      <c r="V481" s="62">
        <v>1088.1035999999999</v>
      </c>
      <c r="W481" s="86">
        <v>0.47299999999999998</v>
      </c>
      <c r="X481" s="62">
        <v>1053.6023</v>
      </c>
      <c r="Y481" s="86">
        <v>0.47299999999999998</v>
      </c>
      <c r="Z481" s="62">
        <v>1008.02655</v>
      </c>
    </row>
    <row r="482" spans="4:26">
      <c r="D482" s="86">
        <v>0.47399999999999998</v>
      </c>
      <c r="E482" s="61">
        <v>-980.36710000000005</v>
      </c>
      <c r="U482" s="86">
        <v>0.47399999999999998</v>
      </c>
      <c r="V482" s="62">
        <v>1088.0884000000001</v>
      </c>
      <c r="W482" s="86">
        <v>0.47399999999999998</v>
      </c>
      <c r="X482" s="62">
        <v>1053.5513000000001</v>
      </c>
      <c r="Y482" s="86">
        <v>0.47399999999999998</v>
      </c>
      <c r="Z482" s="62">
        <v>1007.94934</v>
      </c>
    </row>
    <row r="483" spans="4:26">
      <c r="D483" s="86">
        <v>0.47499999999999998</v>
      </c>
      <c r="E483" s="61">
        <v>-980.88440000000003</v>
      </c>
      <c r="U483" s="86">
        <v>0.47499999999999998</v>
      </c>
      <c r="V483" s="62">
        <v>1088.0728999999999</v>
      </c>
      <c r="W483" s="86">
        <v>0.47499999999999998</v>
      </c>
      <c r="X483" s="62">
        <v>1053.5001</v>
      </c>
      <c r="Y483" s="86">
        <v>0.47499999999999998</v>
      </c>
      <c r="Z483" s="62">
        <v>1007.8722</v>
      </c>
    </row>
    <row r="484" spans="4:26">
      <c r="D484" s="86">
        <v>0.47599999999999998</v>
      </c>
      <c r="E484" s="61">
        <v>-981.39559999999994</v>
      </c>
      <c r="U484" s="86">
        <v>0.47599999999999998</v>
      </c>
      <c r="V484" s="62">
        <v>1088.0571</v>
      </c>
      <c r="W484" s="86">
        <v>0.47599999999999998</v>
      </c>
      <c r="X484" s="62">
        <v>1053.4489000000001</v>
      </c>
      <c r="Y484" s="86">
        <v>0.47599999999999998</v>
      </c>
      <c r="Z484" s="62">
        <v>1007.7951</v>
      </c>
    </row>
    <row r="485" spans="4:26">
      <c r="D485" s="86">
        <v>0.47699999999999998</v>
      </c>
      <c r="E485" s="61">
        <v>-981.9008</v>
      </c>
      <c r="U485" s="86">
        <v>0.47699999999999998</v>
      </c>
      <c r="V485" s="62">
        <v>1088.0410999999999</v>
      </c>
      <c r="W485" s="86">
        <v>0.47699999999999998</v>
      </c>
      <c r="X485" s="62">
        <v>1053.3975</v>
      </c>
      <c r="Y485" s="86">
        <v>0.47699999999999998</v>
      </c>
      <c r="Z485" s="62">
        <v>1007.7181</v>
      </c>
    </row>
    <row r="486" spans="4:26">
      <c r="D486" s="86">
        <v>0.47799999999999998</v>
      </c>
      <c r="E486" s="61">
        <v>-982.39995999999996</v>
      </c>
      <c r="U486" s="86">
        <v>0.47799999999999998</v>
      </c>
      <c r="V486" s="62">
        <v>1088.0248999999999</v>
      </c>
      <c r="W486" s="86">
        <v>0.47799999999999998</v>
      </c>
      <c r="X486" s="62">
        <v>1053.346</v>
      </c>
      <c r="Y486" s="86">
        <v>0.47799999999999998</v>
      </c>
      <c r="Z486" s="62">
        <v>1007.64105</v>
      </c>
    </row>
    <row r="487" spans="4:26">
      <c r="D487" s="86">
        <v>0.47899999999999998</v>
      </c>
      <c r="E487" s="61">
        <v>-982.89300000000003</v>
      </c>
      <c r="U487" s="86">
        <v>0.47899999999999998</v>
      </c>
      <c r="V487" s="62">
        <v>1088.0083999999999</v>
      </c>
      <c r="W487" s="86">
        <v>0.47899999999999998</v>
      </c>
      <c r="X487" s="62">
        <v>1053.2944</v>
      </c>
      <c r="Y487" s="86">
        <v>0.47899999999999998</v>
      </c>
      <c r="Z487" s="62">
        <v>1007.56415</v>
      </c>
    </row>
    <row r="488" spans="4:26">
      <c r="D488" s="86">
        <v>0.48</v>
      </c>
      <c r="E488" s="61">
        <v>-983.37994000000003</v>
      </c>
      <c r="U488" s="86">
        <v>0.48</v>
      </c>
      <c r="V488" s="62">
        <v>1087.9917</v>
      </c>
      <c r="W488" s="86">
        <v>0.48</v>
      </c>
      <c r="X488" s="62">
        <v>1053.2427</v>
      </c>
      <c r="Y488" s="86">
        <v>0.48</v>
      </c>
      <c r="Z488" s="62">
        <v>1007.48724</v>
      </c>
    </row>
    <row r="489" spans="4:26">
      <c r="D489" s="86">
        <v>0.48099999999999998</v>
      </c>
      <c r="E489" s="61">
        <v>-983.86069999999995</v>
      </c>
      <c r="U489" s="86">
        <v>0.48099999999999998</v>
      </c>
      <c r="V489" s="62">
        <v>1087.9746</v>
      </c>
      <c r="W489" s="86">
        <v>0.48099999999999998</v>
      </c>
      <c r="X489" s="62">
        <v>1053.1908000000001</v>
      </c>
      <c r="Y489" s="86">
        <v>0.48099999999999998</v>
      </c>
      <c r="Z489" s="62">
        <v>1007.4104599999999</v>
      </c>
    </row>
    <row r="490" spans="4:26">
      <c r="D490" s="86">
        <v>0.48199999999999998</v>
      </c>
      <c r="E490" s="61">
        <v>-984.33540000000005</v>
      </c>
      <c r="U490" s="86">
        <v>0.48199999999999998</v>
      </c>
      <c r="V490" s="62">
        <v>1087.9574</v>
      </c>
      <c r="W490" s="86">
        <v>0.48199999999999998</v>
      </c>
      <c r="X490" s="62">
        <v>1053.1388999999999</v>
      </c>
      <c r="Y490" s="86">
        <v>0.48199999999999998</v>
      </c>
      <c r="Z490" s="62">
        <v>1007.3337</v>
      </c>
    </row>
    <row r="491" spans="4:26">
      <c r="D491" s="86">
        <v>0.48299999999999998</v>
      </c>
      <c r="E491" s="61">
        <v>-984.80382999999995</v>
      </c>
      <c r="U491" s="86">
        <v>0.48299999999999998</v>
      </c>
      <c r="V491" s="62">
        <v>1087.9398000000001</v>
      </c>
      <c r="W491" s="86">
        <v>0.48299999999999998</v>
      </c>
      <c r="X491" s="62">
        <v>1053.0868</v>
      </c>
      <c r="Y491" s="86">
        <v>0.48299999999999998</v>
      </c>
      <c r="Z491" s="62">
        <v>1007.25696</v>
      </c>
    </row>
    <row r="492" spans="4:26">
      <c r="D492" s="86">
        <v>0.48399999999999999</v>
      </c>
      <c r="E492" s="61">
        <v>-985.26604999999995</v>
      </c>
      <c r="U492" s="86">
        <v>0.48399999999999999</v>
      </c>
      <c r="V492" s="62">
        <v>1087.922</v>
      </c>
      <c r="W492" s="86">
        <v>0.48399999999999999</v>
      </c>
      <c r="X492" s="62">
        <v>1053.0346999999999</v>
      </c>
      <c r="Y492" s="86">
        <v>0.48399999999999999</v>
      </c>
      <c r="Z492" s="62">
        <v>1007.1803</v>
      </c>
    </row>
    <row r="493" spans="4:26">
      <c r="D493" s="86">
        <v>0.48499999999999999</v>
      </c>
      <c r="E493" s="61">
        <v>-985.72204999999997</v>
      </c>
      <c r="U493" s="86">
        <v>0.48499999999999999</v>
      </c>
      <c r="V493" s="62">
        <v>1087.9039</v>
      </c>
      <c r="W493" s="86">
        <v>0.48499999999999999</v>
      </c>
      <c r="X493" s="62">
        <v>1052.9822999999999</v>
      </c>
      <c r="Y493" s="86">
        <v>0.48499999999999999</v>
      </c>
      <c r="Z493" s="62">
        <v>1007.1037</v>
      </c>
    </row>
    <row r="494" spans="4:26">
      <c r="D494" s="86">
        <v>0.48599999999999999</v>
      </c>
      <c r="E494" s="61">
        <v>-986.17174999999997</v>
      </c>
      <c r="U494" s="86">
        <v>0.48599999999999999</v>
      </c>
      <c r="V494" s="62">
        <v>1087.8857</v>
      </c>
      <c r="W494" s="86">
        <v>0.48599999999999999</v>
      </c>
      <c r="X494" s="62">
        <v>1052.9299000000001</v>
      </c>
      <c r="Y494" s="86">
        <v>0.48599999999999999</v>
      </c>
      <c r="Z494" s="62">
        <v>1007.02716</v>
      </c>
    </row>
    <row r="495" spans="4:26">
      <c r="D495" s="86">
        <v>0.48699999999999999</v>
      </c>
      <c r="E495" s="61">
        <v>-986.61523</v>
      </c>
      <c r="U495" s="86">
        <v>0.48699999999999999</v>
      </c>
      <c r="V495" s="62">
        <v>1087.8671999999999</v>
      </c>
      <c r="W495" s="86">
        <v>0.48699999999999999</v>
      </c>
      <c r="X495" s="62">
        <v>1052.8774000000001</v>
      </c>
      <c r="Y495" s="86">
        <v>0.48699999999999999</v>
      </c>
      <c r="Z495" s="62">
        <v>1006.9507</v>
      </c>
    </row>
    <row r="496" spans="4:26">
      <c r="D496" s="86">
        <v>0.48799999999999999</v>
      </c>
      <c r="E496" s="61">
        <v>-987.05237</v>
      </c>
      <c r="U496" s="86">
        <v>0.48799999999999999</v>
      </c>
      <c r="V496" s="62">
        <v>1087.8484000000001</v>
      </c>
      <c r="W496" s="86">
        <v>0.48799999999999999</v>
      </c>
      <c r="X496" s="62">
        <v>1052.8248000000001</v>
      </c>
      <c r="Y496" s="86">
        <v>0.48799999999999999</v>
      </c>
      <c r="Z496" s="62">
        <v>1006.87427</v>
      </c>
    </row>
    <row r="497" spans="4:26">
      <c r="D497" s="86">
        <v>0.48899999999999999</v>
      </c>
      <c r="E497" s="61">
        <v>-987.48315000000002</v>
      </c>
      <c r="U497" s="86">
        <v>0.48899999999999999</v>
      </c>
      <c r="V497" s="62">
        <v>1087.8293000000001</v>
      </c>
      <c r="W497" s="86">
        <v>0.48899999999999999</v>
      </c>
      <c r="X497" s="62">
        <v>1052.7722000000001</v>
      </c>
      <c r="Y497" s="86">
        <v>0.48899999999999999</v>
      </c>
      <c r="Z497" s="62">
        <v>1006.79785</v>
      </c>
    </row>
    <row r="498" spans="4:26">
      <c r="D498" s="86">
        <v>0.49</v>
      </c>
      <c r="E498" s="61">
        <v>-987.9076</v>
      </c>
      <c r="U498" s="86">
        <v>0.49</v>
      </c>
      <c r="V498" s="62">
        <v>1087.81</v>
      </c>
      <c r="W498" s="86">
        <v>0.49</v>
      </c>
      <c r="X498" s="62">
        <v>1052.7194</v>
      </c>
      <c r="Y498" s="86">
        <v>0.49</v>
      </c>
      <c r="Z498" s="62">
        <v>1006.72156</v>
      </c>
    </row>
    <row r="499" spans="4:26">
      <c r="D499" s="86">
        <v>0.49099999999999999</v>
      </c>
      <c r="E499" s="61">
        <v>-988.32560000000001</v>
      </c>
      <c r="U499" s="86">
        <v>0.49099999999999999</v>
      </c>
      <c r="V499" s="62">
        <v>1087.7905000000001</v>
      </c>
      <c r="W499" s="86">
        <v>0.49099999999999999</v>
      </c>
      <c r="X499" s="62">
        <v>1052.6665</v>
      </c>
      <c r="Y499" s="86">
        <v>0.49099999999999999</v>
      </c>
      <c r="Z499" s="62">
        <v>1006.6453</v>
      </c>
    </row>
    <row r="500" spans="4:26">
      <c r="D500" s="86">
        <v>0.49199999999999999</v>
      </c>
      <c r="E500" s="61">
        <v>-988.73724000000004</v>
      </c>
      <c r="U500" s="86">
        <v>0.49199999999999999</v>
      </c>
      <c r="V500" s="62">
        <v>1087.7708</v>
      </c>
      <c r="W500" s="86">
        <v>0.49199999999999999</v>
      </c>
      <c r="X500" s="62">
        <v>1052.6134</v>
      </c>
      <c r="Y500" s="86">
        <v>0.49199999999999999</v>
      </c>
      <c r="Z500" s="62">
        <v>1006.5691</v>
      </c>
    </row>
    <row r="501" spans="4:26">
      <c r="D501" s="86">
        <v>0.49299999999999999</v>
      </c>
      <c r="E501" s="61">
        <v>-989.14239999999995</v>
      </c>
      <c r="U501" s="86">
        <v>0.49299999999999999</v>
      </c>
      <c r="V501" s="62">
        <v>1087.7509</v>
      </c>
      <c r="W501" s="86">
        <v>0.49299999999999999</v>
      </c>
      <c r="X501" s="62">
        <v>1052.5603000000001</v>
      </c>
      <c r="Y501" s="86">
        <v>0.49299999999999999</v>
      </c>
      <c r="Z501" s="62">
        <v>1006.4930000000001</v>
      </c>
    </row>
    <row r="502" spans="4:26">
      <c r="D502" s="86">
        <v>0.49399999999999999</v>
      </c>
      <c r="E502" s="61">
        <v>-989.54114000000004</v>
      </c>
      <c r="U502" s="86">
        <v>0.49399999999999999</v>
      </c>
      <c r="V502" s="62">
        <v>1087.7306000000001</v>
      </c>
      <c r="W502" s="86">
        <v>0.49399999999999999</v>
      </c>
      <c r="X502" s="62">
        <v>1052.5072</v>
      </c>
      <c r="Y502" s="86">
        <v>0.49399999999999999</v>
      </c>
      <c r="Z502" s="62">
        <v>1006.4169000000001</v>
      </c>
    </row>
    <row r="503" spans="4:26">
      <c r="D503" s="86">
        <v>0.495</v>
      </c>
      <c r="E503" s="61">
        <v>-989.93330000000003</v>
      </c>
      <c r="U503" s="86">
        <v>0.495</v>
      </c>
      <c r="V503" s="62">
        <v>1087.7101</v>
      </c>
      <c r="W503" s="86">
        <v>0.495</v>
      </c>
      <c r="X503" s="62">
        <v>1052.4539</v>
      </c>
      <c r="Y503" s="86">
        <v>0.495</v>
      </c>
      <c r="Z503" s="62">
        <v>1006.3409</v>
      </c>
    </row>
    <row r="504" spans="4:26">
      <c r="D504" s="86">
        <v>0.496</v>
      </c>
      <c r="E504" s="61">
        <v>-990.31899999999996</v>
      </c>
      <c r="U504" s="86">
        <v>0.496</v>
      </c>
      <c r="V504" s="62">
        <v>1087.6893</v>
      </c>
      <c r="W504" s="86">
        <v>0.496</v>
      </c>
      <c r="X504" s="62">
        <v>1052.4004</v>
      </c>
      <c r="Y504" s="86">
        <v>0.496</v>
      </c>
      <c r="Z504" s="62">
        <v>1006.2649</v>
      </c>
    </row>
    <row r="505" spans="4:26">
      <c r="D505" s="86">
        <v>0.497</v>
      </c>
      <c r="E505" s="61">
        <v>-990.69809999999995</v>
      </c>
      <c r="U505" s="86">
        <v>0.497</v>
      </c>
      <c r="V505" s="62">
        <v>1087.6685</v>
      </c>
      <c r="W505" s="86">
        <v>0.497</v>
      </c>
      <c r="X505" s="62">
        <v>1052.3469</v>
      </c>
      <c r="Y505" s="86">
        <v>0.497</v>
      </c>
      <c r="Z505" s="62">
        <v>1006.18896</v>
      </c>
    </row>
    <row r="506" spans="4:26">
      <c r="D506" s="86">
        <v>0.498</v>
      </c>
      <c r="E506" s="61">
        <v>-991.07069999999999</v>
      </c>
      <c r="U506" s="86">
        <v>0.498</v>
      </c>
      <c r="V506" s="62">
        <v>1087.6472000000001</v>
      </c>
      <c r="W506" s="86">
        <v>0.498</v>
      </c>
      <c r="X506" s="62">
        <v>1052.2933</v>
      </c>
      <c r="Y506" s="86">
        <v>0.498</v>
      </c>
      <c r="Z506" s="62">
        <v>1006.11316</v>
      </c>
    </row>
    <row r="507" spans="4:26">
      <c r="D507" s="86">
        <v>0.499</v>
      </c>
      <c r="E507" s="61">
        <v>-991.4366</v>
      </c>
      <c r="U507" s="86">
        <v>0.499</v>
      </c>
      <c r="V507" s="62">
        <v>1087.6259</v>
      </c>
      <c r="W507" s="86">
        <v>0.499</v>
      </c>
      <c r="X507" s="62">
        <v>1052.2396000000001</v>
      </c>
      <c r="Y507" s="86">
        <v>0.499</v>
      </c>
      <c r="Z507" s="62">
        <v>1006.0373499999999</v>
      </c>
    </row>
    <row r="508" spans="4:26">
      <c r="D508" s="86">
        <v>0.5</v>
      </c>
      <c r="E508" s="61">
        <v>-991.79589999999996</v>
      </c>
      <c r="U508" s="86">
        <v>0.5</v>
      </c>
      <c r="V508" s="62">
        <v>1087.6041</v>
      </c>
      <c r="W508" s="86">
        <v>0.5</v>
      </c>
      <c r="X508" s="62">
        <v>1052.1858</v>
      </c>
      <c r="Y508" s="86">
        <v>0.5</v>
      </c>
      <c r="Z508" s="62">
        <v>1005.9616</v>
      </c>
    </row>
    <row r="509" spans="4:26">
      <c r="D509" s="86">
        <v>0.501</v>
      </c>
      <c r="E509" s="61">
        <v>-992.14850000000001</v>
      </c>
      <c r="U509" s="86">
        <v>0.501</v>
      </c>
      <c r="V509" s="62">
        <v>1087.5823</v>
      </c>
      <c r="W509" s="86">
        <v>0.501</v>
      </c>
      <c r="X509" s="62">
        <v>1052.1320000000001</v>
      </c>
      <c r="Y509" s="86">
        <v>0.501</v>
      </c>
      <c r="Z509" s="62">
        <v>1005.8859</v>
      </c>
    </row>
    <row r="510" spans="4:26">
      <c r="D510" s="86">
        <v>0.502</v>
      </c>
      <c r="E510" s="61">
        <v>-992.49445000000003</v>
      </c>
      <c r="U510" s="86">
        <v>0.502</v>
      </c>
      <c r="V510" s="62">
        <v>1087.5601999999999</v>
      </c>
      <c r="W510" s="86">
        <v>0.502</v>
      </c>
      <c r="X510" s="62">
        <v>1052.0779</v>
      </c>
      <c r="Y510" s="86">
        <v>0.502</v>
      </c>
      <c r="Z510" s="62">
        <v>1005.8103599999999</v>
      </c>
    </row>
    <row r="511" spans="4:26">
      <c r="D511" s="86">
        <v>0.503</v>
      </c>
      <c r="E511" s="61">
        <v>-992.83370000000002</v>
      </c>
      <c r="U511" s="86">
        <v>0.503</v>
      </c>
      <c r="V511" s="62">
        <v>1087.5378000000001</v>
      </c>
      <c r="W511" s="86">
        <v>0.503</v>
      </c>
      <c r="X511" s="62">
        <v>1052.0237999999999</v>
      </c>
      <c r="Y511" s="86">
        <v>0.503</v>
      </c>
      <c r="Z511" s="62">
        <v>1005.7348</v>
      </c>
    </row>
    <row r="512" spans="4:26">
      <c r="D512" s="86">
        <v>0.504</v>
      </c>
      <c r="E512" s="61">
        <v>-993.16614000000004</v>
      </c>
      <c r="U512" s="86">
        <v>0.504</v>
      </c>
      <c r="V512" s="62">
        <v>1087.5153</v>
      </c>
      <c r="W512" s="86">
        <v>0.504</v>
      </c>
      <c r="X512" s="62">
        <v>1051.9697000000001</v>
      </c>
      <c r="Y512" s="86">
        <v>0.504</v>
      </c>
      <c r="Z512" s="62">
        <v>1005.6593</v>
      </c>
    </row>
    <row r="513" spans="4:26">
      <c r="D513" s="86">
        <v>0.505</v>
      </c>
      <c r="E513" s="61">
        <v>-993.49180000000001</v>
      </c>
      <c r="U513" s="86">
        <v>0.505</v>
      </c>
      <c r="V513" s="62">
        <v>1087.4924000000001</v>
      </c>
      <c r="W513" s="86">
        <v>0.505</v>
      </c>
      <c r="X513" s="62">
        <v>1051.9154000000001</v>
      </c>
      <c r="Y513" s="86">
        <v>0.505</v>
      </c>
      <c r="Z513" s="62">
        <v>1005.58386</v>
      </c>
    </row>
    <row r="514" spans="4:26">
      <c r="D514" s="86">
        <v>0.50600000000000001</v>
      </c>
      <c r="E514" s="61">
        <v>-993.8107</v>
      </c>
      <c r="U514" s="86">
        <v>0.50600000000000001</v>
      </c>
      <c r="V514" s="62">
        <v>1087.4694</v>
      </c>
      <c r="W514" s="86">
        <v>0.50600000000000001</v>
      </c>
      <c r="X514" s="62">
        <v>1051.8611000000001</v>
      </c>
      <c r="Y514" s="86">
        <v>0.50600000000000001</v>
      </c>
      <c r="Z514" s="62">
        <v>1005.5085</v>
      </c>
    </row>
    <row r="515" spans="4:26">
      <c r="D515" s="86">
        <v>0.50700000000000001</v>
      </c>
      <c r="E515" s="61">
        <v>-994.12274000000002</v>
      </c>
      <c r="U515" s="86">
        <v>0.50700000000000001</v>
      </c>
      <c r="V515" s="62">
        <v>1087.4462000000001</v>
      </c>
      <c r="W515" s="86">
        <v>0.50700000000000001</v>
      </c>
      <c r="X515" s="62">
        <v>1051.8065999999999</v>
      </c>
      <c r="Y515" s="86">
        <v>0.50700000000000001</v>
      </c>
      <c r="Z515" s="62">
        <v>1005.43317</v>
      </c>
    </row>
    <row r="516" spans="4:26">
      <c r="D516" s="86">
        <v>0.50800000000000001</v>
      </c>
      <c r="E516" s="61">
        <v>-994.42790000000002</v>
      </c>
      <c r="U516" s="86">
        <v>0.50800000000000001</v>
      </c>
      <c r="V516" s="62">
        <v>1087.4227000000001</v>
      </c>
      <c r="W516" s="86">
        <v>0.50800000000000001</v>
      </c>
      <c r="X516" s="62">
        <v>1051.7520999999999</v>
      </c>
      <c r="Y516" s="86">
        <v>0.50800000000000001</v>
      </c>
      <c r="Z516" s="62">
        <v>1005.3579</v>
      </c>
    </row>
    <row r="517" spans="4:26">
      <c r="D517" s="86">
        <v>0.50900000000000001</v>
      </c>
      <c r="E517" s="61">
        <v>-994.72619999999995</v>
      </c>
      <c r="U517" s="86">
        <v>0.50900000000000001</v>
      </c>
      <c r="V517" s="62">
        <v>1087.3988999999999</v>
      </c>
      <c r="W517" s="86">
        <v>0.50900000000000001</v>
      </c>
      <c r="X517" s="62">
        <v>1051.6975</v>
      </c>
      <c r="Y517" s="86">
        <v>0.50900000000000001</v>
      </c>
      <c r="Z517" s="62">
        <v>1005.2827</v>
      </c>
    </row>
    <row r="518" spans="4:26">
      <c r="D518" s="86">
        <v>0.51</v>
      </c>
      <c r="E518" s="61">
        <v>-995.01760000000002</v>
      </c>
      <c r="U518" s="86">
        <v>0.51</v>
      </c>
      <c r="V518" s="62">
        <v>1087.375</v>
      </c>
      <c r="W518" s="86">
        <v>0.51</v>
      </c>
      <c r="X518" s="62">
        <v>1051.6428000000001</v>
      </c>
      <c r="Y518" s="86">
        <v>0.51</v>
      </c>
      <c r="Z518" s="62">
        <v>1005.2076</v>
      </c>
    </row>
    <row r="519" spans="4:26">
      <c r="D519" s="86">
        <v>0.51100000000000001</v>
      </c>
      <c r="E519" s="61">
        <v>-995.30193999999995</v>
      </c>
      <c r="U519" s="86">
        <v>0.51100000000000001</v>
      </c>
      <c r="V519" s="62">
        <v>1087.3510000000001</v>
      </c>
      <c r="W519" s="86">
        <v>0.51100000000000001</v>
      </c>
      <c r="X519" s="62">
        <v>1051.588</v>
      </c>
      <c r="Y519" s="86">
        <v>0.51100000000000001</v>
      </c>
      <c r="Z519" s="62">
        <v>1005.1325000000001</v>
      </c>
    </row>
    <row r="520" spans="4:26">
      <c r="D520" s="86">
        <v>0.51200000000000001</v>
      </c>
      <c r="E520" s="61">
        <v>-995.57934999999998</v>
      </c>
      <c r="U520" s="86">
        <v>0.51200000000000001</v>
      </c>
      <c r="V520" s="62">
        <v>1087.3264999999999</v>
      </c>
      <c r="W520" s="86">
        <v>0.51200000000000001</v>
      </c>
      <c r="X520" s="62">
        <v>1051.5331000000001</v>
      </c>
      <c r="Y520" s="86">
        <v>0.51200000000000001</v>
      </c>
      <c r="Z520" s="62">
        <v>1005.0575</v>
      </c>
    </row>
    <row r="521" spans="4:26">
      <c r="D521" s="86">
        <v>0.51300000000000001</v>
      </c>
      <c r="E521" s="61">
        <v>-995.84979999999996</v>
      </c>
      <c r="U521" s="86">
        <v>0.51300000000000001</v>
      </c>
      <c r="V521" s="62">
        <v>1087.3019999999999</v>
      </c>
      <c r="W521" s="86">
        <v>0.51300000000000001</v>
      </c>
      <c r="X521" s="62">
        <v>1051.4781</v>
      </c>
      <c r="Y521" s="86">
        <v>0.51300000000000001</v>
      </c>
      <c r="Z521" s="62">
        <v>1004.98254</v>
      </c>
    </row>
    <row r="522" spans="4:26">
      <c r="D522" s="86">
        <v>0.51400000000000001</v>
      </c>
      <c r="E522" s="61">
        <v>-996.11310000000003</v>
      </c>
      <c r="U522" s="86">
        <v>0.51400000000000001</v>
      </c>
      <c r="V522" s="62">
        <v>1087.2772</v>
      </c>
      <c r="W522" s="86">
        <v>0.51400000000000001</v>
      </c>
      <c r="X522" s="62">
        <v>1051.4231</v>
      </c>
      <c r="Y522" s="86">
        <v>0.51400000000000001</v>
      </c>
      <c r="Z522" s="62">
        <v>1004.90765</v>
      </c>
    </row>
    <row r="523" spans="4:26">
      <c r="D523" s="86">
        <v>0.51500000000000001</v>
      </c>
      <c r="E523" s="61">
        <v>-996.36940000000004</v>
      </c>
      <c r="U523" s="86">
        <v>0.51500000000000001</v>
      </c>
      <c r="V523" s="62">
        <v>1087.2521999999999</v>
      </c>
      <c r="W523" s="86">
        <v>0.51500000000000001</v>
      </c>
      <c r="X523" s="62">
        <v>1051.3679</v>
      </c>
      <c r="Y523" s="86">
        <v>0.51500000000000001</v>
      </c>
      <c r="Z523" s="62">
        <v>1004.8328</v>
      </c>
    </row>
    <row r="524" spans="4:26">
      <c r="D524" s="86">
        <v>0.51600000000000001</v>
      </c>
      <c r="E524" s="61">
        <v>-996.61850000000004</v>
      </c>
      <c r="U524" s="86">
        <v>0.51600000000000001</v>
      </c>
      <c r="V524" s="62">
        <v>1087.2268999999999</v>
      </c>
      <c r="W524" s="86">
        <v>0.51600000000000001</v>
      </c>
      <c r="X524" s="62">
        <v>1051.3126999999999</v>
      </c>
      <c r="Y524" s="86">
        <v>0.51600000000000001</v>
      </c>
      <c r="Z524" s="62">
        <v>1004.75806</v>
      </c>
    </row>
    <row r="525" spans="4:26">
      <c r="D525" s="86">
        <v>0.51700000000000002</v>
      </c>
      <c r="E525" s="61">
        <v>-996.86059999999998</v>
      </c>
      <c r="U525" s="86">
        <v>0.51700000000000002</v>
      </c>
      <c r="V525" s="62">
        <v>1087.2014999999999</v>
      </c>
      <c r="W525" s="86">
        <v>0.51700000000000002</v>
      </c>
      <c r="X525" s="62">
        <v>1051.2574</v>
      </c>
      <c r="Y525" s="86">
        <v>0.51700000000000002</v>
      </c>
      <c r="Z525" s="62">
        <v>1004.6834</v>
      </c>
    </row>
    <row r="526" spans="4:26">
      <c r="D526" s="86">
        <v>0.51800000000000002</v>
      </c>
      <c r="E526" s="61">
        <v>-997.09546</v>
      </c>
      <c r="U526" s="86">
        <v>0.51800000000000002</v>
      </c>
      <c r="V526" s="62">
        <v>1087.1759</v>
      </c>
      <c r="W526" s="86">
        <v>0.51800000000000002</v>
      </c>
      <c r="X526" s="62">
        <v>1051.202</v>
      </c>
      <c r="Y526" s="86">
        <v>0.51800000000000002</v>
      </c>
      <c r="Z526" s="62">
        <v>1004.60876</v>
      </c>
    </row>
    <row r="527" spans="4:26">
      <c r="D527" s="86">
        <v>0.51900000000000002</v>
      </c>
      <c r="E527" s="61">
        <v>-997.32306000000005</v>
      </c>
      <c r="U527" s="86">
        <v>0.51900000000000002</v>
      </c>
      <c r="V527" s="62">
        <v>1087.1500000000001</v>
      </c>
      <c r="W527" s="86">
        <v>0.51900000000000002</v>
      </c>
      <c r="X527" s="62">
        <v>1051.1466</v>
      </c>
      <c r="Y527" s="86">
        <v>0.51900000000000002</v>
      </c>
      <c r="Z527" s="62">
        <v>1004.5342000000001</v>
      </c>
    </row>
    <row r="528" spans="4:26">
      <c r="D528" s="86">
        <v>0.52</v>
      </c>
      <c r="E528" s="61">
        <v>-997.54349999999999</v>
      </c>
      <c r="U528" s="86">
        <v>0.52</v>
      </c>
      <c r="V528" s="62">
        <v>1087.1239</v>
      </c>
      <c r="W528" s="86">
        <v>0.52</v>
      </c>
      <c r="X528" s="62">
        <v>1051.0911000000001</v>
      </c>
      <c r="Y528" s="86">
        <v>0.52</v>
      </c>
      <c r="Z528" s="62">
        <v>1004.45966</v>
      </c>
    </row>
    <row r="529" spans="4:26">
      <c r="D529" s="86">
        <v>0.52100000000000002</v>
      </c>
      <c r="E529" s="61">
        <v>-997.75665000000004</v>
      </c>
      <c r="U529" s="86">
        <v>0.52100000000000002</v>
      </c>
      <c r="V529" s="62">
        <v>1087.0977</v>
      </c>
      <c r="W529" s="86">
        <v>0.52100000000000002</v>
      </c>
      <c r="X529" s="62">
        <v>1051.0354</v>
      </c>
      <c r="Y529" s="86">
        <v>0.52100000000000002</v>
      </c>
      <c r="Z529" s="62">
        <v>1004.3852000000001</v>
      </c>
    </row>
    <row r="530" spans="4:26">
      <c r="D530" s="86">
        <v>0.52200000000000002</v>
      </c>
      <c r="E530" s="61">
        <v>-997.96249999999998</v>
      </c>
      <c r="U530" s="86">
        <v>0.52200000000000002</v>
      </c>
      <c r="V530" s="62">
        <v>1087.0712000000001</v>
      </c>
      <c r="W530" s="86">
        <v>0.52200000000000002</v>
      </c>
      <c r="X530" s="62">
        <v>1050.9797000000001</v>
      </c>
      <c r="Y530" s="86">
        <v>0.52200000000000002</v>
      </c>
      <c r="Z530" s="62">
        <v>1004.3108</v>
      </c>
    </row>
    <row r="531" spans="4:26">
      <c r="D531" s="86">
        <v>0.52300000000000002</v>
      </c>
      <c r="E531" s="61">
        <v>-998.16110000000003</v>
      </c>
      <c r="U531" s="86">
        <v>0.52300000000000002</v>
      </c>
      <c r="V531" s="62">
        <v>1087.0444</v>
      </c>
      <c r="W531" s="86">
        <v>0.52300000000000002</v>
      </c>
      <c r="X531" s="62">
        <v>1050.924</v>
      </c>
      <c r="Y531" s="86">
        <v>0.52300000000000002</v>
      </c>
      <c r="Z531" s="62">
        <v>1004.23645</v>
      </c>
    </row>
    <row r="532" spans="4:26">
      <c r="D532" s="86">
        <v>0.52400000000000002</v>
      </c>
      <c r="E532" s="61">
        <v>-998.35222999999996</v>
      </c>
      <c r="U532" s="86">
        <v>0.52400000000000002</v>
      </c>
      <c r="V532" s="62">
        <v>1087.0174999999999</v>
      </c>
      <c r="W532" s="86">
        <v>0.52400000000000002</v>
      </c>
      <c r="X532" s="62">
        <v>1050.8679999999999</v>
      </c>
      <c r="Y532" s="86">
        <v>0.52400000000000002</v>
      </c>
      <c r="Z532" s="62">
        <v>1004.1622</v>
      </c>
    </row>
    <row r="533" spans="4:26">
      <c r="D533" s="86">
        <v>0.52500000000000002</v>
      </c>
      <c r="E533" s="61">
        <v>-998.53599999999994</v>
      </c>
      <c r="U533" s="86">
        <v>0.52500000000000002</v>
      </c>
      <c r="V533" s="62">
        <v>1086.9903999999999</v>
      </c>
      <c r="W533" s="86">
        <v>0.52500000000000002</v>
      </c>
      <c r="X533" s="62">
        <v>1050.8121000000001</v>
      </c>
      <c r="Y533" s="86">
        <v>0.52500000000000002</v>
      </c>
      <c r="Z533" s="62">
        <v>1004.08795</v>
      </c>
    </row>
    <row r="534" spans="4:26">
      <c r="D534" s="86">
        <v>0.52600000000000002</v>
      </c>
      <c r="E534" s="61">
        <v>-998.7124</v>
      </c>
      <c r="U534" s="86">
        <v>0.52600000000000002</v>
      </c>
      <c r="V534" s="62">
        <v>1086.9630999999999</v>
      </c>
      <c r="W534" s="86">
        <v>0.52600000000000002</v>
      </c>
      <c r="X534" s="62">
        <v>1050.7561000000001</v>
      </c>
      <c r="Y534" s="86">
        <v>0.52600000000000002</v>
      </c>
      <c r="Z534" s="62">
        <v>1004.0137999999999</v>
      </c>
    </row>
    <row r="535" spans="4:26">
      <c r="D535" s="86">
        <v>0.52700000000000002</v>
      </c>
      <c r="E535" s="61">
        <v>-998.88130000000001</v>
      </c>
      <c r="U535" s="86">
        <v>0.52700000000000002</v>
      </c>
      <c r="V535" s="62">
        <v>1086.9355</v>
      </c>
      <c r="W535" s="86">
        <v>0.52700000000000002</v>
      </c>
      <c r="X535" s="62">
        <v>1050.7001</v>
      </c>
      <c r="Y535" s="86">
        <v>0.52700000000000002</v>
      </c>
      <c r="Z535" s="62">
        <v>1003.93976</v>
      </c>
    </row>
    <row r="536" spans="4:26">
      <c r="D536" s="86">
        <v>0.52800000000000002</v>
      </c>
      <c r="E536" s="61">
        <v>-999.04269999999997</v>
      </c>
      <c r="U536" s="86">
        <v>0.52800000000000002</v>
      </c>
      <c r="V536" s="62">
        <v>1086.9078</v>
      </c>
      <c r="W536" s="86">
        <v>0.52800000000000002</v>
      </c>
      <c r="X536" s="62">
        <v>1050.6439</v>
      </c>
      <c r="Y536" s="86">
        <v>0.52800000000000002</v>
      </c>
      <c r="Z536" s="62">
        <v>1003.8656999999999</v>
      </c>
    </row>
    <row r="537" spans="4:26">
      <c r="D537" s="86">
        <v>0.52900000000000003</v>
      </c>
      <c r="E537" s="61">
        <v>-999.19659999999999</v>
      </c>
      <c r="U537" s="86">
        <v>0.52900000000000003</v>
      </c>
      <c r="V537" s="62">
        <v>1086.8798999999999</v>
      </c>
      <c r="W537" s="86">
        <v>0.52900000000000003</v>
      </c>
      <c r="X537" s="62">
        <v>1050.5876000000001</v>
      </c>
      <c r="Y537" s="86">
        <v>0.52900000000000003</v>
      </c>
      <c r="Z537" s="62">
        <v>1003.79175</v>
      </c>
    </row>
    <row r="538" spans="4:26">
      <c r="D538" s="86">
        <v>0.53</v>
      </c>
      <c r="E538" s="61">
        <v>-999.34295999999995</v>
      </c>
      <c r="U538" s="86">
        <v>0.53</v>
      </c>
      <c r="V538" s="62">
        <v>1086.8517999999999</v>
      </c>
      <c r="W538" s="86">
        <v>0.53</v>
      </c>
      <c r="X538" s="62">
        <v>1050.5314000000001</v>
      </c>
      <c r="Y538" s="86">
        <v>0.53</v>
      </c>
      <c r="Z538" s="62">
        <v>1003.71783</v>
      </c>
    </row>
    <row r="539" spans="4:26">
      <c r="D539" s="86">
        <v>0.53100000000000003</v>
      </c>
      <c r="E539" s="61">
        <v>-999.48170000000005</v>
      </c>
      <c r="U539" s="86">
        <v>0.53100000000000003</v>
      </c>
      <c r="V539" s="62">
        <v>1086.8235</v>
      </c>
      <c r="W539" s="86">
        <v>0.53100000000000003</v>
      </c>
      <c r="X539" s="62">
        <v>1050.4749999999999</v>
      </c>
      <c r="Y539" s="86">
        <v>0.53100000000000003</v>
      </c>
      <c r="Z539" s="62">
        <v>1003.64404</v>
      </c>
    </row>
    <row r="540" spans="4:26">
      <c r="D540" s="86">
        <v>0.53200000000000003</v>
      </c>
      <c r="E540" s="61">
        <v>-999.61284999999998</v>
      </c>
      <c r="U540" s="86">
        <v>0.53200000000000003</v>
      </c>
      <c r="V540" s="62">
        <v>1086.7949000000001</v>
      </c>
      <c r="W540" s="86">
        <v>0.53200000000000003</v>
      </c>
      <c r="X540" s="62">
        <v>1050.4185</v>
      </c>
      <c r="Y540" s="86">
        <v>0.53200000000000003</v>
      </c>
      <c r="Z540" s="62">
        <v>1003.57025</v>
      </c>
    </row>
    <row r="541" spans="4:26">
      <c r="D541" s="86">
        <v>0.53300000000000003</v>
      </c>
      <c r="E541" s="61">
        <v>-999.73630000000003</v>
      </c>
      <c r="U541" s="86">
        <v>0.53300000000000003</v>
      </c>
      <c r="V541" s="62">
        <v>1086.7662</v>
      </c>
      <c r="W541" s="86">
        <v>0.53300000000000003</v>
      </c>
      <c r="X541" s="62">
        <v>1050.3619000000001</v>
      </c>
      <c r="Y541" s="86">
        <v>0.53300000000000003</v>
      </c>
      <c r="Z541" s="62">
        <v>1003.4965999999999</v>
      </c>
    </row>
    <row r="542" spans="4:26">
      <c r="D542" s="86">
        <v>0.53400000000000003</v>
      </c>
      <c r="E542" s="61">
        <v>-999.85220000000004</v>
      </c>
      <c r="U542" s="86">
        <v>0.53400000000000003</v>
      </c>
      <c r="V542" s="62">
        <v>1086.7373</v>
      </c>
      <c r="W542" s="86">
        <v>0.53400000000000003</v>
      </c>
      <c r="X542" s="62">
        <v>1050.3054</v>
      </c>
      <c r="Y542" s="86">
        <v>0.53400000000000003</v>
      </c>
      <c r="Z542" s="62">
        <v>1003.4229</v>
      </c>
    </row>
    <row r="543" spans="4:26">
      <c r="D543" s="86">
        <v>0.53500000000000003</v>
      </c>
      <c r="E543" s="61">
        <v>-999.96019999999999</v>
      </c>
      <c r="U543" s="86">
        <v>0.53500000000000003</v>
      </c>
      <c r="V543" s="62">
        <v>1086.7081000000001</v>
      </c>
      <c r="W543" s="86">
        <v>0.53500000000000003</v>
      </c>
      <c r="X543" s="62">
        <v>1050.2487000000001</v>
      </c>
      <c r="Y543" s="86">
        <v>0.53500000000000003</v>
      </c>
      <c r="Z543" s="62">
        <v>1003.3493</v>
      </c>
    </row>
    <row r="544" spans="4:26">
      <c r="D544" s="86">
        <v>0.53600000000000003</v>
      </c>
      <c r="E544" s="62">
        <v>-1000.06055</v>
      </c>
      <c r="U544" s="86">
        <v>0.53600000000000003</v>
      </c>
      <c r="V544" s="62">
        <v>1086.6787999999999</v>
      </c>
      <c r="W544" s="86">
        <v>0.53600000000000003</v>
      </c>
      <c r="X544" s="62">
        <v>1050.1919</v>
      </c>
      <c r="Y544" s="86">
        <v>0.53600000000000003</v>
      </c>
      <c r="Z544" s="62">
        <v>1003.2758</v>
      </c>
    </row>
    <row r="545" spans="4:26">
      <c r="D545" s="86">
        <v>0.53700000000000003</v>
      </c>
      <c r="E545" s="62">
        <v>-1000.1531</v>
      </c>
      <c r="U545" s="86">
        <v>0.53700000000000003</v>
      </c>
      <c r="V545" s="62">
        <v>1086.6493</v>
      </c>
      <c r="W545" s="86">
        <v>0.53700000000000003</v>
      </c>
      <c r="X545" s="62">
        <v>1050.1351</v>
      </c>
      <c r="Y545" s="86">
        <v>0.53700000000000003</v>
      </c>
      <c r="Z545" s="62">
        <v>1003.20233</v>
      </c>
    </row>
    <row r="546" spans="4:26">
      <c r="D546" s="86">
        <v>0.53800000000000003</v>
      </c>
      <c r="E546" s="62">
        <v>-1000.2378</v>
      </c>
      <c r="U546" s="86">
        <v>0.53800000000000003</v>
      </c>
      <c r="V546" s="62">
        <v>1086.6196</v>
      </c>
      <c r="W546" s="86">
        <v>0.53800000000000003</v>
      </c>
      <c r="X546" s="62">
        <v>1050.0781999999999</v>
      </c>
      <c r="Y546" s="86">
        <v>0.53800000000000003</v>
      </c>
      <c r="Z546" s="62">
        <v>1003.12897</v>
      </c>
    </row>
    <row r="547" spans="4:26">
      <c r="D547" s="86">
        <v>0.53900000000000003</v>
      </c>
      <c r="E547" s="62">
        <v>-1000.3147</v>
      </c>
      <c r="U547" s="86">
        <v>0.53900000000000003</v>
      </c>
      <c r="V547" s="62">
        <v>1086.5897</v>
      </c>
      <c r="W547" s="86">
        <v>0.53900000000000003</v>
      </c>
      <c r="X547" s="62">
        <v>1050.0214000000001</v>
      </c>
      <c r="Y547" s="86">
        <v>0.53900000000000003</v>
      </c>
      <c r="Z547" s="62">
        <v>1003.05566</v>
      </c>
    </row>
    <row r="548" spans="4:26">
      <c r="D548" s="86">
        <v>0.54</v>
      </c>
      <c r="E548" s="62">
        <v>-1000.3836700000001</v>
      </c>
      <c r="U548" s="86">
        <v>0.54</v>
      </c>
      <c r="V548" s="62">
        <v>1086.5597</v>
      </c>
      <c r="W548" s="86">
        <v>0.54</v>
      </c>
      <c r="X548" s="62">
        <v>1049.9644000000001</v>
      </c>
      <c r="Y548" s="86">
        <v>0.54</v>
      </c>
      <c r="Z548" s="62">
        <v>1002.98236</v>
      </c>
    </row>
    <row r="549" spans="4:26">
      <c r="D549" s="86">
        <v>0.54100000000000004</v>
      </c>
      <c r="E549" s="62">
        <v>-1000.4447</v>
      </c>
      <c r="U549" s="86">
        <v>0.54100000000000004</v>
      </c>
      <c r="V549" s="62">
        <v>1086.5293999999999</v>
      </c>
      <c r="W549" s="86">
        <v>0.54100000000000004</v>
      </c>
      <c r="X549" s="62">
        <v>1049.9072000000001</v>
      </c>
      <c r="Y549" s="86">
        <v>0.54100000000000004</v>
      </c>
      <c r="Z549" s="62">
        <v>1002.9092000000001</v>
      </c>
    </row>
    <row r="550" spans="4:26">
      <c r="D550" s="86">
        <v>0.54200000000000004</v>
      </c>
      <c r="E550" s="62">
        <v>-1000.4978</v>
      </c>
      <c r="U550" s="86">
        <v>0.54200000000000004</v>
      </c>
      <c r="V550" s="62">
        <v>1086.4989</v>
      </c>
      <c r="W550" s="86">
        <v>0.54200000000000004</v>
      </c>
      <c r="X550" s="62">
        <v>1049.8501000000001</v>
      </c>
      <c r="Y550" s="86">
        <v>0.54200000000000004</v>
      </c>
      <c r="Z550" s="62">
        <v>1002.83606</v>
      </c>
    </row>
    <row r="551" spans="4:26">
      <c r="D551" s="86">
        <v>0.54300000000000004</v>
      </c>
      <c r="E551" s="62">
        <v>-1000.5429</v>
      </c>
      <c r="U551" s="86">
        <v>0.54300000000000004</v>
      </c>
      <c r="V551" s="62">
        <v>1086.4683</v>
      </c>
      <c r="W551" s="86">
        <v>0.54300000000000004</v>
      </c>
      <c r="X551" s="62">
        <v>1049.7927999999999</v>
      </c>
      <c r="Y551" s="86">
        <v>0.54300000000000004</v>
      </c>
      <c r="Z551" s="62">
        <v>1002.76294</v>
      </c>
    </row>
    <row r="552" spans="4:26">
      <c r="D552" s="86">
        <v>0.54400000000000004</v>
      </c>
      <c r="E552" s="62">
        <v>-1000.57996</v>
      </c>
      <c r="U552" s="86">
        <v>0.54400000000000004</v>
      </c>
      <c r="V552" s="62">
        <v>1086.4375</v>
      </c>
      <c r="W552" s="86">
        <v>0.54400000000000004</v>
      </c>
      <c r="X552" s="62">
        <v>1049.7356</v>
      </c>
      <c r="Y552" s="86">
        <v>0.54400000000000004</v>
      </c>
      <c r="Z552" s="62">
        <v>1002.68994</v>
      </c>
    </row>
    <row r="553" spans="4:26">
      <c r="D553" s="86">
        <v>0.54500000000000004</v>
      </c>
      <c r="E553" s="62">
        <v>-1000.609</v>
      </c>
      <c r="U553" s="86">
        <v>0.54500000000000004</v>
      </c>
      <c r="V553" s="62">
        <v>1086.4065000000001</v>
      </c>
      <c r="W553" s="86">
        <v>0.54500000000000004</v>
      </c>
      <c r="X553" s="62">
        <v>1049.6782000000001</v>
      </c>
      <c r="Y553" s="86">
        <v>0.54500000000000004</v>
      </c>
      <c r="Z553" s="62">
        <v>1002.617</v>
      </c>
    </row>
    <row r="554" spans="4:26">
      <c r="D554" s="86">
        <v>0.54600000000000004</v>
      </c>
      <c r="E554" s="62">
        <v>-1000.6299</v>
      </c>
      <c r="U554" s="86">
        <v>0.54600000000000004</v>
      </c>
      <c r="V554" s="62">
        <v>1086.3751999999999</v>
      </c>
      <c r="W554" s="86">
        <v>0.54600000000000004</v>
      </c>
      <c r="X554" s="62">
        <v>1049.6207999999999</v>
      </c>
      <c r="Y554" s="86">
        <v>0.54600000000000004</v>
      </c>
      <c r="Z554" s="62">
        <v>1002.5441</v>
      </c>
    </row>
    <row r="555" spans="4:26">
      <c r="D555" s="86">
        <v>0.54700000000000004</v>
      </c>
      <c r="E555" s="62">
        <v>-1000.6427</v>
      </c>
      <c r="U555" s="86">
        <v>0.54700000000000004</v>
      </c>
      <c r="V555" s="62">
        <v>1086.3439000000001</v>
      </c>
      <c r="W555" s="86">
        <v>0.54700000000000004</v>
      </c>
      <c r="X555" s="62">
        <v>1049.5634</v>
      </c>
      <c r="Y555" s="86">
        <v>0.54700000000000004</v>
      </c>
      <c r="Z555" s="62">
        <v>1002.4713</v>
      </c>
    </row>
    <row r="556" spans="4:26">
      <c r="D556" s="86">
        <v>0.54800000000000004</v>
      </c>
      <c r="E556" s="62">
        <v>-1000.64734</v>
      </c>
      <c r="U556" s="86">
        <v>0.54800000000000004</v>
      </c>
      <c r="V556" s="62">
        <v>1086.3123000000001</v>
      </c>
      <c r="W556" s="86">
        <v>0.54800000000000004</v>
      </c>
      <c r="X556" s="62">
        <v>1049.5059000000001</v>
      </c>
      <c r="Y556" s="86">
        <v>0.54800000000000004</v>
      </c>
      <c r="Z556" s="62">
        <v>1002.39856</v>
      </c>
    </row>
    <row r="557" spans="4:26">
      <c r="D557" s="86">
        <v>0.54900000000000004</v>
      </c>
      <c r="E557" s="62">
        <v>-1000.64374</v>
      </c>
      <c r="U557" s="86">
        <v>0.54900000000000004</v>
      </c>
      <c r="V557" s="62">
        <v>1086.2805000000001</v>
      </c>
      <c r="W557" s="86">
        <v>0.54900000000000004</v>
      </c>
      <c r="X557" s="62">
        <v>1049.4482</v>
      </c>
      <c r="Y557" s="86">
        <v>0.54900000000000004</v>
      </c>
      <c r="Z557" s="62">
        <v>1002.32587</v>
      </c>
    </row>
    <row r="558" spans="4:26">
      <c r="D558" s="86">
        <v>0.55000000000000004</v>
      </c>
      <c r="E558" s="62">
        <v>-1000.6319</v>
      </c>
      <c r="U558" s="86">
        <v>0.55000000000000004</v>
      </c>
      <c r="V558" s="62">
        <v>1086.2484999999999</v>
      </c>
      <c r="W558" s="86">
        <v>0.55000000000000004</v>
      </c>
      <c r="X558" s="62">
        <v>1049.3905999999999</v>
      </c>
      <c r="Y558" s="86">
        <v>0.55000000000000004</v>
      </c>
      <c r="Z558" s="62">
        <v>1002.25323</v>
      </c>
    </row>
    <row r="559" spans="4:26">
      <c r="D559" s="86">
        <v>0.55100000000000005</v>
      </c>
      <c r="E559" s="62">
        <v>-1000.6118</v>
      </c>
      <c r="U559" s="86">
        <v>0.55100000000000005</v>
      </c>
      <c r="V559" s="62">
        <v>1086.2164</v>
      </c>
      <c r="W559" s="86">
        <v>0.55100000000000005</v>
      </c>
      <c r="X559" s="62">
        <v>1049.3329000000001</v>
      </c>
      <c r="Y559" s="86">
        <v>0.55100000000000005</v>
      </c>
      <c r="Z559" s="62">
        <v>1002.1807</v>
      </c>
    </row>
    <row r="560" spans="4:26">
      <c r="D560" s="86">
        <v>0.55200000000000005</v>
      </c>
      <c r="E560" s="62">
        <v>-1000.58344</v>
      </c>
      <c r="U560" s="86">
        <v>0.55200000000000005</v>
      </c>
      <c r="V560" s="62">
        <v>1086.1841999999999</v>
      </c>
      <c r="W560" s="86">
        <v>0.55200000000000005</v>
      </c>
      <c r="X560" s="62">
        <v>1049.2751000000001</v>
      </c>
      <c r="Y560" s="86">
        <v>0.55200000000000005</v>
      </c>
      <c r="Z560" s="62">
        <v>1002.1082</v>
      </c>
    </row>
    <row r="561" spans="4:26">
      <c r="D561" s="86">
        <v>0.55300000000000005</v>
      </c>
      <c r="E561" s="62">
        <v>-1000.5467</v>
      </c>
      <c r="U561" s="86">
        <v>0.55300000000000005</v>
      </c>
      <c r="V561" s="62">
        <v>1086.1516999999999</v>
      </c>
      <c r="W561" s="86">
        <v>0.55300000000000005</v>
      </c>
      <c r="X561" s="62">
        <v>1049.2173</v>
      </c>
      <c r="Y561" s="86">
        <v>0.55300000000000005</v>
      </c>
      <c r="Z561" s="62">
        <v>1002.03577</v>
      </c>
    </row>
    <row r="562" spans="4:26">
      <c r="D562" s="86">
        <v>0.55400000000000005</v>
      </c>
      <c r="E562" s="62">
        <v>-1000.5016000000001</v>
      </c>
      <c r="U562" s="86">
        <v>0.55400000000000005</v>
      </c>
      <c r="V562" s="62">
        <v>1086.1189999999999</v>
      </c>
      <c r="W562" s="86">
        <v>0.55400000000000005</v>
      </c>
      <c r="X562" s="62">
        <v>1049.1594</v>
      </c>
      <c r="Y562" s="86">
        <v>0.55400000000000005</v>
      </c>
      <c r="Z562" s="62">
        <v>1001.96344</v>
      </c>
    </row>
    <row r="563" spans="4:26">
      <c r="D563" s="86">
        <v>0.55500000000000005</v>
      </c>
      <c r="E563" s="62">
        <v>-1000.4480600000001</v>
      </c>
      <c r="U563" s="86">
        <v>0.55500000000000005</v>
      </c>
      <c r="V563" s="62">
        <v>1086.0862</v>
      </c>
      <c r="W563" s="86">
        <v>0.55500000000000005</v>
      </c>
      <c r="X563" s="62">
        <v>1049.1014</v>
      </c>
      <c r="Y563" s="86">
        <v>0.55500000000000005</v>
      </c>
      <c r="Z563" s="62">
        <v>1001.8911000000001</v>
      </c>
    </row>
    <row r="564" spans="4:26">
      <c r="D564" s="86">
        <v>0.55600000000000005</v>
      </c>
      <c r="E564" s="62">
        <v>-1000.38605</v>
      </c>
      <c r="U564" s="86">
        <v>0.55600000000000005</v>
      </c>
      <c r="V564" s="62">
        <v>1086.0532000000001</v>
      </c>
      <c r="W564" s="86">
        <v>0.55600000000000005</v>
      </c>
      <c r="X564" s="62">
        <v>1049.0435</v>
      </c>
      <c r="Y564" s="86">
        <v>0.55600000000000005</v>
      </c>
      <c r="Z564" s="62">
        <v>1001.8189</v>
      </c>
    </row>
    <row r="565" spans="4:26">
      <c r="D565" s="86">
        <v>0.55700000000000005</v>
      </c>
      <c r="E565" s="62">
        <v>-1000.3156</v>
      </c>
      <c r="U565" s="86">
        <v>0.55700000000000005</v>
      </c>
      <c r="V565" s="62">
        <v>1086.02</v>
      </c>
      <c r="W565" s="86">
        <v>0.55700000000000005</v>
      </c>
      <c r="X565" s="62">
        <v>1048.9855</v>
      </c>
      <c r="Y565" s="86">
        <v>0.55700000000000005</v>
      </c>
      <c r="Z565" s="62">
        <v>1001.7467</v>
      </c>
    </row>
    <row r="566" spans="4:26">
      <c r="D566" s="86">
        <v>0.55800000000000005</v>
      </c>
      <c r="E566" s="62">
        <v>-1000.23663</v>
      </c>
      <c r="U566" s="86">
        <v>0.55800000000000005</v>
      </c>
      <c r="V566" s="62">
        <v>1085.9866999999999</v>
      </c>
      <c r="W566" s="86">
        <v>0.55800000000000005</v>
      </c>
      <c r="X566" s="62">
        <v>1048.9274</v>
      </c>
      <c r="Y566" s="86">
        <v>0.55800000000000005</v>
      </c>
      <c r="Z566" s="62">
        <v>1001.6746000000001</v>
      </c>
    </row>
    <row r="567" spans="4:26">
      <c r="D567" s="86">
        <v>0.55900000000000005</v>
      </c>
      <c r="E567" s="62">
        <v>-1000.14905</v>
      </c>
      <c r="U567" s="86">
        <v>0.55900000000000005</v>
      </c>
      <c r="V567" s="62">
        <v>1085.9530999999999</v>
      </c>
      <c r="W567" s="86">
        <v>0.55900000000000005</v>
      </c>
      <c r="X567" s="62">
        <v>1048.8690999999999</v>
      </c>
      <c r="Y567" s="86">
        <v>0.55900000000000005</v>
      </c>
      <c r="Z567" s="62">
        <v>1001.60254</v>
      </c>
    </row>
    <row r="568" spans="4:26">
      <c r="D568" s="86">
        <v>0.56000000000000005</v>
      </c>
      <c r="E568" s="62">
        <v>-1000.0529</v>
      </c>
      <c r="U568" s="86">
        <v>0.56000000000000005</v>
      </c>
      <c r="V568" s="62">
        <v>1085.9194</v>
      </c>
      <c r="W568" s="86">
        <v>0.56000000000000005</v>
      </c>
      <c r="X568" s="62">
        <v>1048.8108999999999</v>
      </c>
      <c r="Y568" s="86">
        <v>0.56000000000000005</v>
      </c>
      <c r="Z568" s="62">
        <v>1001.5306</v>
      </c>
    </row>
    <row r="569" spans="4:26">
      <c r="D569" s="86">
        <v>0.56100000000000005</v>
      </c>
      <c r="E569" s="61">
        <v>-999.94820000000004</v>
      </c>
      <c r="U569" s="86">
        <v>0.56100000000000005</v>
      </c>
      <c r="V569" s="62">
        <v>1085.8855000000001</v>
      </c>
      <c r="W569" s="86">
        <v>0.56100000000000005</v>
      </c>
      <c r="X569" s="62">
        <v>1048.7526</v>
      </c>
      <c r="Y569" s="86">
        <v>0.56100000000000005</v>
      </c>
      <c r="Z569" s="62">
        <v>1001.4587</v>
      </c>
    </row>
    <row r="570" spans="4:26">
      <c r="D570" s="86">
        <v>0.56200000000000006</v>
      </c>
      <c r="E570" s="61">
        <v>-999.8347</v>
      </c>
      <c r="U570" s="86">
        <v>0.56200000000000006</v>
      </c>
      <c r="V570" s="62">
        <v>1085.8514</v>
      </c>
      <c r="W570" s="86">
        <v>0.56200000000000006</v>
      </c>
      <c r="X570" s="62">
        <v>1048.6943000000001</v>
      </c>
      <c r="Y570" s="86">
        <v>0.56200000000000006</v>
      </c>
      <c r="Z570" s="62">
        <v>1001.38684</v>
      </c>
    </row>
    <row r="571" spans="4:26">
      <c r="D571" s="86">
        <v>0.56299999999999994</v>
      </c>
      <c r="E571" s="61">
        <v>-999.71259999999995</v>
      </c>
      <c r="U571" s="86">
        <v>0.56299999999999994</v>
      </c>
      <c r="V571" s="62">
        <v>1085.8172999999999</v>
      </c>
      <c r="W571" s="86">
        <v>0.56299999999999994</v>
      </c>
      <c r="X571" s="62">
        <v>1048.6359</v>
      </c>
      <c r="Y571" s="86">
        <v>0.56299999999999994</v>
      </c>
      <c r="Z571" s="62">
        <v>1001.31506</v>
      </c>
    </row>
    <row r="572" spans="4:26">
      <c r="D572" s="86">
        <v>0.56399999999999995</v>
      </c>
      <c r="E572" s="61">
        <v>-999.58169999999996</v>
      </c>
      <c r="U572" s="86">
        <v>0.56399999999999995</v>
      </c>
      <c r="V572" s="62">
        <v>1085.7828</v>
      </c>
      <c r="W572" s="86">
        <v>0.56399999999999995</v>
      </c>
      <c r="X572" s="62">
        <v>1048.5773999999999</v>
      </c>
      <c r="Y572" s="86">
        <v>0.56399999999999995</v>
      </c>
      <c r="Z572" s="62">
        <v>1001.24335</v>
      </c>
    </row>
    <row r="573" spans="4:26">
      <c r="D573" s="86">
        <v>0.56499999999999995</v>
      </c>
      <c r="E573" s="61">
        <v>-999.44209999999998</v>
      </c>
      <c r="U573" s="86">
        <v>0.56499999999999995</v>
      </c>
      <c r="V573" s="62">
        <v>1085.7483</v>
      </c>
      <c r="W573" s="86">
        <v>0.56499999999999995</v>
      </c>
      <c r="X573" s="62">
        <v>1048.5189</v>
      </c>
      <c r="Y573" s="86">
        <v>0.56499999999999995</v>
      </c>
      <c r="Z573" s="62">
        <v>1001.1717</v>
      </c>
    </row>
    <row r="574" spans="4:26">
      <c r="D574" s="86">
        <v>0.56599999999999995</v>
      </c>
      <c r="E574" s="61">
        <v>-999.29359999999997</v>
      </c>
      <c r="U574" s="86">
        <v>0.56599999999999995</v>
      </c>
      <c r="V574" s="62">
        <v>1085.7136</v>
      </c>
      <c r="W574" s="86">
        <v>0.56599999999999995</v>
      </c>
      <c r="X574" s="62">
        <v>1048.4603999999999</v>
      </c>
      <c r="Y574" s="86">
        <v>0.56599999999999995</v>
      </c>
      <c r="Z574" s="62">
        <v>1001.1001</v>
      </c>
    </row>
    <row r="575" spans="4:26">
      <c r="D575" s="86">
        <v>0.56699999999999995</v>
      </c>
      <c r="E575" s="61">
        <v>-999.13620000000003</v>
      </c>
      <c r="U575" s="86">
        <v>0.56699999999999995</v>
      </c>
      <c r="V575" s="62">
        <v>1085.6786999999999</v>
      </c>
      <c r="W575" s="86">
        <v>0.56699999999999995</v>
      </c>
      <c r="X575" s="62">
        <v>1048.4016999999999</v>
      </c>
      <c r="Y575" s="86">
        <v>0.56699999999999995</v>
      </c>
      <c r="Z575" s="62">
        <v>1001.02856</v>
      </c>
    </row>
    <row r="576" spans="4:26">
      <c r="D576" s="86">
        <v>0.56799999999999995</v>
      </c>
      <c r="E576" s="61">
        <v>-998.97002999999995</v>
      </c>
      <c r="U576" s="86">
        <v>0.56799999999999995</v>
      </c>
      <c r="V576" s="62">
        <v>1085.6437000000001</v>
      </c>
      <c r="W576" s="86">
        <v>0.56799999999999995</v>
      </c>
      <c r="X576" s="62">
        <v>1048.3431</v>
      </c>
      <c r="Y576" s="86">
        <v>0.56799999999999995</v>
      </c>
      <c r="Z576" s="62">
        <v>1000.95715</v>
      </c>
    </row>
    <row r="577" spans="4:26">
      <c r="D577" s="86">
        <v>0.56899999999999995</v>
      </c>
      <c r="E577" s="61">
        <v>-998.79489999999998</v>
      </c>
      <c r="U577" s="86">
        <v>0.56899999999999995</v>
      </c>
      <c r="V577" s="62">
        <v>1085.6084000000001</v>
      </c>
      <c r="W577" s="86">
        <v>0.56899999999999995</v>
      </c>
      <c r="X577" s="62">
        <v>1048.2844</v>
      </c>
      <c r="Y577" s="86">
        <v>0.56899999999999995</v>
      </c>
      <c r="Z577" s="62">
        <v>1000.8857400000001</v>
      </c>
    </row>
    <row r="578" spans="4:26">
      <c r="D578" s="86">
        <v>0.56999999999999995</v>
      </c>
      <c r="E578" s="61">
        <v>-998.61084000000005</v>
      </c>
      <c r="U578" s="86">
        <v>0.56999999999999995</v>
      </c>
      <c r="V578" s="62">
        <v>1085.5730000000001</v>
      </c>
      <c r="W578" s="86">
        <v>0.56999999999999995</v>
      </c>
      <c r="X578" s="62">
        <v>1048.2257</v>
      </c>
      <c r="Y578" s="86">
        <v>0.56999999999999995</v>
      </c>
      <c r="Z578" s="62">
        <v>1000.8144</v>
      </c>
    </row>
    <row r="579" spans="4:26">
      <c r="D579" s="86">
        <v>0.57099999999999995</v>
      </c>
      <c r="E579" s="61">
        <v>-998.41769999999997</v>
      </c>
      <c r="U579" s="86">
        <v>0.57099999999999995</v>
      </c>
      <c r="V579" s="62">
        <v>1085.5374999999999</v>
      </c>
      <c r="W579" s="86">
        <v>0.57099999999999995</v>
      </c>
      <c r="X579" s="62">
        <v>1048.1668999999999</v>
      </c>
      <c r="Y579" s="86">
        <v>0.57099999999999995</v>
      </c>
      <c r="Z579" s="62">
        <v>1000.74316</v>
      </c>
    </row>
    <row r="580" spans="4:26">
      <c r="D580" s="86">
        <v>0.57199999999999995</v>
      </c>
      <c r="E580" s="61">
        <v>-998.21564000000001</v>
      </c>
      <c r="U580" s="86">
        <v>0.57199999999999995</v>
      </c>
      <c r="V580" s="62">
        <v>1085.5018</v>
      </c>
      <c r="W580" s="86">
        <v>0.57199999999999995</v>
      </c>
      <c r="X580" s="62">
        <v>1048.1079999999999</v>
      </c>
      <c r="Y580" s="86">
        <v>0.57199999999999995</v>
      </c>
      <c r="Z580" s="62">
        <v>1000.672</v>
      </c>
    </row>
    <row r="581" spans="4:26">
      <c r="D581" s="86">
        <v>0.57299999999999995</v>
      </c>
      <c r="E581" s="61">
        <v>-998.00445999999999</v>
      </c>
      <c r="U581" s="86">
        <v>0.57299999999999995</v>
      </c>
      <c r="V581" s="62">
        <v>1085.4659999999999</v>
      </c>
      <c r="W581" s="86">
        <v>0.57299999999999995</v>
      </c>
      <c r="X581" s="62">
        <v>1048.0491</v>
      </c>
      <c r="Y581" s="86">
        <v>0.57299999999999995</v>
      </c>
      <c r="Z581" s="62">
        <v>1000.6008</v>
      </c>
    </row>
    <row r="582" spans="4:26">
      <c r="D582" s="86">
        <v>0.57399999999999995</v>
      </c>
      <c r="E582" s="61">
        <v>-997.78420000000006</v>
      </c>
      <c r="U582" s="86">
        <v>0.57399999999999995</v>
      </c>
      <c r="V582" s="62">
        <v>1085.4297999999999</v>
      </c>
      <c r="W582" s="86">
        <v>0.57399999999999995</v>
      </c>
      <c r="X582" s="62">
        <v>1047.9901</v>
      </c>
      <c r="Y582" s="86">
        <v>0.57399999999999995</v>
      </c>
      <c r="Z582" s="62">
        <v>1000.5298</v>
      </c>
    </row>
    <row r="583" spans="4:26">
      <c r="D583" s="86">
        <v>0.57499999999999996</v>
      </c>
      <c r="E583" s="61">
        <v>-997.55470000000003</v>
      </c>
      <c r="U583" s="86">
        <v>0.57499999999999996</v>
      </c>
      <c r="V583" s="62">
        <v>1085.3937000000001</v>
      </c>
      <c r="W583" s="86">
        <v>0.57499999999999996</v>
      </c>
      <c r="X583" s="62">
        <v>1047.9312</v>
      </c>
      <c r="Y583" s="86">
        <v>0.57499999999999996</v>
      </c>
      <c r="Z583" s="62">
        <v>1000.4588</v>
      </c>
    </row>
    <row r="584" spans="4:26">
      <c r="D584" s="86">
        <v>0.57599999999999996</v>
      </c>
      <c r="E584" s="61">
        <v>-997.31610000000001</v>
      </c>
      <c r="U584" s="86">
        <v>0.57599999999999996</v>
      </c>
      <c r="V584" s="62">
        <v>1085.3572999999999</v>
      </c>
      <c r="W584" s="86">
        <v>0.57599999999999996</v>
      </c>
      <c r="X584" s="62">
        <v>1047.8721</v>
      </c>
      <c r="Y584" s="86">
        <v>0.57599999999999996</v>
      </c>
      <c r="Z584" s="62">
        <v>1000.3878999999999</v>
      </c>
    </row>
    <row r="585" spans="4:26">
      <c r="D585" s="86">
        <v>0.57699999999999996</v>
      </c>
      <c r="E585" s="61">
        <v>-997.06823999999995</v>
      </c>
      <c r="U585" s="86">
        <v>0.57699999999999996</v>
      </c>
      <c r="V585" s="62">
        <v>1085.3208</v>
      </c>
      <c r="W585" s="86">
        <v>0.57699999999999996</v>
      </c>
      <c r="X585" s="62">
        <v>1047.8130000000001</v>
      </c>
      <c r="Y585" s="86">
        <v>0.57699999999999996</v>
      </c>
      <c r="Z585" s="62">
        <v>1000.317</v>
      </c>
    </row>
    <row r="586" spans="4:26">
      <c r="D586" s="86">
        <v>0.57799999999999996</v>
      </c>
      <c r="E586" s="61">
        <v>-996.81115999999997</v>
      </c>
      <c r="U586" s="86">
        <v>0.57799999999999996</v>
      </c>
      <c r="V586" s="62">
        <v>1085.2840000000001</v>
      </c>
      <c r="W586" s="86">
        <v>0.57799999999999996</v>
      </c>
      <c r="X586" s="62">
        <v>1047.7538999999999</v>
      </c>
      <c r="Y586" s="86">
        <v>0.57799999999999996</v>
      </c>
      <c r="Z586" s="62">
        <v>1000.2462</v>
      </c>
    </row>
    <row r="587" spans="4:26">
      <c r="D587" s="86">
        <v>0.57899999999999996</v>
      </c>
      <c r="E587" s="61">
        <v>-996.54474000000005</v>
      </c>
      <c r="U587" s="86">
        <v>0.57899999999999996</v>
      </c>
      <c r="V587" s="62">
        <v>1085.2473</v>
      </c>
      <c r="W587" s="86">
        <v>0.57899999999999996</v>
      </c>
      <c r="X587" s="62">
        <v>1047.6947</v>
      </c>
      <c r="Y587" s="86">
        <v>0.57899999999999996</v>
      </c>
      <c r="Z587" s="62">
        <v>1000.1755000000001</v>
      </c>
    </row>
    <row r="588" spans="4:26">
      <c r="D588" s="86">
        <v>0.57999999999999996</v>
      </c>
      <c r="E588" s="61">
        <v>-996.26904000000002</v>
      </c>
      <c r="U588" s="86">
        <v>0.57999999999999996</v>
      </c>
      <c r="V588" s="62">
        <v>1085.2103</v>
      </c>
      <c r="W588" s="86">
        <v>0.57999999999999996</v>
      </c>
      <c r="X588" s="62">
        <v>1047.6355000000001</v>
      </c>
      <c r="Y588" s="86">
        <v>0.57999999999999996</v>
      </c>
      <c r="Z588" s="62">
        <v>1000.1048</v>
      </c>
    </row>
    <row r="589" spans="4:26">
      <c r="D589" s="86">
        <v>0.58099999999999996</v>
      </c>
      <c r="E589" s="61">
        <v>-995.98395000000005</v>
      </c>
      <c r="U589" s="86">
        <v>0.58099999999999996</v>
      </c>
      <c r="V589" s="62">
        <v>1085.1731</v>
      </c>
      <c r="W589" s="86">
        <v>0.58099999999999996</v>
      </c>
      <c r="X589" s="62">
        <v>1047.5762</v>
      </c>
      <c r="Y589" s="86">
        <v>0.58099999999999996</v>
      </c>
      <c r="Z589" s="62">
        <v>1000.0342000000001</v>
      </c>
    </row>
    <row r="590" spans="4:26">
      <c r="D590" s="86">
        <v>0.58199999999999996</v>
      </c>
      <c r="E590" s="61">
        <v>-995.68944999999997</v>
      </c>
      <c r="U590" s="86">
        <v>0.58199999999999996</v>
      </c>
      <c r="V590" s="62">
        <v>1085.1359</v>
      </c>
      <c r="W590" s="86">
        <v>0.58199999999999996</v>
      </c>
      <c r="X590" s="62">
        <v>1047.5168000000001</v>
      </c>
      <c r="Y590" s="86">
        <v>0.58199999999999996</v>
      </c>
      <c r="Z590" s="62">
        <v>999.96370000000002</v>
      </c>
    </row>
    <row r="591" spans="4:26">
      <c r="D591" s="86">
        <v>0.58299999999999996</v>
      </c>
      <c r="E591" s="61">
        <v>-995.38549999999998</v>
      </c>
      <c r="U591" s="86">
        <v>0.58299999999999996</v>
      </c>
      <c r="V591" s="62">
        <v>1085.0984000000001</v>
      </c>
      <c r="W591" s="86">
        <v>0.58299999999999996</v>
      </c>
      <c r="X591" s="62">
        <v>1047.4575</v>
      </c>
      <c r="Y591" s="86">
        <v>0.58299999999999996</v>
      </c>
      <c r="Z591" s="62">
        <v>999.89319999999998</v>
      </c>
    </row>
    <row r="592" spans="4:26">
      <c r="D592" s="86">
        <v>0.58399999999999996</v>
      </c>
      <c r="E592" s="61">
        <v>-995.07209999999998</v>
      </c>
      <c r="U592" s="86">
        <v>0.58399999999999996</v>
      </c>
      <c r="V592" s="62">
        <v>1085.0608</v>
      </c>
      <c r="W592" s="86">
        <v>0.58399999999999996</v>
      </c>
      <c r="X592" s="62">
        <v>1047.3981000000001</v>
      </c>
      <c r="Y592" s="86">
        <v>0.58399999999999996</v>
      </c>
      <c r="Z592" s="62">
        <v>999.82275000000004</v>
      </c>
    </row>
    <row r="593" spans="4:26">
      <c r="D593" s="86">
        <v>0.58499999999999996</v>
      </c>
      <c r="E593" s="61">
        <v>-994.74914999999999</v>
      </c>
      <c r="U593" s="86">
        <v>0.58499999999999996</v>
      </c>
      <c r="V593" s="62">
        <v>1085.0231000000001</v>
      </c>
      <c r="W593" s="86">
        <v>0.58499999999999996</v>
      </c>
      <c r="X593" s="62">
        <v>1047.3386</v>
      </c>
      <c r="Y593" s="86">
        <v>0.58499999999999996</v>
      </c>
      <c r="Z593" s="62">
        <v>999.75243999999998</v>
      </c>
    </row>
    <row r="594" spans="4:26">
      <c r="D594" s="86">
        <v>0.58599999999999997</v>
      </c>
      <c r="E594" s="61">
        <v>-994.41660000000002</v>
      </c>
      <c r="U594" s="86">
        <v>0.58599999999999997</v>
      </c>
      <c r="V594" s="62">
        <v>1084.9851000000001</v>
      </c>
      <c r="W594" s="86">
        <v>0.58599999999999997</v>
      </c>
      <c r="X594" s="62">
        <v>1047.2791999999999</v>
      </c>
      <c r="Y594" s="86">
        <v>0.58599999999999997</v>
      </c>
      <c r="Z594" s="62">
        <v>999.68219999999997</v>
      </c>
    </row>
    <row r="595" spans="4:26">
      <c r="D595" s="86">
        <v>0.58699999999999997</v>
      </c>
      <c r="E595" s="61">
        <v>-994.07449999999994</v>
      </c>
      <c r="U595" s="86">
        <v>0.58699999999999997</v>
      </c>
      <c r="V595" s="62">
        <v>1084.9469999999999</v>
      </c>
      <c r="W595" s="86">
        <v>0.58699999999999997</v>
      </c>
      <c r="X595" s="62">
        <v>1047.2195999999999</v>
      </c>
      <c r="Y595" s="86">
        <v>0.58699999999999997</v>
      </c>
      <c r="Z595" s="62">
        <v>999.61194</v>
      </c>
    </row>
    <row r="596" spans="4:26">
      <c r="D596" s="86">
        <v>0.58799999999999997</v>
      </c>
      <c r="E596" s="61">
        <v>-993.72284000000002</v>
      </c>
      <c r="U596" s="86">
        <v>0.58799999999999997</v>
      </c>
      <c r="V596" s="62">
        <v>1084.9087999999999</v>
      </c>
      <c r="W596" s="86">
        <v>0.58799999999999997</v>
      </c>
      <c r="X596" s="62">
        <v>1047.1600000000001</v>
      </c>
      <c r="Y596" s="86">
        <v>0.58799999999999997</v>
      </c>
      <c r="Z596" s="62">
        <v>999.54179999999997</v>
      </c>
    </row>
    <row r="597" spans="4:26">
      <c r="D597" s="86">
        <v>0.58899999999999997</v>
      </c>
      <c r="E597" s="61">
        <v>-993.36144999999999</v>
      </c>
      <c r="U597" s="86">
        <v>0.58899999999999997</v>
      </c>
      <c r="V597" s="62">
        <v>1084.8705</v>
      </c>
      <c r="W597" s="86">
        <v>0.58899999999999997</v>
      </c>
      <c r="X597" s="62">
        <v>1047.1005</v>
      </c>
      <c r="Y597" s="86">
        <v>0.58899999999999997</v>
      </c>
      <c r="Z597" s="62">
        <v>999.47173999999995</v>
      </c>
    </row>
    <row r="598" spans="4:26">
      <c r="D598" s="86">
        <v>0.59</v>
      </c>
      <c r="E598" s="61">
        <v>-992.99036000000001</v>
      </c>
      <c r="U598" s="86">
        <v>0.59</v>
      </c>
      <c r="V598" s="62">
        <v>1084.8320000000001</v>
      </c>
      <c r="W598" s="86">
        <v>0.59</v>
      </c>
      <c r="X598" s="62">
        <v>1047.0408</v>
      </c>
      <c r="Y598" s="86">
        <v>0.59</v>
      </c>
      <c r="Z598" s="62">
        <v>999.40173000000004</v>
      </c>
    </row>
    <row r="599" spans="4:26">
      <c r="D599" s="86">
        <v>0.59099999999999997</v>
      </c>
      <c r="E599" s="61">
        <v>-992.60955999999999</v>
      </c>
      <c r="U599" s="86">
        <v>0.59099999999999997</v>
      </c>
      <c r="V599" s="62">
        <v>1084.7933</v>
      </c>
      <c r="W599" s="86">
        <v>0.59099999999999997</v>
      </c>
      <c r="X599" s="62">
        <v>1046.9811</v>
      </c>
      <c r="Y599" s="86">
        <v>0.59099999999999997</v>
      </c>
      <c r="Z599" s="62">
        <v>999.33180000000004</v>
      </c>
    </row>
    <row r="600" spans="4:26">
      <c r="D600" s="86">
        <v>0.59199999999999997</v>
      </c>
      <c r="E600" s="61">
        <v>-992.21893</v>
      </c>
      <c r="U600" s="86">
        <v>0.59199999999999997</v>
      </c>
      <c r="V600" s="62">
        <v>1084.7545</v>
      </c>
      <c r="W600" s="86">
        <v>0.59199999999999997</v>
      </c>
      <c r="X600" s="62">
        <v>1046.9213999999999</v>
      </c>
      <c r="Y600" s="86">
        <v>0.59199999999999997</v>
      </c>
      <c r="Z600" s="62">
        <v>999.26189999999997</v>
      </c>
    </row>
    <row r="601" spans="4:26">
      <c r="D601" s="86">
        <v>0.59299999999999997</v>
      </c>
      <c r="E601" s="61">
        <v>-991.81849999999997</v>
      </c>
      <c r="U601" s="86">
        <v>0.59299999999999997</v>
      </c>
      <c r="V601" s="62">
        <v>1084.7156</v>
      </c>
      <c r="W601" s="86">
        <v>0.59299999999999997</v>
      </c>
      <c r="X601" s="62">
        <v>1046.8616</v>
      </c>
      <c r="Y601" s="86">
        <v>0.59299999999999997</v>
      </c>
      <c r="Z601" s="62">
        <v>999.19213999999999</v>
      </c>
    </row>
    <row r="602" spans="4:26">
      <c r="D602" s="86">
        <v>0.59399999999999997</v>
      </c>
      <c r="E602" s="61">
        <v>-991.40819999999997</v>
      </c>
      <c r="U602" s="86">
        <v>0.59399999999999997</v>
      </c>
      <c r="V602" s="62">
        <v>1084.6765</v>
      </c>
      <c r="W602" s="86">
        <v>0.59399999999999997</v>
      </c>
      <c r="X602" s="62">
        <v>1046.8018</v>
      </c>
      <c r="Y602" s="86">
        <v>0.59399999999999997</v>
      </c>
      <c r="Z602" s="62">
        <v>999.12239999999997</v>
      </c>
    </row>
    <row r="603" spans="4:26">
      <c r="D603" s="86">
        <v>0.59499999999999997</v>
      </c>
      <c r="E603" s="61">
        <v>-990.98803999999996</v>
      </c>
      <c r="U603" s="86">
        <v>0.59499999999999997</v>
      </c>
      <c r="V603" s="62">
        <v>1084.6371999999999</v>
      </c>
      <c r="W603" s="86">
        <v>0.59499999999999997</v>
      </c>
      <c r="X603" s="62">
        <v>1046.742</v>
      </c>
      <c r="Y603" s="86">
        <v>0.59499999999999997</v>
      </c>
      <c r="Z603" s="62">
        <v>999.05269999999996</v>
      </c>
    </row>
    <row r="604" spans="4:26">
      <c r="D604" s="86">
        <v>0.59599999999999997</v>
      </c>
      <c r="E604" s="61">
        <v>-990.55790000000002</v>
      </c>
      <c r="U604" s="86">
        <v>0.59599999999999997</v>
      </c>
      <c r="V604" s="62">
        <v>1084.5979</v>
      </c>
      <c r="W604" s="86">
        <v>0.59599999999999997</v>
      </c>
      <c r="X604" s="62">
        <v>1046.682</v>
      </c>
      <c r="Y604" s="86">
        <v>0.59599999999999997</v>
      </c>
      <c r="Z604" s="62">
        <v>998.98310000000004</v>
      </c>
    </row>
    <row r="605" spans="4:26">
      <c r="D605" s="86">
        <v>0.59699999999999998</v>
      </c>
      <c r="E605" s="61">
        <v>-990.11785999999995</v>
      </c>
      <c r="U605" s="86">
        <v>0.59699999999999998</v>
      </c>
      <c r="V605" s="62">
        <v>1084.5582999999999</v>
      </c>
      <c r="W605" s="86">
        <v>0.59699999999999998</v>
      </c>
      <c r="X605" s="62">
        <v>1046.6221</v>
      </c>
      <c r="Y605" s="86">
        <v>0.59699999999999998</v>
      </c>
      <c r="Z605" s="62">
        <v>998.9135</v>
      </c>
    </row>
    <row r="606" spans="4:26">
      <c r="D606" s="86">
        <v>0.59799999999999998</v>
      </c>
      <c r="E606" s="61">
        <v>-989.66780000000006</v>
      </c>
      <c r="U606" s="86">
        <v>0.59799999999999998</v>
      </c>
      <c r="V606" s="62">
        <v>1084.5187000000001</v>
      </c>
      <c r="W606" s="86">
        <v>0.59799999999999998</v>
      </c>
      <c r="X606" s="62">
        <v>1046.5621000000001</v>
      </c>
      <c r="Y606" s="86">
        <v>0.59799999999999998</v>
      </c>
      <c r="Z606" s="62">
        <v>998.84406000000001</v>
      </c>
    </row>
    <row r="607" spans="4:26">
      <c r="D607" s="86">
        <v>0.59899999999999998</v>
      </c>
      <c r="E607" s="61">
        <v>-989.20763999999997</v>
      </c>
      <c r="U607" s="86">
        <v>0.59899999999999998</v>
      </c>
      <c r="V607" s="62">
        <v>1084.4788000000001</v>
      </c>
      <c r="W607" s="86">
        <v>0.59899999999999998</v>
      </c>
      <c r="X607" s="62">
        <v>1046.5021999999999</v>
      </c>
      <c r="Y607" s="86">
        <v>0.59899999999999998</v>
      </c>
      <c r="Z607" s="62">
        <v>998.77466000000004</v>
      </c>
    </row>
    <row r="608" spans="4:26">
      <c r="D608" s="86">
        <v>0.6</v>
      </c>
      <c r="E608" s="61">
        <v>-988.73749999999995</v>
      </c>
      <c r="U608" s="86">
        <v>0.6</v>
      </c>
      <c r="V608" s="62">
        <v>1084.4387999999999</v>
      </c>
      <c r="W608" s="86">
        <v>0.6</v>
      </c>
      <c r="X608" s="62">
        <v>1046.4421</v>
      </c>
      <c r="Y608" s="86">
        <v>0.6</v>
      </c>
      <c r="Z608" s="62">
        <v>998.70529999999997</v>
      </c>
    </row>
    <row r="609" spans="4:26">
      <c r="D609" s="86">
        <v>0.60099999999999998</v>
      </c>
      <c r="E609" s="61">
        <v>-988.25714000000005</v>
      </c>
      <c r="U609" s="86">
        <v>0.60099999999999998</v>
      </c>
      <c r="V609" s="62">
        <v>1084.3987999999999</v>
      </c>
      <c r="W609" s="86">
        <v>0.60099999999999998</v>
      </c>
      <c r="X609" s="62">
        <v>1046.3821</v>
      </c>
      <c r="Y609" s="86">
        <v>0.60099999999999998</v>
      </c>
      <c r="Z609" s="62">
        <v>998.63599999999997</v>
      </c>
    </row>
    <row r="610" spans="4:26">
      <c r="D610" s="86">
        <v>0.60199999999999998</v>
      </c>
      <c r="E610" s="61">
        <v>-987.76670000000001</v>
      </c>
      <c r="U610" s="86">
        <v>0.60199999999999998</v>
      </c>
      <c r="V610" s="62">
        <v>1084.3585</v>
      </c>
      <c r="W610" s="86">
        <v>0.60199999999999998</v>
      </c>
      <c r="X610" s="62">
        <v>1046.3218999999999</v>
      </c>
      <c r="Y610" s="86">
        <v>0.60199999999999998</v>
      </c>
      <c r="Z610" s="62">
        <v>998.56679999999994</v>
      </c>
    </row>
    <row r="611" spans="4:26">
      <c r="D611" s="86">
        <v>0.60299999999999998</v>
      </c>
      <c r="E611" s="61">
        <v>-987.26604999999995</v>
      </c>
      <c r="U611" s="86">
        <v>0.60299999999999998</v>
      </c>
      <c r="V611" s="62">
        <v>1084.3181</v>
      </c>
      <c r="W611" s="86">
        <v>0.60299999999999998</v>
      </c>
      <c r="X611" s="62">
        <v>1046.2618</v>
      </c>
      <c r="Y611" s="86">
        <v>0.60299999999999998</v>
      </c>
      <c r="Z611" s="62">
        <v>998.49770000000001</v>
      </c>
    </row>
    <row r="612" spans="4:26">
      <c r="D612" s="86">
        <v>0.60399999999999998</v>
      </c>
      <c r="E612" s="61">
        <v>-986.75519999999995</v>
      </c>
      <c r="U612" s="86">
        <v>0.60399999999999998</v>
      </c>
      <c r="V612" s="62">
        <v>1084.2775999999999</v>
      </c>
      <c r="W612" s="86">
        <v>0.60399999999999998</v>
      </c>
      <c r="X612" s="62">
        <v>1046.2017000000001</v>
      </c>
      <c r="Y612" s="86">
        <v>0.60399999999999998</v>
      </c>
      <c r="Z612" s="62">
        <v>998.42859999999996</v>
      </c>
    </row>
    <row r="613" spans="4:26">
      <c r="D613" s="86">
        <v>0.60499999999999998</v>
      </c>
      <c r="E613" s="61">
        <v>-986.23400000000004</v>
      </c>
      <c r="U613" s="86">
        <v>0.60499999999999998</v>
      </c>
      <c r="V613" s="62">
        <v>1084.2369000000001</v>
      </c>
      <c r="W613" s="86">
        <v>0.60499999999999998</v>
      </c>
      <c r="X613" s="62">
        <v>1046.1415</v>
      </c>
      <c r="Y613" s="86">
        <v>0.60499999999999998</v>
      </c>
      <c r="Z613" s="62">
        <v>998.35955999999999</v>
      </c>
    </row>
    <row r="614" spans="4:26">
      <c r="D614" s="86">
        <v>0.60599999999999998</v>
      </c>
      <c r="E614" s="61">
        <v>-985.70259999999996</v>
      </c>
      <c r="U614" s="86">
        <v>0.60599999999999998</v>
      </c>
      <c r="V614" s="62">
        <v>1084.1962000000001</v>
      </c>
      <c r="W614" s="86">
        <v>0.60599999999999998</v>
      </c>
      <c r="X614" s="62">
        <v>1046.0812000000001</v>
      </c>
      <c r="Y614" s="86">
        <v>0.60599999999999998</v>
      </c>
      <c r="Z614" s="62">
        <v>998.29060000000004</v>
      </c>
    </row>
    <row r="615" spans="4:26">
      <c r="D615" s="86">
        <v>0.60699999999999998</v>
      </c>
      <c r="E615" s="61">
        <v>-985.16079999999999</v>
      </c>
      <c r="U615" s="86">
        <v>0.60699999999999998</v>
      </c>
      <c r="V615" s="62">
        <v>1084.1552999999999</v>
      </c>
      <c r="W615" s="86">
        <v>0.60699999999999998</v>
      </c>
      <c r="X615" s="62">
        <v>1046.0209</v>
      </c>
      <c r="Y615" s="86">
        <v>0.60699999999999998</v>
      </c>
      <c r="Z615" s="62">
        <v>998.22173999999995</v>
      </c>
    </row>
    <row r="616" spans="4:26">
      <c r="D616" s="86">
        <v>0.60799999999999998</v>
      </c>
      <c r="E616" s="61">
        <v>-984.60864000000004</v>
      </c>
      <c r="U616" s="86">
        <v>0.60799999999999998</v>
      </c>
      <c r="V616" s="62">
        <v>1084.1141</v>
      </c>
      <c r="W616" s="86">
        <v>0.60799999999999998</v>
      </c>
      <c r="X616" s="62">
        <v>1045.9606000000001</v>
      </c>
      <c r="Y616" s="86">
        <v>0.60799999999999998</v>
      </c>
      <c r="Z616" s="62">
        <v>998.15290000000005</v>
      </c>
    </row>
    <row r="617" spans="4:26">
      <c r="D617" s="86">
        <v>0.60899999999999999</v>
      </c>
      <c r="E617" s="61">
        <v>-984.04610000000002</v>
      </c>
      <c r="U617" s="86">
        <v>0.60899999999999999</v>
      </c>
      <c r="V617" s="62">
        <v>1084.0730000000001</v>
      </c>
      <c r="W617" s="86">
        <v>0.60899999999999999</v>
      </c>
      <c r="X617" s="62">
        <v>1045.9003</v>
      </c>
      <c r="Y617" s="86">
        <v>0.60899999999999999</v>
      </c>
      <c r="Z617" s="62">
        <v>998.08416999999997</v>
      </c>
    </row>
    <row r="618" spans="4:26">
      <c r="D618" s="86">
        <v>0.61</v>
      </c>
      <c r="E618" s="61">
        <v>-983.47310000000004</v>
      </c>
      <c r="U618" s="86">
        <v>0.61</v>
      </c>
      <c r="V618" s="62">
        <v>1084.0316</v>
      </c>
      <c r="W618" s="86">
        <v>0.61</v>
      </c>
      <c r="X618" s="62">
        <v>1045.8398</v>
      </c>
      <c r="Y618" s="86">
        <v>0.61</v>
      </c>
      <c r="Z618" s="62">
        <v>998.01544000000001</v>
      </c>
    </row>
    <row r="619" spans="4:26">
      <c r="D619" s="86">
        <v>0.61099999999999999</v>
      </c>
      <c r="E619" s="61">
        <v>-982.88959999999997</v>
      </c>
      <c r="U619" s="86">
        <v>0.61099999999999999</v>
      </c>
      <c r="V619" s="62">
        <v>1083.9902</v>
      </c>
      <c r="W619" s="86">
        <v>0.61099999999999999</v>
      </c>
      <c r="X619" s="62">
        <v>1045.7795000000001</v>
      </c>
      <c r="Y619" s="86">
        <v>0.61099999999999999</v>
      </c>
      <c r="Z619" s="62">
        <v>997.94683999999995</v>
      </c>
    </row>
    <row r="620" spans="4:26">
      <c r="D620" s="86">
        <v>0.61199999999999999</v>
      </c>
      <c r="E620" s="61">
        <v>-982.29552999999999</v>
      </c>
      <c r="U620" s="86">
        <v>0.61199999999999999</v>
      </c>
      <c r="V620" s="62">
        <v>1083.9485999999999</v>
      </c>
      <c r="W620" s="86">
        <v>0.61199999999999999</v>
      </c>
      <c r="X620" s="62">
        <v>1045.7191</v>
      </c>
      <c r="Y620" s="86">
        <v>0.61199999999999999</v>
      </c>
      <c r="Z620" s="62">
        <v>997.87829999999997</v>
      </c>
    </row>
    <row r="621" spans="4:26">
      <c r="D621" s="86">
        <v>0.61299999999999999</v>
      </c>
      <c r="E621" s="61">
        <v>-981.69100000000003</v>
      </c>
      <c r="U621" s="86">
        <v>0.61299999999999999</v>
      </c>
      <c r="V621" s="62">
        <v>1083.9069</v>
      </c>
      <c r="W621" s="86">
        <v>0.61299999999999999</v>
      </c>
      <c r="X621" s="62">
        <v>1045.6586</v>
      </c>
      <c r="Y621" s="86">
        <v>0.61299999999999999</v>
      </c>
      <c r="Z621" s="62">
        <v>997.8098</v>
      </c>
    </row>
    <row r="622" spans="4:26">
      <c r="D622" s="86">
        <v>0.61399999999999999</v>
      </c>
      <c r="E622" s="61">
        <v>-981.07579999999996</v>
      </c>
      <c r="U622" s="86">
        <v>0.61399999999999999</v>
      </c>
      <c r="V622" s="62">
        <v>1083.865</v>
      </c>
      <c r="W622" s="86">
        <v>0.61399999999999999</v>
      </c>
      <c r="X622" s="62">
        <v>1045.5980999999999</v>
      </c>
      <c r="Y622" s="86">
        <v>0.61399999999999999</v>
      </c>
      <c r="Z622" s="62">
        <v>997.7414</v>
      </c>
    </row>
    <row r="623" spans="4:26">
      <c r="D623" s="86">
        <v>0.61499999999999999</v>
      </c>
      <c r="E623" s="61">
        <v>-980.44994999999994</v>
      </c>
      <c r="U623" s="86">
        <v>0.61499999999999999</v>
      </c>
      <c r="V623" s="62">
        <v>1083.8230000000001</v>
      </c>
      <c r="W623" s="86">
        <v>0.61499999999999999</v>
      </c>
      <c r="X623" s="62">
        <v>1045.5376000000001</v>
      </c>
      <c r="Y623" s="86">
        <v>0.61499999999999999</v>
      </c>
      <c r="Z623" s="62">
        <v>997.67303000000004</v>
      </c>
    </row>
    <row r="624" spans="4:26">
      <c r="D624" s="86">
        <v>0.61599999999999999</v>
      </c>
      <c r="E624" s="61">
        <v>-979.81349999999998</v>
      </c>
      <c r="U624" s="86">
        <v>0.61599999999999999</v>
      </c>
      <c r="V624" s="62">
        <v>1083.7809</v>
      </c>
      <c r="W624" s="86">
        <v>0.61599999999999999</v>
      </c>
      <c r="X624" s="62">
        <v>1045.4770000000001</v>
      </c>
      <c r="Y624" s="86">
        <v>0.61599999999999999</v>
      </c>
      <c r="Z624" s="62">
        <v>997.60473999999999</v>
      </c>
    </row>
    <row r="625" spans="4:26">
      <c r="D625" s="86">
        <v>0.61699999999999999</v>
      </c>
      <c r="E625" s="61">
        <v>-979.16629999999998</v>
      </c>
      <c r="U625" s="86">
        <v>0.61699999999999999</v>
      </c>
      <c r="V625" s="62">
        <v>1083.7385999999999</v>
      </c>
      <c r="W625" s="86">
        <v>0.61699999999999999</v>
      </c>
      <c r="X625" s="62">
        <v>1045.4165</v>
      </c>
      <c r="Y625" s="86">
        <v>0.61699999999999999</v>
      </c>
      <c r="Z625" s="62">
        <v>997.53650000000005</v>
      </c>
    </row>
    <row r="626" spans="4:26">
      <c r="D626" s="86">
        <v>0.61799999999999999</v>
      </c>
      <c r="E626" s="61">
        <v>-978.50840000000005</v>
      </c>
      <c r="U626" s="86">
        <v>0.61799999999999999</v>
      </c>
      <c r="V626" s="62">
        <v>1083.6962000000001</v>
      </c>
      <c r="W626" s="86">
        <v>0.61799999999999999</v>
      </c>
      <c r="X626" s="62">
        <v>1045.3558</v>
      </c>
      <c r="Y626" s="86">
        <v>0.61799999999999999</v>
      </c>
      <c r="Z626" s="62">
        <v>997.46839999999997</v>
      </c>
    </row>
    <row r="627" spans="4:26">
      <c r="D627" s="86">
        <v>0.61899999999999999</v>
      </c>
      <c r="E627" s="61">
        <v>-977.83969999999999</v>
      </c>
      <c r="U627" s="86">
        <v>0.61899999999999999</v>
      </c>
      <c r="V627" s="62">
        <v>1083.6537000000001</v>
      </c>
      <c r="W627" s="86">
        <v>0.61899999999999999</v>
      </c>
      <c r="X627" s="62">
        <v>1045.2952</v>
      </c>
      <c r="Y627" s="86">
        <v>0.61899999999999999</v>
      </c>
      <c r="Z627" s="62">
        <v>997.40026999999998</v>
      </c>
    </row>
    <row r="628" spans="4:26">
      <c r="D628" s="86">
        <v>0.62</v>
      </c>
      <c r="E628" s="61">
        <v>-977.16020000000003</v>
      </c>
      <c r="U628" s="86">
        <v>0.62</v>
      </c>
      <c r="V628" s="62">
        <v>1083.6111000000001</v>
      </c>
      <c r="W628" s="86">
        <v>0.62</v>
      </c>
      <c r="X628" s="62">
        <v>1045.2345</v>
      </c>
      <c r="Y628" s="86">
        <v>0.62</v>
      </c>
      <c r="Z628" s="62">
        <v>997.33230000000003</v>
      </c>
    </row>
    <row r="629" spans="4:26">
      <c r="D629" s="86">
        <v>0.621</v>
      </c>
      <c r="E629" s="61">
        <v>-976.46984999999995</v>
      </c>
      <c r="U629" s="86">
        <v>0.621</v>
      </c>
      <c r="V629" s="62">
        <v>1083.5681999999999</v>
      </c>
      <c r="W629" s="86">
        <v>0.621</v>
      </c>
      <c r="X629" s="62">
        <v>1045.1738</v>
      </c>
      <c r="Y629" s="86">
        <v>0.621</v>
      </c>
      <c r="Z629" s="62">
        <v>997.26430000000005</v>
      </c>
    </row>
    <row r="630" spans="4:26">
      <c r="D630" s="86">
        <v>0.622</v>
      </c>
      <c r="E630" s="61">
        <v>-975.76859999999999</v>
      </c>
      <c r="U630" s="86">
        <v>0.622</v>
      </c>
      <c r="V630" s="62">
        <v>1083.5254</v>
      </c>
      <c r="W630" s="86">
        <v>0.622</v>
      </c>
      <c r="X630" s="62">
        <v>1045.1132</v>
      </c>
      <c r="Y630" s="86">
        <v>0.622</v>
      </c>
      <c r="Z630" s="62">
        <v>997.19640000000004</v>
      </c>
    </row>
    <row r="631" spans="4:26">
      <c r="D631" s="86">
        <v>0.623</v>
      </c>
      <c r="E631" s="61">
        <v>-975.05646000000002</v>
      </c>
      <c r="U631" s="86">
        <v>0.623</v>
      </c>
      <c r="V631" s="62">
        <v>1083.4822999999999</v>
      </c>
      <c r="W631" s="86">
        <v>0.623</v>
      </c>
      <c r="X631" s="62">
        <v>1045.0524</v>
      </c>
      <c r="Y631" s="86">
        <v>0.623</v>
      </c>
      <c r="Z631" s="62">
        <v>997.12860000000001</v>
      </c>
    </row>
    <row r="632" spans="4:26">
      <c r="D632" s="86">
        <v>0.624</v>
      </c>
      <c r="E632" s="61">
        <v>-974.33339999999998</v>
      </c>
      <c r="U632" s="86">
        <v>0.624</v>
      </c>
      <c r="V632" s="62">
        <v>1083.4392</v>
      </c>
      <c r="W632" s="86">
        <v>0.624</v>
      </c>
      <c r="X632" s="62">
        <v>1044.9916000000001</v>
      </c>
      <c r="Y632" s="86">
        <v>0.624</v>
      </c>
      <c r="Z632" s="62">
        <v>997.06084999999996</v>
      </c>
    </row>
    <row r="633" spans="4:26">
      <c r="D633" s="86">
        <v>0.625</v>
      </c>
      <c r="E633" s="61">
        <v>-973.59929999999997</v>
      </c>
      <c r="U633" s="86">
        <v>0.625</v>
      </c>
      <c r="V633" s="62">
        <v>1083.3959</v>
      </c>
      <c r="W633" s="86">
        <v>0.625</v>
      </c>
      <c r="X633" s="62">
        <v>1044.9308000000001</v>
      </c>
      <c r="Y633" s="86">
        <v>0.625</v>
      </c>
      <c r="Z633" s="62">
        <v>996.99315999999999</v>
      </c>
    </row>
    <row r="634" spans="4:26">
      <c r="D634" s="86">
        <v>0.626</v>
      </c>
      <c r="E634" s="61">
        <v>-972.85419999999999</v>
      </c>
      <c r="U634" s="86">
        <v>0.626</v>
      </c>
      <c r="V634" s="62">
        <v>1083.3525</v>
      </c>
      <c r="W634" s="86">
        <v>0.626</v>
      </c>
      <c r="X634" s="62">
        <v>1044.8699999999999</v>
      </c>
      <c r="Y634" s="86">
        <v>0.626</v>
      </c>
      <c r="Z634" s="62">
        <v>996.92553999999996</v>
      </c>
    </row>
    <row r="635" spans="4:26">
      <c r="D635" s="86">
        <v>0.627</v>
      </c>
      <c r="E635" s="61">
        <v>-972.09799999999996</v>
      </c>
      <c r="U635" s="86">
        <v>0.627</v>
      </c>
      <c r="V635" s="62">
        <v>1083.309</v>
      </c>
      <c r="W635" s="86">
        <v>0.627</v>
      </c>
      <c r="X635" s="62">
        <v>1044.8090999999999</v>
      </c>
      <c r="Y635" s="86">
        <v>0.627</v>
      </c>
      <c r="Z635" s="62">
        <v>996.85799999999995</v>
      </c>
    </row>
    <row r="636" spans="4:26">
      <c r="D636" s="86">
        <v>0.628</v>
      </c>
      <c r="E636" s="61">
        <v>-971.33074999999997</v>
      </c>
      <c r="U636" s="86">
        <v>0.628</v>
      </c>
      <c r="V636" s="62">
        <v>1083.2654</v>
      </c>
      <c r="W636" s="86">
        <v>0.628</v>
      </c>
      <c r="X636" s="62">
        <v>1044.7482</v>
      </c>
      <c r="Y636" s="86">
        <v>0.628</v>
      </c>
      <c r="Z636" s="62">
        <v>996.79047000000003</v>
      </c>
    </row>
    <row r="637" spans="4:26">
      <c r="D637" s="86">
        <v>0.629</v>
      </c>
      <c r="E637" s="61">
        <v>-970.55237</v>
      </c>
      <c r="U637" s="86">
        <v>0.629</v>
      </c>
      <c r="V637" s="62">
        <v>1083.2216000000001</v>
      </c>
      <c r="W637" s="86">
        <v>0.629</v>
      </c>
      <c r="X637" s="62">
        <v>1044.6873000000001</v>
      </c>
      <c r="Y637" s="86">
        <v>0.629</v>
      </c>
      <c r="Z637" s="62">
        <v>996.72299999999996</v>
      </c>
    </row>
    <row r="638" spans="4:26">
      <c r="D638" s="86">
        <v>0.63</v>
      </c>
      <c r="E638" s="61">
        <v>-969.76275999999996</v>
      </c>
      <c r="U638" s="86">
        <v>0.63</v>
      </c>
      <c r="V638" s="62">
        <v>1083.1777</v>
      </c>
      <c r="W638" s="86">
        <v>0.63</v>
      </c>
      <c r="X638" s="62">
        <v>1044.6262999999999</v>
      </c>
      <c r="Y638" s="86">
        <v>0.63</v>
      </c>
      <c r="Z638" s="62">
        <v>996.65570000000002</v>
      </c>
    </row>
    <row r="639" spans="4:26">
      <c r="D639" s="86">
        <v>0.63100000000000001</v>
      </c>
      <c r="E639" s="61">
        <v>-968.96204</v>
      </c>
      <c r="U639" s="86">
        <v>0.63100000000000001</v>
      </c>
      <c r="V639" s="62">
        <v>1083.1337000000001</v>
      </c>
      <c r="W639" s="86">
        <v>0.63100000000000001</v>
      </c>
      <c r="X639" s="62">
        <v>1044.5654</v>
      </c>
      <c r="Y639" s="86">
        <v>0.63100000000000001</v>
      </c>
      <c r="Z639" s="62">
        <v>996.58839999999998</v>
      </c>
    </row>
    <row r="640" spans="4:26">
      <c r="D640" s="86">
        <v>0.63200000000000001</v>
      </c>
      <c r="E640" s="61">
        <v>-968.15</v>
      </c>
      <c r="U640" s="86">
        <v>0.63200000000000001</v>
      </c>
      <c r="V640" s="62">
        <v>1083.0896</v>
      </c>
      <c r="W640" s="86">
        <v>0.63200000000000001</v>
      </c>
      <c r="X640" s="62">
        <v>1044.5045</v>
      </c>
      <c r="Y640" s="86">
        <v>0.63200000000000001</v>
      </c>
      <c r="Z640" s="62">
        <v>996.52120000000002</v>
      </c>
    </row>
    <row r="641" spans="4:26">
      <c r="D641" s="86">
        <v>0.63300000000000001</v>
      </c>
      <c r="E641" s="61">
        <v>-967.32680000000005</v>
      </c>
      <c r="U641" s="86">
        <v>0.63300000000000001</v>
      </c>
      <c r="V641" s="62">
        <v>1083.0453</v>
      </c>
      <c r="W641" s="86">
        <v>0.63300000000000001</v>
      </c>
      <c r="X641" s="62">
        <v>1044.4435000000001</v>
      </c>
      <c r="Y641" s="86">
        <v>0.63300000000000001</v>
      </c>
      <c r="Z641" s="62">
        <v>996.45399999999995</v>
      </c>
    </row>
    <row r="642" spans="4:26">
      <c r="D642" s="86">
        <v>0.63400000000000001</v>
      </c>
      <c r="E642" s="61">
        <v>-966.49225000000001</v>
      </c>
      <c r="U642" s="86">
        <v>0.63400000000000001</v>
      </c>
      <c r="V642" s="62">
        <v>1083.001</v>
      </c>
      <c r="W642" s="86">
        <v>0.63400000000000001</v>
      </c>
      <c r="X642" s="62">
        <v>1044.3824</v>
      </c>
      <c r="Y642" s="86">
        <v>0.63400000000000001</v>
      </c>
      <c r="Z642" s="62">
        <v>996.38689999999997</v>
      </c>
    </row>
    <row r="643" spans="4:26">
      <c r="D643" s="86">
        <v>0.63500000000000001</v>
      </c>
      <c r="E643" s="61">
        <v>-965.64635999999996</v>
      </c>
      <c r="U643" s="86">
        <v>0.63500000000000001</v>
      </c>
      <c r="V643" s="62">
        <v>1082.9564</v>
      </c>
      <c r="W643" s="86">
        <v>0.63500000000000001</v>
      </c>
      <c r="X643" s="62">
        <v>1044.3214</v>
      </c>
      <c r="Y643" s="86">
        <v>0.63500000000000001</v>
      </c>
      <c r="Z643" s="62">
        <v>996.31989999999996</v>
      </c>
    </row>
    <row r="644" spans="4:26">
      <c r="D644" s="86">
        <v>0.63600000000000001</v>
      </c>
      <c r="E644" s="61">
        <v>-964.78909999999996</v>
      </c>
      <c r="U644" s="86">
        <v>0.63600000000000001</v>
      </c>
      <c r="V644" s="62">
        <v>1082.9119000000001</v>
      </c>
      <c r="W644" s="86">
        <v>0.63600000000000001</v>
      </c>
      <c r="X644" s="62">
        <v>1044.2603999999999</v>
      </c>
      <c r="Y644" s="86">
        <v>0.63600000000000001</v>
      </c>
      <c r="Z644" s="62">
        <v>996.25289999999995</v>
      </c>
    </row>
    <row r="645" spans="4:26">
      <c r="D645" s="86">
        <v>0.63700000000000001</v>
      </c>
      <c r="E645" s="61">
        <v>-963.92049999999995</v>
      </c>
      <c r="U645" s="86">
        <v>0.63700000000000001</v>
      </c>
      <c r="V645" s="62">
        <v>1082.8670999999999</v>
      </c>
      <c r="W645" s="86">
        <v>0.63700000000000001</v>
      </c>
      <c r="X645" s="62">
        <v>1044.1992</v>
      </c>
      <c r="Y645" s="86">
        <v>0.63700000000000001</v>
      </c>
      <c r="Z645" s="62">
        <v>996.18600000000004</v>
      </c>
    </row>
    <row r="646" spans="4:26">
      <c r="D646" s="86">
        <v>0.63800000000000001</v>
      </c>
      <c r="E646" s="61">
        <v>-963.04039999999998</v>
      </c>
      <c r="U646" s="86">
        <v>0.63800000000000001</v>
      </c>
      <c r="V646" s="62">
        <v>1082.8223</v>
      </c>
      <c r="W646" s="86">
        <v>0.63800000000000001</v>
      </c>
      <c r="X646" s="62">
        <v>1044.1382000000001</v>
      </c>
      <c r="Y646" s="86">
        <v>0.63800000000000001</v>
      </c>
      <c r="Z646" s="62">
        <v>996.11919999999998</v>
      </c>
    </row>
    <row r="647" spans="4:26">
      <c r="D647" s="86">
        <v>0.63900000000000001</v>
      </c>
      <c r="E647" s="61">
        <v>-962.14880000000005</v>
      </c>
      <c r="U647" s="86">
        <v>0.63900000000000001</v>
      </c>
      <c r="V647" s="62">
        <v>1082.7773</v>
      </c>
      <c r="W647" s="86">
        <v>0.63900000000000001</v>
      </c>
      <c r="X647" s="62">
        <v>1044.077</v>
      </c>
      <c r="Y647" s="86">
        <v>0.63900000000000001</v>
      </c>
      <c r="Z647" s="62">
        <v>996.05240000000003</v>
      </c>
    </row>
    <row r="648" spans="4:26">
      <c r="D648" s="86">
        <v>0.64</v>
      </c>
      <c r="E648" s="61">
        <v>-961.24580000000003</v>
      </c>
      <c r="U648" s="86">
        <v>0.64</v>
      </c>
      <c r="V648" s="62">
        <v>1082.7322999999999</v>
      </c>
      <c r="W648" s="86">
        <v>0.64</v>
      </c>
      <c r="X648" s="62">
        <v>1044.0159000000001</v>
      </c>
      <c r="Y648" s="86">
        <v>0.64</v>
      </c>
      <c r="Z648" s="62">
        <v>995.98569999999995</v>
      </c>
    </row>
    <row r="649" spans="4:26">
      <c r="D649" s="86">
        <v>0.64100000000000001</v>
      </c>
      <c r="E649" s="61">
        <v>-960.33119999999997</v>
      </c>
      <c r="U649" s="86">
        <v>0.64100000000000001</v>
      </c>
      <c r="V649" s="62">
        <v>1082.6869999999999</v>
      </c>
      <c r="W649" s="86">
        <v>0.64100000000000001</v>
      </c>
      <c r="X649" s="62">
        <v>1043.9547</v>
      </c>
      <c r="Y649" s="86">
        <v>0.64100000000000001</v>
      </c>
      <c r="Z649" s="62">
        <v>995.91907000000003</v>
      </c>
    </row>
    <row r="650" spans="4:26">
      <c r="D650" s="86">
        <v>0.64200000000000002</v>
      </c>
      <c r="E650" s="61">
        <v>-959.40499999999997</v>
      </c>
      <c r="U650" s="86">
        <v>0.64200000000000002</v>
      </c>
      <c r="V650" s="62">
        <v>1082.6416999999999</v>
      </c>
      <c r="W650" s="86">
        <v>0.64200000000000002</v>
      </c>
      <c r="X650" s="62">
        <v>1043.8936000000001</v>
      </c>
      <c r="Y650" s="86">
        <v>0.64200000000000002</v>
      </c>
      <c r="Z650" s="62">
        <v>995.85249999999996</v>
      </c>
    </row>
    <row r="651" spans="4:26">
      <c r="D651" s="86">
        <v>0.64300000000000002</v>
      </c>
      <c r="E651" s="61">
        <v>-958.46730000000002</v>
      </c>
      <c r="U651" s="86">
        <v>0.64300000000000002</v>
      </c>
      <c r="V651" s="62">
        <v>1082.5962999999999</v>
      </c>
      <c r="W651" s="86">
        <v>0.64300000000000002</v>
      </c>
      <c r="X651" s="62">
        <v>1043.8323</v>
      </c>
      <c r="Y651" s="86">
        <v>0.64300000000000002</v>
      </c>
      <c r="Z651" s="62">
        <v>995.78599999999994</v>
      </c>
    </row>
    <row r="652" spans="4:26">
      <c r="D652" s="86">
        <v>0.64400000000000002</v>
      </c>
      <c r="E652" s="61">
        <v>-957.51793999999995</v>
      </c>
      <c r="U652" s="86">
        <v>0.64400000000000002</v>
      </c>
      <c r="V652" s="62">
        <v>1082.5508</v>
      </c>
      <c r="W652" s="86">
        <v>0.64400000000000002</v>
      </c>
      <c r="X652" s="62">
        <v>1043.7710999999999</v>
      </c>
      <c r="Y652" s="86">
        <v>0.64400000000000002</v>
      </c>
      <c r="Z652" s="62">
        <v>995.71954000000005</v>
      </c>
    </row>
    <row r="653" spans="4:26">
      <c r="D653" s="86">
        <v>0.64500000000000002</v>
      </c>
      <c r="E653" s="61">
        <v>-956.55690000000004</v>
      </c>
      <c r="U653" s="86">
        <v>0.64500000000000002</v>
      </c>
      <c r="V653" s="62">
        <v>1082.5051000000001</v>
      </c>
      <c r="W653" s="86">
        <v>0.64500000000000002</v>
      </c>
      <c r="X653" s="62">
        <v>1043.7098000000001</v>
      </c>
      <c r="Y653" s="86">
        <v>0.64500000000000002</v>
      </c>
      <c r="Z653" s="62">
        <v>995.65319999999997</v>
      </c>
    </row>
    <row r="654" spans="4:26">
      <c r="D654" s="86">
        <v>0.64600000000000002</v>
      </c>
      <c r="E654" s="61">
        <v>-955.58416999999997</v>
      </c>
      <c r="U654" s="86">
        <v>0.64600000000000002</v>
      </c>
      <c r="V654" s="62">
        <v>1082.4594999999999</v>
      </c>
      <c r="W654" s="86">
        <v>0.64600000000000002</v>
      </c>
      <c r="X654" s="62">
        <v>1043.6486</v>
      </c>
      <c r="Y654" s="86">
        <v>0.64600000000000002</v>
      </c>
      <c r="Z654" s="62">
        <v>995.58690000000001</v>
      </c>
    </row>
    <row r="655" spans="4:26">
      <c r="D655" s="86">
        <v>0.64700000000000002</v>
      </c>
      <c r="E655" s="61">
        <v>-954.59973000000002</v>
      </c>
      <c r="U655" s="86">
        <v>0.64700000000000002</v>
      </c>
      <c r="V655" s="62">
        <v>1082.4136000000001</v>
      </c>
      <c r="W655" s="86">
        <v>0.64700000000000002</v>
      </c>
      <c r="X655" s="62">
        <v>1043.5872999999999</v>
      </c>
      <c r="Y655" s="86">
        <v>0.64700000000000002</v>
      </c>
      <c r="Z655" s="62">
        <v>995.52059999999994</v>
      </c>
    </row>
    <row r="656" spans="4:26">
      <c r="D656" s="86">
        <v>0.64800000000000002</v>
      </c>
      <c r="E656" s="61">
        <v>-953.60360000000003</v>
      </c>
      <c r="U656" s="86">
        <v>0.64800000000000002</v>
      </c>
      <c r="V656" s="62">
        <v>1082.3676</v>
      </c>
      <c r="W656" s="86">
        <v>0.64800000000000002</v>
      </c>
      <c r="X656" s="62">
        <v>1043.5260000000001</v>
      </c>
      <c r="Y656" s="86">
        <v>0.64800000000000002</v>
      </c>
      <c r="Z656" s="62">
        <v>995.45447000000001</v>
      </c>
    </row>
    <row r="657" spans="4:26">
      <c r="D657" s="86">
        <v>0.64900000000000002</v>
      </c>
      <c r="E657" s="61">
        <v>-952.59559999999999</v>
      </c>
      <c r="U657" s="86">
        <v>0.64900000000000002</v>
      </c>
      <c r="V657" s="62">
        <v>1082.3215</v>
      </c>
      <c r="W657" s="86">
        <v>0.64900000000000002</v>
      </c>
      <c r="X657" s="62">
        <v>1043.4646</v>
      </c>
      <c r="Y657" s="86">
        <v>0.64900000000000002</v>
      </c>
      <c r="Z657" s="62">
        <v>995.38837000000001</v>
      </c>
    </row>
    <row r="658" spans="4:26">
      <c r="D658" s="86">
        <v>0.65</v>
      </c>
      <c r="E658" s="61">
        <v>-951.57574</v>
      </c>
      <c r="U658" s="86">
        <v>0.65</v>
      </c>
      <c r="V658" s="62">
        <v>1082.2753</v>
      </c>
      <c r="W658" s="86">
        <v>0.65</v>
      </c>
      <c r="X658" s="62">
        <v>1043.4032999999999</v>
      </c>
      <c r="Y658" s="86">
        <v>0.65</v>
      </c>
      <c r="Z658" s="62">
        <v>995.32230000000004</v>
      </c>
    </row>
    <row r="659" spans="4:26">
      <c r="D659" s="86">
        <v>0.65100000000000002</v>
      </c>
      <c r="E659" s="61">
        <v>-950.54409999999996</v>
      </c>
      <c r="U659" s="86">
        <v>0.65100000000000002</v>
      </c>
      <c r="V659" s="62">
        <v>1082.229</v>
      </c>
      <c r="W659" s="86">
        <v>0.65100000000000002</v>
      </c>
      <c r="X659" s="62">
        <v>1043.3418999999999</v>
      </c>
      <c r="Y659" s="86">
        <v>0.65100000000000002</v>
      </c>
      <c r="Z659" s="62">
        <v>995.25635</v>
      </c>
    </row>
    <row r="660" spans="4:26">
      <c r="D660" s="86">
        <v>0.65200000000000002</v>
      </c>
      <c r="E660" s="61">
        <v>-949.50059999999996</v>
      </c>
      <c r="U660" s="86">
        <v>0.65200000000000002</v>
      </c>
      <c r="V660" s="62">
        <v>1082.1826000000001</v>
      </c>
      <c r="W660" s="86">
        <v>0.65200000000000002</v>
      </c>
      <c r="X660" s="62">
        <v>1043.2806</v>
      </c>
      <c r="Y660" s="86">
        <v>0.65200000000000002</v>
      </c>
      <c r="Z660" s="62">
        <v>995.19039999999995</v>
      </c>
    </row>
    <row r="661" spans="4:26">
      <c r="D661" s="86">
        <v>0.65300000000000002</v>
      </c>
      <c r="E661" s="61">
        <v>-948.4452</v>
      </c>
      <c r="U661" s="86">
        <v>0.65300000000000002</v>
      </c>
      <c r="V661" s="62">
        <v>1082.1360999999999</v>
      </c>
      <c r="W661" s="86">
        <v>0.65300000000000002</v>
      </c>
      <c r="X661" s="62">
        <v>1043.2192</v>
      </c>
      <c r="Y661" s="86">
        <v>0.65300000000000002</v>
      </c>
      <c r="Z661" s="62">
        <v>995.12463000000002</v>
      </c>
    </row>
    <row r="662" spans="4:26">
      <c r="D662" s="86">
        <v>0.65400000000000003</v>
      </c>
      <c r="E662" s="61">
        <v>-947.37779999999998</v>
      </c>
      <c r="U662" s="86">
        <v>0.65400000000000003</v>
      </c>
      <c r="V662" s="62">
        <v>1082.0895</v>
      </c>
      <c r="W662" s="86">
        <v>0.65400000000000003</v>
      </c>
      <c r="X662" s="62">
        <v>1043.1578</v>
      </c>
      <c r="Y662" s="86">
        <v>0.65400000000000003</v>
      </c>
      <c r="Z662" s="62">
        <v>995.05884000000003</v>
      </c>
    </row>
    <row r="663" spans="4:26">
      <c r="D663" s="86">
        <v>0.65500000000000003</v>
      </c>
      <c r="E663" s="61">
        <v>-946.29845999999998</v>
      </c>
      <c r="U663" s="86">
        <v>0.65500000000000003</v>
      </c>
      <c r="V663" s="62">
        <v>1082.0427</v>
      </c>
      <c r="W663" s="86">
        <v>0.65500000000000003</v>
      </c>
      <c r="X663" s="62">
        <v>1043.0962999999999</v>
      </c>
      <c r="Y663" s="86">
        <v>0.65500000000000003</v>
      </c>
      <c r="Z663" s="62">
        <v>994.99310000000003</v>
      </c>
    </row>
    <row r="664" spans="4:26">
      <c r="D664" s="86">
        <v>0.65600000000000003</v>
      </c>
      <c r="E664" s="61">
        <v>-945.20714999999996</v>
      </c>
      <c r="U664" s="86">
        <v>0.65600000000000003</v>
      </c>
      <c r="V664" s="62">
        <v>1081.9957999999999</v>
      </c>
      <c r="W664" s="86">
        <v>0.65600000000000003</v>
      </c>
      <c r="X664" s="62">
        <v>1043.0349000000001</v>
      </c>
      <c r="Y664" s="86">
        <v>0.65600000000000003</v>
      </c>
      <c r="Z664" s="62">
        <v>994.92750000000001</v>
      </c>
    </row>
    <row r="665" spans="4:26">
      <c r="D665" s="86">
        <v>0.65700000000000003</v>
      </c>
      <c r="E665" s="61">
        <v>-944.10375999999997</v>
      </c>
      <c r="U665" s="86">
        <v>0.65700000000000003</v>
      </c>
      <c r="V665" s="62">
        <v>1081.9490000000001</v>
      </c>
      <c r="W665" s="86">
        <v>0.65700000000000003</v>
      </c>
      <c r="X665" s="62">
        <v>1042.9735000000001</v>
      </c>
      <c r="Y665" s="86">
        <v>0.65700000000000003</v>
      </c>
      <c r="Z665" s="62">
        <v>994.86189999999999</v>
      </c>
    </row>
    <row r="666" spans="4:26">
      <c r="D666" s="86">
        <v>0.65800000000000003</v>
      </c>
      <c r="E666" s="61">
        <v>-942.98839999999996</v>
      </c>
      <c r="U666" s="86">
        <v>0.65800000000000003</v>
      </c>
      <c r="V666" s="62">
        <v>1081.9019000000001</v>
      </c>
      <c r="W666" s="86">
        <v>0.65800000000000003</v>
      </c>
      <c r="X666" s="62">
        <v>1042.912</v>
      </c>
      <c r="Y666" s="86">
        <v>0.65800000000000003</v>
      </c>
      <c r="Z666" s="62">
        <v>994.79639999999995</v>
      </c>
    </row>
    <row r="667" spans="4:26">
      <c r="D667" s="86">
        <v>0.65900000000000003</v>
      </c>
      <c r="E667" s="61">
        <v>-941.86090000000002</v>
      </c>
      <c r="U667" s="86">
        <v>0.65900000000000003</v>
      </c>
      <c r="V667" s="62">
        <v>1081.8547000000001</v>
      </c>
      <c r="W667" s="86">
        <v>0.65900000000000003</v>
      </c>
      <c r="X667" s="62">
        <v>1042.8506</v>
      </c>
      <c r="Y667" s="86">
        <v>0.65900000000000003</v>
      </c>
      <c r="Z667" s="62">
        <v>994.73095999999998</v>
      </c>
    </row>
    <row r="668" spans="4:26">
      <c r="D668" s="86">
        <v>0.66</v>
      </c>
      <c r="E668" s="61">
        <v>-940.72130000000004</v>
      </c>
      <c r="U668" s="86">
        <v>0.66</v>
      </c>
      <c r="V668" s="62">
        <v>1081.8074999999999</v>
      </c>
      <c r="W668" s="86">
        <v>0.66</v>
      </c>
      <c r="X668" s="62">
        <v>1042.7891</v>
      </c>
      <c r="Y668" s="86">
        <v>0.66</v>
      </c>
      <c r="Z668" s="62">
        <v>994.66560000000004</v>
      </c>
    </row>
    <row r="669" spans="4:26">
      <c r="D669" s="86">
        <v>0.66100000000000003</v>
      </c>
      <c r="E669" s="61">
        <v>-939.56960000000004</v>
      </c>
      <c r="U669" s="86">
        <v>0.66100000000000003</v>
      </c>
      <c r="V669" s="62">
        <v>1081.7601</v>
      </c>
      <c r="W669" s="86">
        <v>0.66100000000000003</v>
      </c>
      <c r="X669" s="62">
        <v>1042.7275</v>
      </c>
      <c r="Y669" s="86">
        <v>0.66100000000000003</v>
      </c>
      <c r="Z669" s="62">
        <v>994.60019999999997</v>
      </c>
    </row>
    <row r="670" spans="4:26">
      <c r="D670" s="86">
        <v>0.66200000000000003</v>
      </c>
      <c r="E670" s="61">
        <v>-938.40570000000002</v>
      </c>
      <c r="U670" s="86">
        <v>0.66200000000000003</v>
      </c>
      <c r="V670" s="62">
        <v>1081.7126000000001</v>
      </c>
      <c r="W670" s="86">
        <v>0.66200000000000003</v>
      </c>
      <c r="X670" s="62">
        <v>1042.6659999999999</v>
      </c>
      <c r="Y670" s="86">
        <v>0.66200000000000003</v>
      </c>
      <c r="Z670" s="62">
        <v>994.53499999999997</v>
      </c>
    </row>
    <row r="671" spans="4:26">
      <c r="D671" s="86">
        <v>0.66300000000000003</v>
      </c>
      <c r="E671" s="61">
        <v>-937.2296</v>
      </c>
      <c r="U671" s="86">
        <v>0.66300000000000003</v>
      </c>
      <c r="V671" s="62">
        <v>1081.665</v>
      </c>
      <c r="W671" s="86">
        <v>0.66300000000000003</v>
      </c>
      <c r="X671" s="62">
        <v>1042.6044999999999</v>
      </c>
      <c r="Y671" s="86">
        <v>0.66300000000000003</v>
      </c>
      <c r="Z671" s="62">
        <v>994.46979999999996</v>
      </c>
    </row>
    <row r="672" spans="4:26">
      <c r="D672" s="86">
        <v>0.66400000000000003</v>
      </c>
      <c r="E672" s="61">
        <v>-936.04129999999998</v>
      </c>
      <c r="U672" s="86">
        <v>0.66400000000000003</v>
      </c>
      <c r="V672" s="62">
        <v>1081.6172999999999</v>
      </c>
      <c r="W672" s="86">
        <v>0.66400000000000003</v>
      </c>
      <c r="X672" s="62">
        <v>1042.5429999999999</v>
      </c>
      <c r="Y672" s="86">
        <v>0.66400000000000003</v>
      </c>
      <c r="Z672" s="62">
        <v>994.40466000000004</v>
      </c>
    </row>
    <row r="673" spans="4:26">
      <c r="D673" s="86">
        <v>0.66500000000000004</v>
      </c>
      <c r="E673" s="61">
        <v>-934.84076000000005</v>
      </c>
      <c r="U673" s="86">
        <v>0.66500000000000004</v>
      </c>
      <c r="V673" s="62">
        <v>1081.5696</v>
      </c>
      <c r="W673" s="86">
        <v>0.66500000000000004</v>
      </c>
      <c r="X673" s="62">
        <v>1042.4812999999999</v>
      </c>
      <c r="Y673" s="86">
        <v>0.66500000000000004</v>
      </c>
      <c r="Z673" s="62">
        <v>994.33965999999998</v>
      </c>
    </row>
    <row r="674" spans="4:26">
      <c r="D674" s="86">
        <v>0.66600000000000004</v>
      </c>
      <c r="E674" s="61">
        <v>-933.62789999999995</v>
      </c>
      <c r="U674" s="86">
        <v>0.66600000000000004</v>
      </c>
      <c r="V674" s="62">
        <v>1081.5217</v>
      </c>
      <c r="W674" s="86">
        <v>0.66600000000000004</v>
      </c>
      <c r="X674" s="62">
        <v>1042.4197999999999</v>
      </c>
      <c r="Y674" s="86">
        <v>0.66600000000000004</v>
      </c>
      <c r="Z674" s="62">
        <v>994.27466000000004</v>
      </c>
    </row>
    <row r="675" spans="4:26">
      <c r="D675" s="86">
        <v>0.66700000000000004</v>
      </c>
      <c r="E675" s="61">
        <v>-932.40282999999999</v>
      </c>
      <c r="U675" s="86">
        <v>0.66700000000000004</v>
      </c>
      <c r="V675" s="62">
        <v>1081.4738</v>
      </c>
      <c r="W675" s="86">
        <v>0.66700000000000004</v>
      </c>
      <c r="X675" s="62">
        <v>1042.3581999999999</v>
      </c>
      <c r="Y675" s="86">
        <v>0.66700000000000004</v>
      </c>
      <c r="Z675" s="62">
        <v>994.2097</v>
      </c>
    </row>
    <row r="676" spans="4:26">
      <c r="D676" s="86">
        <v>0.66800000000000004</v>
      </c>
      <c r="E676" s="61">
        <v>-931.16539999999998</v>
      </c>
      <c r="U676" s="86">
        <v>0.66800000000000004</v>
      </c>
      <c r="V676" s="62">
        <v>1081.4257</v>
      </c>
      <c r="W676" s="86">
        <v>0.66800000000000004</v>
      </c>
      <c r="X676" s="62">
        <v>1042.2965999999999</v>
      </c>
      <c r="Y676" s="86">
        <v>0.66800000000000004</v>
      </c>
      <c r="Z676" s="62">
        <v>994.14484000000004</v>
      </c>
    </row>
    <row r="677" spans="4:26">
      <c r="D677" s="86">
        <v>0.66900000000000004</v>
      </c>
      <c r="E677" s="61">
        <v>-929.91560000000004</v>
      </c>
      <c r="U677" s="86">
        <v>0.66900000000000004</v>
      </c>
      <c r="V677" s="62">
        <v>1081.3774000000001</v>
      </c>
      <c r="W677" s="86">
        <v>0.66900000000000004</v>
      </c>
      <c r="X677" s="62">
        <v>1042.2349999999999</v>
      </c>
      <c r="Y677" s="86">
        <v>0.66900000000000004</v>
      </c>
      <c r="Z677" s="62">
        <v>994.08010000000002</v>
      </c>
    </row>
    <row r="678" spans="4:26">
      <c r="D678" s="86">
        <v>0.67</v>
      </c>
      <c r="E678" s="61">
        <v>-928.65344000000005</v>
      </c>
      <c r="U678" s="86">
        <v>0.67</v>
      </c>
      <c r="V678" s="62">
        <v>1081.3291999999999</v>
      </c>
      <c r="W678" s="86">
        <v>0.67</v>
      </c>
      <c r="X678" s="62">
        <v>1042.1732999999999</v>
      </c>
      <c r="Y678" s="86">
        <v>0.67</v>
      </c>
      <c r="Z678" s="62">
        <v>994.01530000000002</v>
      </c>
    </row>
    <row r="679" spans="4:26">
      <c r="D679" s="86">
        <v>0.67100000000000004</v>
      </c>
      <c r="E679" s="61">
        <v>-927.37890000000004</v>
      </c>
      <c r="U679" s="86">
        <v>0.67100000000000004</v>
      </c>
      <c r="V679" s="62">
        <v>1081.2809</v>
      </c>
      <c r="W679" s="86">
        <v>0.67100000000000004</v>
      </c>
      <c r="X679" s="62">
        <v>1042.1116999999999</v>
      </c>
      <c r="Y679" s="86">
        <v>0.67100000000000004</v>
      </c>
      <c r="Z679" s="62">
        <v>993.95069999999998</v>
      </c>
    </row>
    <row r="680" spans="4:26">
      <c r="D680" s="86">
        <v>0.67200000000000004</v>
      </c>
      <c r="E680" s="61">
        <v>-926.09190000000001</v>
      </c>
      <c r="U680" s="86">
        <v>0.67200000000000004</v>
      </c>
      <c r="V680" s="62">
        <v>1081.2322999999999</v>
      </c>
      <c r="W680" s="86">
        <v>0.67200000000000004</v>
      </c>
      <c r="X680" s="62">
        <v>1042.05</v>
      </c>
      <c r="Y680" s="86">
        <v>0.67200000000000004</v>
      </c>
      <c r="Z680" s="62">
        <v>993.88610000000006</v>
      </c>
    </row>
    <row r="681" spans="4:26">
      <c r="D681" s="86">
        <v>0.67300000000000004</v>
      </c>
      <c r="E681" s="61">
        <v>-924.79254000000003</v>
      </c>
      <c r="U681" s="86">
        <v>0.67300000000000004</v>
      </c>
      <c r="V681" s="62">
        <v>1081.1838</v>
      </c>
      <c r="W681" s="86">
        <v>0.67300000000000004</v>
      </c>
      <c r="X681" s="62">
        <v>1041.9884</v>
      </c>
      <c r="Y681" s="86">
        <v>0.67300000000000004</v>
      </c>
      <c r="Z681" s="62">
        <v>993.82153000000005</v>
      </c>
    </row>
    <row r="682" spans="4:26">
      <c r="D682" s="86">
        <v>0.67400000000000004</v>
      </c>
      <c r="E682" s="61">
        <v>-923.48064999999997</v>
      </c>
      <c r="U682" s="86">
        <v>0.67400000000000004</v>
      </c>
      <c r="V682" s="62">
        <v>1081.1351</v>
      </c>
      <c r="W682" s="86">
        <v>0.67400000000000004</v>
      </c>
      <c r="X682" s="62">
        <v>1041.9268</v>
      </c>
      <c r="Y682" s="86">
        <v>0.67400000000000004</v>
      </c>
      <c r="Z682" s="62">
        <v>993.75710000000004</v>
      </c>
    </row>
    <row r="683" spans="4:26">
      <c r="D683" s="86">
        <v>0.67500000000000004</v>
      </c>
      <c r="E683" s="61">
        <v>-922.15625</v>
      </c>
      <c r="U683" s="86">
        <v>0.67500000000000004</v>
      </c>
      <c r="V683" s="62">
        <v>1081.0862999999999</v>
      </c>
      <c r="W683" s="86">
        <v>0.67500000000000004</v>
      </c>
      <c r="X683" s="62">
        <v>1041.8651</v>
      </c>
      <c r="Y683" s="86">
        <v>0.67500000000000004</v>
      </c>
      <c r="Z683" s="62">
        <v>993.69269999999995</v>
      </c>
    </row>
    <row r="684" spans="4:26">
      <c r="D684" s="86">
        <v>0.67600000000000005</v>
      </c>
      <c r="E684" s="61">
        <v>-920.81939999999997</v>
      </c>
      <c r="U684" s="86">
        <v>0.67600000000000005</v>
      </c>
      <c r="V684" s="62">
        <v>1081.0374999999999</v>
      </c>
      <c r="W684" s="86">
        <v>0.67600000000000005</v>
      </c>
      <c r="X684" s="62">
        <v>1041.8035</v>
      </c>
      <c r="Y684" s="86">
        <v>0.67600000000000005</v>
      </c>
      <c r="Z684" s="62">
        <v>993.62836000000004</v>
      </c>
    </row>
    <row r="685" spans="4:26">
      <c r="D685" s="86">
        <v>0.67700000000000005</v>
      </c>
      <c r="E685" s="61">
        <v>-919.47</v>
      </c>
      <c r="U685" s="86">
        <v>0.67700000000000005</v>
      </c>
      <c r="V685" s="62">
        <v>1080.9884999999999</v>
      </c>
      <c r="W685" s="86">
        <v>0.67700000000000005</v>
      </c>
      <c r="X685" s="62">
        <v>1041.7417</v>
      </c>
      <c r="Y685" s="86">
        <v>0.67700000000000005</v>
      </c>
      <c r="Z685" s="62">
        <v>993.56410000000005</v>
      </c>
    </row>
    <row r="686" spans="4:26">
      <c r="D686" s="86">
        <v>0.67800000000000005</v>
      </c>
      <c r="E686" s="61">
        <v>-918.10799999999995</v>
      </c>
      <c r="U686" s="86">
        <v>0.67800000000000005</v>
      </c>
      <c r="V686" s="62">
        <v>1080.9395</v>
      </c>
      <c r="W686" s="86">
        <v>0.67800000000000005</v>
      </c>
      <c r="X686" s="62">
        <v>1041.68</v>
      </c>
      <c r="Y686" s="86">
        <v>0.67800000000000005</v>
      </c>
      <c r="Z686" s="62">
        <v>993.49990000000003</v>
      </c>
    </row>
    <row r="687" spans="4:26">
      <c r="D687" s="86">
        <v>0.67900000000000005</v>
      </c>
      <c r="E687" s="61">
        <v>-916.73339999999996</v>
      </c>
      <c r="U687" s="86">
        <v>0.67900000000000005</v>
      </c>
      <c r="V687" s="62">
        <v>1080.8904</v>
      </c>
      <c r="W687" s="86">
        <v>0.67900000000000005</v>
      </c>
      <c r="X687" s="62">
        <v>1041.6183000000001</v>
      </c>
      <c r="Y687" s="86">
        <v>0.67900000000000005</v>
      </c>
      <c r="Z687" s="62">
        <v>993.4357</v>
      </c>
    </row>
    <row r="688" spans="4:26">
      <c r="D688" s="86">
        <v>0.68</v>
      </c>
      <c r="E688" s="61">
        <v>-915.34619999999995</v>
      </c>
      <c r="U688" s="86">
        <v>0.68</v>
      </c>
      <c r="V688" s="62">
        <v>1080.8411000000001</v>
      </c>
      <c r="W688" s="86">
        <v>0.68</v>
      </c>
      <c r="X688" s="62">
        <v>1041.5565999999999</v>
      </c>
      <c r="Y688" s="86">
        <v>0.68</v>
      </c>
      <c r="Z688" s="62">
        <v>993.37163999999996</v>
      </c>
    </row>
    <row r="689" spans="4:26">
      <c r="D689" s="86">
        <v>0.68100000000000005</v>
      </c>
      <c r="E689" s="61">
        <v>-913.94640000000004</v>
      </c>
      <c r="U689" s="86">
        <v>0.68100000000000005</v>
      </c>
      <c r="V689" s="62">
        <v>1080.7917</v>
      </c>
      <c r="W689" s="86">
        <v>0.68100000000000005</v>
      </c>
      <c r="X689" s="62">
        <v>1041.4948999999999</v>
      </c>
      <c r="Y689" s="86">
        <v>0.68100000000000005</v>
      </c>
      <c r="Z689" s="62">
        <v>993.30769999999995</v>
      </c>
    </row>
    <row r="690" spans="4:26">
      <c r="D690" s="86">
        <v>0.68200000000000005</v>
      </c>
      <c r="E690" s="61">
        <v>-912.53399999999999</v>
      </c>
      <c r="U690" s="86">
        <v>0.68200000000000005</v>
      </c>
      <c r="V690" s="62">
        <v>1080.7422999999999</v>
      </c>
      <c r="W690" s="86">
        <v>0.68200000000000005</v>
      </c>
      <c r="X690" s="62">
        <v>1041.4331</v>
      </c>
      <c r="Y690" s="86">
        <v>0.68200000000000005</v>
      </c>
      <c r="Z690" s="62">
        <v>993.24369999999999</v>
      </c>
    </row>
    <row r="691" spans="4:26">
      <c r="D691" s="86">
        <v>0.68300000000000005</v>
      </c>
      <c r="E691" s="61">
        <v>-911.10889999999995</v>
      </c>
      <c r="U691" s="86">
        <v>0.68300000000000005</v>
      </c>
      <c r="V691" s="62">
        <v>1080.6929</v>
      </c>
      <c r="W691" s="86">
        <v>0.68300000000000005</v>
      </c>
      <c r="X691" s="62">
        <v>1041.3713</v>
      </c>
      <c r="Y691" s="86">
        <v>0.68300000000000005</v>
      </c>
      <c r="Z691" s="62">
        <v>993.1798</v>
      </c>
    </row>
    <row r="692" spans="4:26">
      <c r="D692" s="86">
        <v>0.68400000000000005</v>
      </c>
      <c r="E692" s="61">
        <v>-909.67110000000002</v>
      </c>
      <c r="U692" s="86">
        <v>0.68400000000000005</v>
      </c>
      <c r="V692" s="62">
        <v>1080.6432</v>
      </c>
      <c r="W692" s="86">
        <v>0.68400000000000005</v>
      </c>
      <c r="X692" s="62">
        <v>1041.3096</v>
      </c>
      <c r="Y692" s="86">
        <v>0.68400000000000005</v>
      </c>
      <c r="Z692" s="62">
        <v>993.11599999999999</v>
      </c>
    </row>
    <row r="693" spans="4:26">
      <c r="D693" s="86">
        <v>0.68500000000000005</v>
      </c>
      <c r="E693" s="61">
        <v>-908.22064</v>
      </c>
      <c r="U693" s="86">
        <v>0.68500000000000005</v>
      </c>
      <c r="V693" s="62">
        <v>1080.5934999999999</v>
      </c>
      <c r="W693" s="86">
        <v>0.68500000000000005</v>
      </c>
      <c r="X693" s="62">
        <v>1041.2478000000001</v>
      </c>
      <c r="Y693" s="86">
        <v>0.68500000000000005</v>
      </c>
      <c r="Z693" s="62">
        <v>993.05224999999996</v>
      </c>
    </row>
    <row r="694" spans="4:26">
      <c r="D694" s="86">
        <v>0.68600000000000005</v>
      </c>
      <c r="E694" s="61">
        <v>-906.75739999999996</v>
      </c>
      <c r="U694" s="86">
        <v>0.68600000000000005</v>
      </c>
      <c r="V694" s="62">
        <v>1080.5436999999999</v>
      </c>
      <c r="W694" s="86">
        <v>0.68600000000000005</v>
      </c>
      <c r="X694" s="62">
        <v>1041.1859999999999</v>
      </c>
      <c r="Y694" s="86">
        <v>0.68600000000000005</v>
      </c>
      <c r="Z694" s="62">
        <v>992.98860000000002</v>
      </c>
    </row>
    <row r="695" spans="4:26">
      <c r="D695" s="86">
        <v>0.68700000000000006</v>
      </c>
      <c r="E695" s="61">
        <v>-905.28143</v>
      </c>
      <c r="U695" s="86">
        <v>0.68700000000000006</v>
      </c>
      <c r="V695" s="62">
        <v>1080.4938999999999</v>
      </c>
      <c r="W695" s="86">
        <v>0.68700000000000006</v>
      </c>
      <c r="X695" s="62">
        <v>1041.1242999999999</v>
      </c>
      <c r="Y695" s="86">
        <v>0.68700000000000006</v>
      </c>
      <c r="Z695" s="62">
        <v>992.92489999999998</v>
      </c>
    </row>
    <row r="696" spans="4:26">
      <c r="D696" s="86">
        <v>0.68799999999999994</v>
      </c>
      <c r="E696" s="61">
        <v>-903.79280000000006</v>
      </c>
      <c r="U696" s="86">
        <v>0.68799999999999994</v>
      </c>
      <c r="V696" s="62">
        <v>1080.4438</v>
      </c>
      <c r="W696" s="86">
        <v>0.68799999999999994</v>
      </c>
      <c r="X696" s="62">
        <v>1041.0625</v>
      </c>
      <c r="Y696" s="86">
        <v>0.68799999999999994</v>
      </c>
      <c r="Z696" s="62">
        <v>992.8614</v>
      </c>
    </row>
    <row r="697" spans="4:26">
      <c r="D697" s="86">
        <v>0.68899999999999995</v>
      </c>
      <c r="E697" s="61">
        <v>-902.29125999999997</v>
      </c>
      <c r="U697" s="86">
        <v>0.68899999999999995</v>
      </c>
      <c r="V697" s="62">
        <v>1080.3938000000001</v>
      </c>
      <c r="W697" s="86">
        <v>0.68899999999999995</v>
      </c>
      <c r="X697" s="62">
        <v>1041.0007000000001</v>
      </c>
      <c r="Y697" s="86">
        <v>0.68899999999999995</v>
      </c>
      <c r="Z697" s="62">
        <v>992.79790000000003</v>
      </c>
    </row>
    <row r="698" spans="4:26">
      <c r="D698" s="86">
        <v>0.69</v>
      </c>
      <c r="E698" s="61">
        <v>-900.77700000000004</v>
      </c>
      <c r="U698" s="86">
        <v>0.69</v>
      </c>
      <c r="V698" s="62">
        <v>1080.3435999999999</v>
      </c>
      <c r="W698" s="86">
        <v>0.69</v>
      </c>
      <c r="X698" s="62">
        <v>1040.9390000000001</v>
      </c>
      <c r="Y698" s="86">
        <v>0.69</v>
      </c>
      <c r="Z698" s="62">
        <v>992.73450000000003</v>
      </c>
    </row>
    <row r="699" spans="4:26">
      <c r="D699" s="86">
        <v>0.69099999999999995</v>
      </c>
      <c r="E699" s="61">
        <v>-899.24994000000004</v>
      </c>
      <c r="U699" s="86">
        <v>0.69099999999999995</v>
      </c>
      <c r="V699" s="62">
        <v>1080.2935</v>
      </c>
      <c r="W699" s="86">
        <v>0.69099999999999995</v>
      </c>
      <c r="X699" s="62">
        <v>1040.8771999999999</v>
      </c>
      <c r="Y699" s="86">
        <v>0.69099999999999995</v>
      </c>
      <c r="Z699" s="62">
        <v>992.67114000000004</v>
      </c>
    </row>
    <row r="700" spans="4:26">
      <c r="D700" s="86">
        <v>0.69199999999999995</v>
      </c>
      <c r="E700" s="61">
        <v>-897.71</v>
      </c>
      <c r="U700" s="86">
        <v>0.69199999999999995</v>
      </c>
      <c r="V700" s="62">
        <v>1080.2431999999999</v>
      </c>
      <c r="W700" s="86">
        <v>0.69199999999999995</v>
      </c>
      <c r="X700" s="62">
        <v>1040.8153</v>
      </c>
      <c r="Y700" s="86">
        <v>0.69199999999999995</v>
      </c>
      <c r="Z700" s="62">
        <v>992.60784999999998</v>
      </c>
    </row>
    <row r="701" spans="4:26">
      <c r="D701" s="86">
        <v>0.69299999999999995</v>
      </c>
      <c r="E701" s="61">
        <v>-896.15729999999996</v>
      </c>
      <c r="U701" s="86">
        <v>0.69299999999999995</v>
      </c>
      <c r="V701" s="62">
        <v>1080.1927000000001</v>
      </c>
      <c r="W701" s="86">
        <v>0.69299999999999995</v>
      </c>
      <c r="X701" s="62">
        <v>1040.7535</v>
      </c>
      <c r="Y701" s="86">
        <v>0.69299999999999995</v>
      </c>
      <c r="Z701" s="62">
        <v>992.54459999999995</v>
      </c>
    </row>
    <row r="702" spans="4:26">
      <c r="D702" s="86">
        <v>0.69399999999999995</v>
      </c>
      <c r="E702" s="61">
        <v>-894.59169999999995</v>
      </c>
      <c r="U702" s="86">
        <v>0.69399999999999995</v>
      </c>
      <c r="V702" s="62">
        <v>1080.1422</v>
      </c>
      <c r="W702" s="86">
        <v>0.69399999999999995</v>
      </c>
      <c r="X702" s="62">
        <v>1040.6918000000001</v>
      </c>
      <c r="Y702" s="86">
        <v>0.69399999999999995</v>
      </c>
      <c r="Z702" s="62">
        <v>992.48145</v>
      </c>
    </row>
    <row r="703" spans="4:26">
      <c r="D703" s="86">
        <v>0.69499999999999995</v>
      </c>
      <c r="E703" s="61">
        <v>-893.01319999999998</v>
      </c>
      <c r="U703" s="86">
        <v>0.69499999999999995</v>
      </c>
      <c r="V703" s="62">
        <v>1080.0916999999999</v>
      </c>
      <c r="W703" s="86">
        <v>0.69499999999999995</v>
      </c>
      <c r="X703" s="62">
        <v>1040.6298999999999</v>
      </c>
      <c r="Y703" s="86">
        <v>0.69499999999999995</v>
      </c>
      <c r="Z703" s="62">
        <v>992.41832999999997</v>
      </c>
    </row>
    <row r="704" spans="4:26">
      <c r="D704" s="86">
        <v>0.69599999999999995</v>
      </c>
      <c r="E704" s="61">
        <v>-891.42179999999996</v>
      </c>
      <c r="U704" s="86">
        <v>0.69599999999999995</v>
      </c>
      <c r="V704" s="62">
        <v>1080.0409</v>
      </c>
      <c r="W704" s="86">
        <v>0.69599999999999995</v>
      </c>
      <c r="X704" s="62">
        <v>1040.5681</v>
      </c>
      <c r="Y704" s="86">
        <v>0.69599999999999995</v>
      </c>
      <c r="Z704" s="62">
        <v>992.35530000000006</v>
      </c>
    </row>
    <row r="705" spans="4:26">
      <c r="D705" s="86">
        <v>0.69699999999999995</v>
      </c>
      <c r="E705" s="61">
        <v>-889.81757000000005</v>
      </c>
      <c r="U705" s="86">
        <v>0.69699999999999995</v>
      </c>
      <c r="V705" s="62">
        <v>1079.9902</v>
      </c>
      <c r="W705" s="86">
        <v>0.69699999999999995</v>
      </c>
      <c r="X705" s="62">
        <v>1040.5062</v>
      </c>
      <c r="Y705" s="86">
        <v>0.69699999999999995</v>
      </c>
      <c r="Z705" s="62">
        <v>992.29229999999995</v>
      </c>
    </row>
    <row r="706" spans="4:26">
      <c r="D706" s="86">
        <v>0.69799999999999995</v>
      </c>
      <c r="E706" s="61">
        <v>-888.20039999999995</v>
      </c>
      <c r="U706" s="86">
        <v>0.69799999999999995</v>
      </c>
      <c r="V706" s="62">
        <v>1079.9393</v>
      </c>
      <c r="W706" s="86">
        <v>0.69799999999999995</v>
      </c>
      <c r="X706" s="62">
        <v>1040.4445000000001</v>
      </c>
      <c r="Y706" s="86">
        <v>0.69799999999999995</v>
      </c>
      <c r="Z706" s="62">
        <v>992.22940000000006</v>
      </c>
    </row>
    <row r="707" spans="4:26">
      <c r="D707" s="86">
        <v>0.69899999999999995</v>
      </c>
      <c r="E707" s="61">
        <v>-886.57024999999999</v>
      </c>
      <c r="U707" s="86">
        <v>0.69899999999999995</v>
      </c>
      <c r="V707" s="62">
        <v>1079.8884</v>
      </c>
      <c r="W707" s="86">
        <v>0.69899999999999995</v>
      </c>
      <c r="X707" s="62">
        <v>1040.3825999999999</v>
      </c>
      <c r="Y707" s="86">
        <v>0.69899999999999995</v>
      </c>
      <c r="Z707" s="62">
        <v>992.16656</v>
      </c>
    </row>
    <row r="708" spans="4:26">
      <c r="D708" s="86">
        <v>0.7</v>
      </c>
      <c r="E708" s="61">
        <v>-884.92724999999996</v>
      </c>
      <c r="U708" s="86">
        <v>0.7</v>
      </c>
      <c r="V708" s="62">
        <v>1079.8373999999999</v>
      </c>
      <c r="W708" s="86">
        <v>0.7</v>
      </c>
      <c r="X708" s="62">
        <v>1040.3208</v>
      </c>
      <c r="Y708" s="86">
        <v>0.7</v>
      </c>
      <c r="Z708" s="62">
        <v>992.10375999999997</v>
      </c>
    </row>
    <row r="709" spans="4:26">
      <c r="D709" s="86">
        <v>0.70099999999999996</v>
      </c>
      <c r="E709" s="61">
        <v>-883.27124000000003</v>
      </c>
      <c r="U709" s="86">
        <v>0.70099999999999996</v>
      </c>
      <c r="V709" s="62">
        <v>1079.7863</v>
      </c>
      <c r="W709" s="86">
        <v>0.70099999999999996</v>
      </c>
      <c r="X709" s="62">
        <v>1040.2589</v>
      </c>
      <c r="Y709" s="86">
        <v>0.70099999999999996</v>
      </c>
      <c r="Z709" s="62">
        <v>992.04110000000003</v>
      </c>
    </row>
    <row r="710" spans="4:26">
      <c r="D710" s="86">
        <v>0.70199999999999996</v>
      </c>
      <c r="E710" s="61">
        <v>-881.60230000000001</v>
      </c>
      <c r="U710" s="86">
        <v>0.70199999999999996</v>
      </c>
      <c r="V710" s="62">
        <v>1079.7351000000001</v>
      </c>
      <c r="W710" s="86">
        <v>0.70199999999999996</v>
      </c>
      <c r="X710" s="62">
        <v>1040.1969999999999</v>
      </c>
      <c r="Y710" s="86">
        <v>0.70199999999999996</v>
      </c>
      <c r="Z710" s="62">
        <v>991.97839999999997</v>
      </c>
    </row>
    <row r="711" spans="4:26">
      <c r="D711" s="86">
        <v>0.70299999999999996</v>
      </c>
      <c r="E711" s="61">
        <v>-879.92034999999998</v>
      </c>
      <c r="U711" s="86">
        <v>0.70299999999999996</v>
      </c>
      <c r="V711" s="62">
        <v>1079.6838</v>
      </c>
      <c r="W711" s="86">
        <v>0.70299999999999996</v>
      </c>
      <c r="X711" s="62">
        <v>1040.1352999999999</v>
      </c>
      <c r="Y711" s="86">
        <v>0.70299999999999996</v>
      </c>
      <c r="Z711" s="62">
        <v>991.91583000000003</v>
      </c>
    </row>
    <row r="712" spans="4:26">
      <c r="D712" s="86">
        <v>0.70399999999999996</v>
      </c>
      <c r="E712" s="61">
        <v>-878.22546</v>
      </c>
      <c r="U712" s="86">
        <v>0.70399999999999996</v>
      </c>
      <c r="V712" s="62">
        <v>1079.6324</v>
      </c>
      <c r="W712" s="86">
        <v>0.70399999999999996</v>
      </c>
      <c r="X712" s="62">
        <v>1040.0734</v>
      </c>
      <c r="Y712" s="86">
        <v>0.70399999999999996</v>
      </c>
      <c r="Z712" s="62">
        <v>991.85329999999999</v>
      </c>
    </row>
    <row r="713" spans="4:26">
      <c r="D713" s="86">
        <v>0.70499999999999996</v>
      </c>
      <c r="E713" s="61">
        <v>-876.51750000000004</v>
      </c>
      <c r="U713" s="86">
        <v>0.70499999999999996</v>
      </c>
      <c r="V713" s="62">
        <v>1079.5809999999999</v>
      </c>
      <c r="W713" s="86">
        <v>0.70499999999999996</v>
      </c>
      <c r="X713" s="62">
        <v>1040.0115000000001</v>
      </c>
      <c r="Y713" s="86">
        <v>0.70499999999999996</v>
      </c>
      <c r="Z713" s="62">
        <v>991.79083000000003</v>
      </c>
    </row>
    <row r="714" spans="4:26">
      <c r="D714" s="86">
        <v>0.70599999999999996</v>
      </c>
      <c r="E714" s="61">
        <v>-874.79663000000005</v>
      </c>
      <c r="U714" s="86">
        <v>0.70599999999999996</v>
      </c>
      <c r="V714" s="62">
        <v>1079.5295000000001</v>
      </c>
      <c r="W714" s="86">
        <v>0.70599999999999996</v>
      </c>
      <c r="X714" s="62">
        <v>1039.9496999999999</v>
      </c>
      <c r="Y714" s="86">
        <v>0.70599999999999996</v>
      </c>
      <c r="Z714" s="62">
        <v>991.72844999999995</v>
      </c>
    </row>
    <row r="715" spans="4:26">
      <c r="D715" s="86">
        <v>0.70699999999999996</v>
      </c>
      <c r="E715" s="61">
        <v>-873.06269999999995</v>
      </c>
      <c r="U715" s="86">
        <v>0.70699999999999996</v>
      </c>
      <c r="V715" s="62">
        <v>1079.4780000000001</v>
      </c>
      <c r="W715" s="86">
        <v>0.70699999999999996</v>
      </c>
      <c r="X715" s="62">
        <v>1039.8878</v>
      </c>
      <c r="Y715" s="86">
        <v>0.70699999999999996</v>
      </c>
      <c r="Z715" s="62">
        <v>991.66610000000003</v>
      </c>
    </row>
    <row r="716" spans="4:26">
      <c r="D716" s="86">
        <v>0.70799999999999996</v>
      </c>
      <c r="E716" s="61">
        <v>-871.31573000000003</v>
      </c>
      <c r="U716" s="86">
        <v>0.70799999999999996</v>
      </c>
      <c r="V716" s="62">
        <v>1079.4263000000001</v>
      </c>
      <c r="W716" s="86">
        <v>0.70799999999999996</v>
      </c>
      <c r="X716" s="62">
        <v>1039.8259</v>
      </c>
      <c r="Y716" s="86">
        <v>0.70799999999999996</v>
      </c>
      <c r="Z716" s="62">
        <v>991.60379999999998</v>
      </c>
    </row>
    <row r="717" spans="4:26">
      <c r="D717" s="86">
        <v>0.70899999999999996</v>
      </c>
      <c r="E717" s="61">
        <v>-869.55579999999998</v>
      </c>
      <c r="U717" s="86">
        <v>0.70899999999999996</v>
      </c>
      <c r="V717" s="62">
        <v>1079.3744999999999</v>
      </c>
      <c r="W717" s="86">
        <v>0.70899999999999996</v>
      </c>
      <c r="X717" s="62">
        <v>1039.7639999999999</v>
      </c>
      <c r="Y717" s="86">
        <v>0.70899999999999996</v>
      </c>
      <c r="Z717" s="62">
        <v>991.54160000000002</v>
      </c>
    </row>
    <row r="718" spans="4:26">
      <c r="D718" s="86">
        <v>0.71</v>
      </c>
      <c r="E718" s="61">
        <v>-867.78279999999995</v>
      </c>
      <c r="U718" s="86">
        <v>0.71</v>
      </c>
      <c r="V718" s="62">
        <v>1079.3227999999999</v>
      </c>
      <c r="W718" s="86">
        <v>0.71</v>
      </c>
      <c r="X718" s="62">
        <v>1039.7022999999999</v>
      </c>
      <c r="Y718" s="86">
        <v>0.71</v>
      </c>
      <c r="Z718" s="62">
        <v>991.47950000000003</v>
      </c>
    </row>
    <row r="719" spans="4:26">
      <c r="D719" s="86">
        <v>0.71099999999999997</v>
      </c>
      <c r="E719" s="61">
        <v>-865.99670000000003</v>
      </c>
      <c r="U719" s="86">
        <v>0.71099999999999997</v>
      </c>
      <c r="V719" s="62">
        <v>1079.2708</v>
      </c>
      <c r="W719" s="86">
        <v>0.71099999999999997</v>
      </c>
      <c r="X719" s="62">
        <v>1039.6404</v>
      </c>
      <c r="Y719" s="86">
        <v>0.71099999999999997</v>
      </c>
      <c r="Z719" s="62">
        <v>991.41740000000004</v>
      </c>
    </row>
    <row r="720" spans="4:26">
      <c r="D720" s="86">
        <v>0.71199999999999997</v>
      </c>
      <c r="E720" s="61">
        <v>-864.19763</v>
      </c>
      <c r="U720" s="86">
        <v>0.71199999999999997</v>
      </c>
      <c r="V720" s="62">
        <v>1079.2188000000001</v>
      </c>
      <c r="W720" s="86">
        <v>0.71199999999999997</v>
      </c>
      <c r="X720" s="62">
        <v>1039.5785000000001</v>
      </c>
      <c r="Y720" s="86">
        <v>0.71199999999999997</v>
      </c>
      <c r="Z720" s="62">
        <v>991.35540000000003</v>
      </c>
    </row>
    <row r="721" spans="4:26">
      <c r="D721" s="86">
        <v>0.71299999999999997</v>
      </c>
      <c r="E721" s="61">
        <v>-862.38544000000002</v>
      </c>
      <c r="U721" s="86">
        <v>0.71299999999999997</v>
      </c>
      <c r="V721" s="62">
        <v>1079.1667</v>
      </c>
      <c r="W721" s="86">
        <v>0.71299999999999997</v>
      </c>
      <c r="X721" s="62">
        <v>1039.5165999999999</v>
      </c>
      <c r="Y721" s="86">
        <v>0.71299999999999997</v>
      </c>
      <c r="Z721" s="62">
        <v>991.29345999999998</v>
      </c>
    </row>
    <row r="722" spans="4:26">
      <c r="D722" s="86">
        <v>0.71399999999999997</v>
      </c>
      <c r="E722" s="61">
        <v>-860.56024000000002</v>
      </c>
      <c r="U722" s="86">
        <v>0.71399999999999997</v>
      </c>
      <c r="V722" s="62">
        <v>1079.1146000000001</v>
      </c>
      <c r="W722" s="86">
        <v>0.71399999999999997</v>
      </c>
      <c r="X722" s="62">
        <v>1039.4547</v>
      </c>
      <c r="Y722" s="86">
        <v>0.71399999999999997</v>
      </c>
      <c r="Z722" s="62">
        <v>991.23157000000003</v>
      </c>
    </row>
    <row r="723" spans="4:26">
      <c r="D723" s="86">
        <v>0.71499999999999997</v>
      </c>
      <c r="E723" s="61">
        <v>-858.72199999999998</v>
      </c>
      <c r="U723" s="86">
        <v>0.71499999999999997</v>
      </c>
      <c r="V723" s="62">
        <v>1079.0624</v>
      </c>
      <c r="W723" s="86">
        <v>0.71499999999999997</v>
      </c>
      <c r="X723" s="62">
        <v>1039.393</v>
      </c>
      <c r="Y723" s="86">
        <v>0.71499999999999997</v>
      </c>
      <c r="Z723" s="62">
        <v>991.16974000000005</v>
      </c>
    </row>
    <row r="724" spans="4:26">
      <c r="D724" s="86">
        <v>0.71599999999999997</v>
      </c>
      <c r="E724" s="61">
        <v>-856.87059999999997</v>
      </c>
      <c r="U724" s="86">
        <v>0.71599999999999997</v>
      </c>
      <c r="V724" s="62">
        <v>1079.01</v>
      </c>
      <c r="W724" s="86">
        <v>0.71599999999999997</v>
      </c>
      <c r="X724" s="62">
        <v>1039.3309999999999</v>
      </c>
      <c r="Y724" s="86">
        <v>0.71599999999999997</v>
      </c>
      <c r="Z724" s="62">
        <v>991.10799999999995</v>
      </c>
    </row>
    <row r="725" spans="4:26">
      <c r="D725" s="86">
        <v>0.71699999999999997</v>
      </c>
      <c r="E725" s="61">
        <v>-855.00616000000002</v>
      </c>
      <c r="U725" s="86">
        <v>0.71699999999999997</v>
      </c>
      <c r="V725" s="62">
        <v>1078.9576</v>
      </c>
      <c r="W725" s="86">
        <v>0.71699999999999997</v>
      </c>
      <c r="X725" s="62">
        <v>1039.2692</v>
      </c>
      <c r="Y725" s="86">
        <v>0.71699999999999997</v>
      </c>
      <c r="Z725" s="62">
        <v>991.04625999999996</v>
      </c>
    </row>
    <row r="726" spans="4:26">
      <c r="D726" s="86">
        <v>0.71799999999999997</v>
      </c>
      <c r="E726" s="61">
        <v>-853.12865999999997</v>
      </c>
      <c r="U726" s="86">
        <v>0.71799999999999997</v>
      </c>
      <c r="V726" s="62">
        <v>1078.9051999999999</v>
      </c>
      <c r="W726" s="86">
        <v>0.71799999999999997</v>
      </c>
      <c r="X726" s="62">
        <v>1039.2073</v>
      </c>
      <c r="Y726" s="86">
        <v>0.71799999999999997</v>
      </c>
      <c r="Z726" s="62">
        <v>990.98469999999998</v>
      </c>
    </row>
    <row r="727" spans="4:26">
      <c r="D727" s="86">
        <v>0.71899999999999997</v>
      </c>
      <c r="E727" s="61">
        <v>-851.23810000000003</v>
      </c>
      <c r="U727" s="86">
        <v>0.71899999999999997</v>
      </c>
      <c r="V727" s="62">
        <v>1078.8526999999999</v>
      </c>
      <c r="W727" s="86">
        <v>0.71899999999999997</v>
      </c>
      <c r="X727" s="62">
        <v>1039.1454000000001</v>
      </c>
      <c r="Y727" s="86">
        <v>0.71899999999999997</v>
      </c>
      <c r="Z727" s="62">
        <v>990.92309999999998</v>
      </c>
    </row>
    <row r="728" spans="4:26">
      <c r="D728" s="86">
        <v>0.72</v>
      </c>
      <c r="E728" s="61">
        <v>-849.33450000000005</v>
      </c>
      <c r="U728" s="86">
        <v>0.72</v>
      </c>
      <c r="V728" s="62">
        <v>1078.8</v>
      </c>
      <c r="W728" s="86">
        <v>0.72</v>
      </c>
      <c r="X728" s="62">
        <v>1039.0835</v>
      </c>
      <c r="Y728" s="86">
        <v>0.72</v>
      </c>
      <c r="Z728" s="62">
        <v>990.86159999999995</v>
      </c>
    </row>
    <row r="729" spans="4:26">
      <c r="D729" s="86">
        <v>0.72099999999999997</v>
      </c>
      <c r="E729" s="61">
        <v>-847.41769999999997</v>
      </c>
      <c r="U729" s="86">
        <v>0.72099999999999997</v>
      </c>
      <c r="V729" s="62">
        <v>1078.7473</v>
      </c>
      <c r="W729" s="86">
        <v>0.72099999999999997</v>
      </c>
      <c r="X729" s="62">
        <v>1039.0217</v>
      </c>
      <c r="Y729" s="86">
        <v>0.72099999999999997</v>
      </c>
      <c r="Z729" s="62">
        <v>990.80020000000002</v>
      </c>
    </row>
    <row r="730" spans="4:26">
      <c r="D730" s="86">
        <v>0.72199999999999998</v>
      </c>
      <c r="E730" s="61">
        <v>-845.48789999999997</v>
      </c>
      <c r="U730" s="86">
        <v>0.72199999999999998</v>
      </c>
      <c r="V730" s="62">
        <v>1078.6946</v>
      </c>
      <c r="W730" s="86">
        <v>0.72199999999999998</v>
      </c>
      <c r="X730" s="62">
        <v>1038.9598000000001</v>
      </c>
      <c r="Y730" s="86">
        <v>0.72199999999999998</v>
      </c>
      <c r="Z730" s="62">
        <v>990.73879999999997</v>
      </c>
    </row>
    <row r="731" spans="4:26">
      <c r="D731" s="86">
        <v>0.72299999999999998</v>
      </c>
      <c r="E731" s="61">
        <v>-843.54503999999997</v>
      </c>
      <c r="U731" s="86">
        <v>0.72299999999999998</v>
      </c>
      <c r="V731" s="62">
        <v>1078.6416999999999</v>
      </c>
      <c r="W731" s="86">
        <v>0.72299999999999998</v>
      </c>
      <c r="X731" s="62">
        <v>1038.8979999999999</v>
      </c>
      <c r="Y731" s="86">
        <v>0.72299999999999998</v>
      </c>
      <c r="Z731" s="62">
        <v>990.67750000000001</v>
      </c>
    </row>
    <row r="732" spans="4:26">
      <c r="D732" s="86">
        <v>0.72399999999999998</v>
      </c>
      <c r="E732" s="61">
        <v>-841.58905000000004</v>
      </c>
      <c r="U732" s="86">
        <v>0.72399999999999998</v>
      </c>
      <c r="V732" s="62">
        <v>1078.5889</v>
      </c>
      <c r="W732" s="86">
        <v>0.72399999999999998</v>
      </c>
      <c r="X732" s="62">
        <v>1038.836</v>
      </c>
      <c r="Y732" s="86">
        <v>0.72399999999999998</v>
      </c>
      <c r="Z732" s="62">
        <v>990.61620000000005</v>
      </c>
    </row>
    <row r="733" spans="4:26">
      <c r="D733" s="86">
        <v>0.72499999999999998</v>
      </c>
      <c r="E733" s="61">
        <v>-839.62</v>
      </c>
      <c r="U733" s="86">
        <v>0.72499999999999998</v>
      </c>
      <c r="V733" s="62">
        <v>1078.5359000000001</v>
      </c>
      <c r="W733" s="86">
        <v>0.72499999999999998</v>
      </c>
      <c r="X733" s="62">
        <v>1038.7743</v>
      </c>
      <c r="Y733" s="86">
        <v>0.72499999999999998</v>
      </c>
      <c r="Z733" s="62">
        <v>990.55505000000005</v>
      </c>
    </row>
    <row r="734" spans="4:26">
      <c r="D734" s="86">
        <v>0.72599999999999998</v>
      </c>
      <c r="E734" s="61">
        <v>-837.63789999999995</v>
      </c>
      <c r="U734" s="86">
        <v>0.72599999999999998</v>
      </c>
      <c r="V734" s="62">
        <v>1078.4828</v>
      </c>
      <c r="W734" s="86">
        <v>0.72599999999999998</v>
      </c>
      <c r="X734" s="62">
        <v>1038.7123999999999</v>
      </c>
      <c r="Y734" s="86">
        <v>0.72599999999999998</v>
      </c>
      <c r="Z734" s="62">
        <v>990.49390000000005</v>
      </c>
    </row>
    <row r="735" spans="4:26">
      <c r="D735" s="86">
        <v>0.72699999999999998</v>
      </c>
      <c r="E735" s="61">
        <v>-835.64269999999999</v>
      </c>
      <c r="U735" s="86">
        <v>0.72699999999999998</v>
      </c>
      <c r="V735" s="62">
        <v>1078.4296999999999</v>
      </c>
      <c r="W735" s="86">
        <v>0.72699999999999998</v>
      </c>
      <c r="X735" s="62">
        <v>1038.6505</v>
      </c>
      <c r="Y735" s="86">
        <v>0.72699999999999998</v>
      </c>
      <c r="Z735" s="62">
        <v>990.43286000000001</v>
      </c>
    </row>
    <row r="736" spans="4:26">
      <c r="D736" s="86">
        <v>0.72799999999999998</v>
      </c>
      <c r="E736" s="61">
        <v>-833.63445999999999</v>
      </c>
      <c r="U736" s="86">
        <v>0.72799999999999998</v>
      </c>
      <c r="V736" s="62">
        <v>1078.3765000000001</v>
      </c>
      <c r="W736" s="86">
        <v>0.72799999999999998</v>
      </c>
      <c r="X736" s="62">
        <v>1038.5887</v>
      </c>
      <c r="Y736" s="86">
        <v>0.72799999999999998</v>
      </c>
      <c r="Z736" s="62">
        <v>990.37180000000001</v>
      </c>
    </row>
    <row r="737" spans="4:26">
      <c r="D737" s="86">
        <v>0.72899999999999998</v>
      </c>
      <c r="E737" s="61">
        <v>-831.61310000000003</v>
      </c>
      <c r="U737" s="86">
        <v>0.72899999999999998</v>
      </c>
      <c r="V737" s="62">
        <v>1078.3232</v>
      </c>
      <c r="W737" s="86">
        <v>0.72899999999999998</v>
      </c>
      <c r="X737" s="62">
        <v>1038.5269000000001</v>
      </c>
      <c r="Y737" s="86">
        <v>0.72899999999999998</v>
      </c>
      <c r="Z737" s="62">
        <v>990.31089999999995</v>
      </c>
    </row>
    <row r="738" spans="4:26">
      <c r="D738" s="86">
        <v>0.73</v>
      </c>
      <c r="E738" s="61">
        <v>-829.57874000000004</v>
      </c>
      <c r="U738" s="86">
        <v>0.73</v>
      </c>
      <c r="V738" s="62">
        <v>1078.2699</v>
      </c>
      <c r="W738" s="86">
        <v>0.73</v>
      </c>
      <c r="X738" s="62">
        <v>1038.4649999999999</v>
      </c>
      <c r="Y738" s="86">
        <v>0.73</v>
      </c>
      <c r="Z738" s="62">
        <v>990.25005999999996</v>
      </c>
    </row>
    <row r="739" spans="4:26">
      <c r="D739" s="86">
        <v>0.73099999999999998</v>
      </c>
      <c r="E739" s="61">
        <v>-827.53125</v>
      </c>
      <c r="U739" s="86">
        <v>0.73099999999999998</v>
      </c>
      <c r="V739" s="62">
        <v>1078.2164</v>
      </c>
      <c r="W739" s="86">
        <v>0.73099999999999998</v>
      </c>
      <c r="X739" s="62">
        <v>1038.4032</v>
      </c>
      <c r="Y739" s="86">
        <v>0.73099999999999998</v>
      </c>
      <c r="Z739" s="62">
        <v>990.1893</v>
      </c>
    </row>
    <row r="740" spans="4:26">
      <c r="D740" s="86">
        <v>0.73199999999999998</v>
      </c>
      <c r="E740" s="61">
        <v>-825.47076000000004</v>
      </c>
      <c r="U740" s="86">
        <v>0.73199999999999998</v>
      </c>
      <c r="V740" s="62">
        <v>1078.163</v>
      </c>
      <c r="W740" s="86">
        <v>0.73199999999999998</v>
      </c>
      <c r="X740" s="62">
        <v>1038.3413</v>
      </c>
      <c r="Y740" s="86">
        <v>0.73199999999999998</v>
      </c>
      <c r="Z740" s="62">
        <v>990.12850000000003</v>
      </c>
    </row>
    <row r="741" spans="4:26">
      <c r="D741" s="86">
        <v>0.73299999999999998</v>
      </c>
      <c r="E741" s="61">
        <v>-823.3972</v>
      </c>
      <c r="U741" s="86">
        <v>0.73299999999999998</v>
      </c>
      <c r="V741" s="62">
        <v>1078.1094000000001</v>
      </c>
      <c r="W741" s="86">
        <v>0.73299999999999998</v>
      </c>
      <c r="X741" s="62">
        <v>1038.2795000000001</v>
      </c>
      <c r="Y741" s="86">
        <v>0.73299999999999998</v>
      </c>
      <c r="Z741" s="62">
        <v>990.06780000000003</v>
      </c>
    </row>
    <row r="742" spans="4:26">
      <c r="D742" s="86">
        <v>0.73399999999999999</v>
      </c>
      <c r="E742" s="61">
        <v>-821.31066999999996</v>
      </c>
      <c r="U742" s="86">
        <v>0.73399999999999999</v>
      </c>
      <c r="V742" s="62">
        <v>1078.0558000000001</v>
      </c>
      <c r="W742" s="86">
        <v>0.73399999999999999</v>
      </c>
      <c r="X742" s="62">
        <v>1038.2176999999999</v>
      </c>
      <c r="Y742" s="86">
        <v>0.73399999999999999</v>
      </c>
      <c r="Z742" s="62">
        <v>990.00720000000001</v>
      </c>
    </row>
    <row r="743" spans="4:26">
      <c r="D743" s="86">
        <v>0.73499999999999999</v>
      </c>
      <c r="E743" s="61">
        <v>-819.21105999999997</v>
      </c>
      <c r="U743" s="86">
        <v>0.73499999999999999</v>
      </c>
      <c r="V743" s="62">
        <v>1078.0020999999999</v>
      </c>
      <c r="W743" s="86">
        <v>0.73499999999999999</v>
      </c>
      <c r="X743" s="62">
        <v>1038.1559</v>
      </c>
      <c r="Y743" s="86">
        <v>0.73499999999999999</v>
      </c>
      <c r="Z743" s="62">
        <v>989.94665999999995</v>
      </c>
    </row>
    <row r="744" spans="4:26">
      <c r="D744" s="86">
        <v>0.73599999999999999</v>
      </c>
      <c r="E744" s="61">
        <v>-817.09844999999996</v>
      </c>
      <c r="U744" s="86">
        <v>0.73599999999999999</v>
      </c>
      <c r="V744" s="62">
        <v>1077.9484</v>
      </c>
      <c r="W744" s="86">
        <v>0.73599999999999999</v>
      </c>
      <c r="X744" s="62">
        <v>1038.0940000000001</v>
      </c>
      <c r="Y744" s="86">
        <v>0.73599999999999999</v>
      </c>
      <c r="Z744" s="62">
        <v>989.88616999999999</v>
      </c>
    </row>
    <row r="745" spans="4:26">
      <c r="D745" s="86">
        <v>0.73699999999999999</v>
      </c>
      <c r="E745" s="61">
        <v>-814.97280000000001</v>
      </c>
      <c r="U745" s="86">
        <v>0.73699999999999999</v>
      </c>
      <c r="V745" s="62">
        <v>1077.8943999999999</v>
      </c>
      <c r="W745" s="86">
        <v>0.73699999999999999</v>
      </c>
      <c r="X745" s="62">
        <v>1038.0322000000001</v>
      </c>
      <c r="Y745" s="86">
        <v>0.73699999999999999</v>
      </c>
      <c r="Z745" s="62">
        <v>989.82574</v>
      </c>
    </row>
    <row r="746" spans="4:26">
      <c r="D746" s="86">
        <v>0.73799999999999999</v>
      </c>
      <c r="E746" s="61">
        <v>-812.83416999999997</v>
      </c>
      <c r="U746" s="86">
        <v>0.73799999999999999</v>
      </c>
      <c r="V746" s="62">
        <v>1077.8406</v>
      </c>
      <c r="W746" s="86">
        <v>0.73799999999999999</v>
      </c>
      <c r="X746" s="62">
        <v>1037.9703</v>
      </c>
      <c r="Y746" s="86">
        <v>0.73799999999999999</v>
      </c>
      <c r="Z746" s="62">
        <v>989.76530000000002</v>
      </c>
    </row>
    <row r="747" spans="4:26">
      <c r="D747" s="86">
        <v>0.73899999999999999</v>
      </c>
      <c r="E747" s="61">
        <v>-810.6825</v>
      </c>
      <c r="U747" s="86">
        <v>0.73899999999999999</v>
      </c>
      <c r="V747" s="62">
        <v>1077.7865999999999</v>
      </c>
      <c r="W747" s="86">
        <v>0.73899999999999999</v>
      </c>
      <c r="X747" s="62">
        <v>1037.9086</v>
      </c>
      <c r="Y747" s="86">
        <v>0.73899999999999999</v>
      </c>
      <c r="Z747" s="62">
        <v>989.70500000000004</v>
      </c>
    </row>
    <row r="748" spans="4:26">
      <c r="D748" s="86">
        <v>0.74</v>
      </c>
      <c r="E748" s="61">
        <v>-808.51790000000005</v>
      </c>
      <c r="U748" s="86">
        <v>0.74</v>
      </c>
      <c r="V748" s="62">
        <v>1077.7325000000001</v>
      </c>
      <c r="W748" s="86">
        <v>0.74</v>
      </c>
      <c r="X748" s="62">
        <v>1037.8468</v>
      </c>
      <c r="Y748" s="86">
        <v>0.74</v>
      </c>
      <c r="Z748" s="62">
        <v>989.64480000000003</v>
      </c>
    </row>
    <row r="749" spans="4:26">
      <c r="D749" s="86">
        <v>0.74099999999999999</v>
      </c>
      <c r="E749" s="61">
        <v>-806.34032999999999</v>
      </c>
      <c r="U749" s="86">
        <v>0.74099999999999999</v>
      </c>
      <c r="V749" s="62">
        <v>1077.6785</v>
      </c>
      <c r="W749" s="86">
        <v>0.74099999999999999</v>
      </c>
      <c r="X749" s="62">
        <v>1037.7849000000001</v>
      </c>
      <c r="Y749" s="86">
        <v>0.74099999999999999</v>
      </c>
      <c r="Z749" s="62">
        <v>989.58460000000002</v>
      </c>
    </row>
    <row r="750" spans="4:26">
      <c r="D750" s="86">
        <v>0.74199999999999999</v>
      </c>
      <c r="E750" s="61">
        <v>-804.14980000000003</v>
      </c>
      <c r="U750" s="86">
        <v>0.74199999999999999</v>
      </c>
      <c r="V750" s="62">
        <v>1077.6242999999999</v>
      </c>
      <c r="W750" s="86">
        <v>0.74199999999999999</v>
      </c>
      <c r="X750" s="62">
        <v>1037.7230999999999</v>
      </c>
      <c r="Y750" s="86">
        <v>0.74199999999999999</v>
      </c>
      <c r="Z750" s="62">
        <v>989.52449999999999</v>
      </c>
    </row>
    <row r="751" spans="4:26">
      <c r="D751" s="86">
        <v>0.74299999999999999</v>
      </c>
      <c r="E751" s="61">
        <v>-801.94635000000005</v>
      </c>
      <c r="U751" s="86">
        <v>0.74299999999999999</v>
      </c>
      <c r="V751" s="62">
        <v>1077.5700999999999</v>
      </c>
      <c r="W751" s="86">
        <v>0.74299999999999999</v>
      </c>
      <c r="X751" s="62">
        <v>1037.6614</v>
      </c>
      <c r="Y751" s="86">
        <v>0.74299999999999999</v>
      </c>
      <c r="Z751" s="62">
        <v>989.46450000000004</v>
      </c>
    </row>
    <row r="752" spans="4:26">
      <c r="D752" s="86">
        <v>0.74399999999999999</v>
      </c>
      <c r="E752" s="61">
        <v>-799.72990000000004</v>
      </c>
      <c r="U752" s="86">
        <v>0.74399999999999999</v>
      </c>
      <c r="V752" s="62">
        <v>1077.5156999999999</v>
      </c>
      <c r="W752" s="86">
        <v>0.74399999999999999</v>
      </c>
      <c r="X752" s="62">
        <v>1037.5996</v>
      </c>
      <c r="Y752" s="86">
        <v>0.74399999999999999</v>
      </c>
      <c r="Z752" s="62">
        <v>989.40449999999998</v>
      </c>
    </row>
    <row r="753" spans="4:26">
      <c r="D753" s="86">
        <v>0.745</v>
      </c>
      <c r="E753" s="61">
        <v>-797.50059999999996</v>
      </c>
      <c r="U753" s="86">
        <v>0.745</v>
      </c>
      <c r="V753" s="62">
        <v>1077.4612999999999</v>
      </c>
      <c r="W753" s="86">
        <v>0.745</v>
      </c>
      <c r="X753" s="62">
        <v>1037.5378000000001</v>
      </c>
      <c r="Y753" s="86">
        <v>0.745</v>
      </c>
      <c r="Z753" s="62">
        <v>989.34454000000005</v>
      </c>
    </row>
    <row r="754" spans="4:26">
      <c r="D754" s="86">
        <v>0.746</v>
      </c>
      <c r="E754" s="61">
        <v>-795.25840000000005</v>
      </c>
      <c r="U754" s="86">
        <v>0.746</v>
      </c>
      <c r="V754" s="62">
        <v>1077.4069</v>
      </c>
      <c r="W754" s="86">
        <v>0.746</v>
      </c>
      <c r="X754" s="62">
        <v>1037.4761000000001</v>
      </c>
      <c r="Y754" s="86">
        <v>0.746</v>
      </c>
      <c r="Z754" s="62">
        <v>989.28467000000001</v>
      </c>
    </row>
    <row r="755" spans="4:26">
      <c r="D755" s="86">
        <v>0.747</v>
      </c>
      <c r="E755" s="61">
        <v>-793.00329999999997</v>
      </c>
      <c r="U755" s="86">
        <v>0.747</v>
      </c>
      <c r="V755" s="62">
        <v>1077.3524</v>
      </c>
      <c r="W755" s="86">
        <v>0.747</v>
      </c>
      <c r="X755" s="62">
        <v>1037.4142999999999</v>
      </c>
      <c r="Y755" s="86">
        <v>0.747</v>
      </c>
      <c r="Z755" s="62">
        <v>989.22484999999995</v>
      </c>
    </row>
    <row r="756" spans="4:26">
      <c r="D756" s="86">
        <v>0.748</v>
      </c>
      <c r="E756" s="61">
        <v>-790.73535000000004</v>
      </c>
      <c r="U756" s="86">
        <v>0.748</v>
      </c>
      <c r="V756" s="62">
        <v>1077.2979</v>
      </c>
      <c r="W756" s="86">
        <v>0.748</v>
      </c>
      <c r="X756" s="62">
        <v>1037.3525</v>
      </c>
      <c r="Y756" s="86">
        <v>0.748</v>
      </c>
      <c r="Z756" s="62">
        <v>989.16510000000005</v>
      </c>
    </row>
    <row r="757" spans="4:26">
      <c r="D757" s="86">
        <v>0.749</v>
      </c>
      <c r="E757" s="61">
        <v>-788.45460000000003</v>
      </c>
      <c r="U757" s="86">
        <v>0.749</v>
      </c>
      <c r="V757" s="62">
        <v>1077.2431999999999</v>
      </c>
      <c r="W757" s="86">
        <v>0.749</v>
      </c>
      <c r="X757" s="62">
        <v>1037.2908</v>
      </c>
      <c r="Y757" s="86">
        <v>0.749</v>
      </c>
      <c r="Z757" s="62">
        <v>989.10540000000003</v>
      </c>
    </row>
    <row r="758" spans="4:26">
      <c r="D758" s="86">
        <v>0.75</v>
      </c>
      <c r="E758" s="61">
        <v>-786.16094999999996</v>
      </c>
      <c r="U758" s="86">
        <v>0.75</v>
      </c>
      <c r="V758" s="62">
        <v>1077.1885</v>
      </c>
      <c r="W758" s="86">
        <v>0.75</v>
      </c>
      <c r="X758" s="62">
        <v>1037.229</v>
      </c>
      <c r="Y758" s="86">
        <v>0.75</v>
      </c>
      <c r="Z758" s="62">
        <v>989.04584</v>
      </c>
    </row>
    <row r="759" spans="4:26">
      <c r="D759" s="86">
        <v>0.751</v>
      </c>
      <c r="E759" s="61">
        <v>-783.85450000000003</v>
      </c>
      <c r="U759" s="86">
        <v>0.751</v>
      </c>
      <c r="V759" s="62">
        <v>1077.1337000000001</v>
      </c>
      <c r="W759" s="86">
        <v>0.751</v>
      </c>
      <c r="X759" s="62">
        <v>1037.1672000000001</v>
      </c>
      <c r="Y759" s="86">
        <v>0.751</v>
      </c>
      <c r="Z759" s="62">
        <v>988.98626999999999</v>
      </c>
    </row>
    <row r="760" spans="4:26">
      <c r="D760" s="86">
        <v>0.752</v>
      </c>
      <c r="E760" s="61">
        <v>-781.53530000000001</v>
      </c>
      <c r="U760" s="86">
        <v>0.752</v>
      </c>
      <c r="V760" s="62">
        <v>1077.0789</v>
      </c>
      <c r="W760" s="86">
        <v>0.752</v>
      </c>
      <c r="X760" s="62">
        <v>1037.1056000000001</v>
      </c>
      <c r="Y760" s="86">
        <v>0.752</v>
      </c>
      <c r="Z760" s="62">
        <v>988.92675999999994</v>
      </c>
    </row>
    <row r="761" spans="4:26">
      <c r="D761" s="86">
        <v>0.753</v>
      </c>
      <c r="E761" s="61">
        <v>-779.20325000000003</v>
      </c>
      <c r="U761" s="86">
        <v>0.753</v>
      </c>
      <c r="V761" s="62">
        <v>1077.0239999999999</v>
      </c>
      <c r="W761" s="86">
        <v>0.753</v>
      </c>
      <c r="X761" s="62">
        <v>1037.0437999999999</v>
      </c>
      <c r="Y761" s="86">
        <v>0.753</v>
      </c>
      <c r="Z761" s="62">
        <v>988.8673</v>
      </c>
    </row>
    <row r="762" spans="4:26">
      <c r="D762" s="86">
        <v>0.754</v>
      </c>
      <c r="E762" s="61">
        <v>-776.85850000000005</v>
      </c>
      <c r="U762" s="86">
        <v>0.754</v>
      </c>
      <c r="V762" s="62">
        <v>1076.9690000000001</v>
      </c>
      <c r="W762" s="86">
        <v>0.754</v>
      </c>
      <c r="X762" s="62">
        <v>1036.982</v>
      </c>
      <c r="Y762" s="86">
        <v>0.754</v>
      </c>
      <c r="Z762" s="62">
        <v>988.80790000000002</v>
      </c>
    </row>
    <row r="763" spans="4:26">
      <c r="D763" s="86">
        <v>0.755</v>
      </c>
      <c r="E763" s="61">
        <v>-774.50103999999999</v>
      </c>
      <c r="U763" s="86">
        <v>0.755</v>
      </c>
      <c r="V763" s="62">
        <v>1076.9141</v>
      </c>
      <c r="W763" s="86">
        <v>0.755</v>
      </c>
      <c r="X763" s="62">
        <v>1036.9204</v>
      </c>
      <c r="Y763" s="86">
        <v>0.755</v>
      </c>
      <c r="Z763" s="62">
        <v>988.74865999999997</v>
      </c>
    </row>
    <row r="764" spans="4:26">
      <c r="D764" s="86">
        <v>0.75600000000000001</v>
      </c>
      <c r="E764" s="61">
        <v>-772.13085999999998</v>
      </c>
      <c r="U764" s="86">
        <v>0.75600000000000001</v>
      </c>
      <c r="V764" s="62">
        <v>1076.8588999999999</v>
      </c>
      <c r="W764" s="86">
        <v>0.75600000000000001</v>
      </c>
      <c r="X764" s="62">
        <v>1036.8586</v>
      </c>
      <c r="Y764" s="86">
        <v>0.75600000000000001</v>
      </c>
      <c r="Z764" s="62">
        <v>988.68939999999998</v>
      </c>
    </row>
    <row r="765" spans="4:26">
      <c r="D765" s="86">
        <v>0.75700000000000001</v>
      </c>
      <c r="E765" s="61">
        <v>-769.74805000000003</v>
      </c>
      <c r="U765" s="86">
        <v>0.75700000000000001</v>
      </c>
      <c r="V765" s="62">
        <v>1076.8037999999999</v>
      </c>
      <c r="W765" s="86">
        <v>0.75700000000000001</v>
      </c>
      <c r="X765" s="62">
        <v>1036.797</v>
      </c>
      <c r="Y765" s="86">
        <v>0.75700000000000001</v>
      </c>
      <c r="Z765" s="62">
        <v>988.63019999999995</v>
      </c>
    </row>
    <row r="766" spans="4:26">
      <c r="D766" s="86">
        <v>0.75800000000000001</v>
      </c>
      <c r="E766" s="61">
        <v>-767.35253999999998</v>
      </c>
      <c r="U766" s="86">
        <v>0.75800000000000001</v>
      </c>
      <c r="V766" s="62">
        <v>1076.7487000000001</v>
      </c>
      <c r="W766" s="86">
        <v>0.75800000000000001</v>
      </c>
      <c r="X766" s="62">
        <v>1036.7354</v>
      </c>
      <c r="Y766" s="86">
        <v>0.75800000000000001</v>
      </c>
      <c r="Z766" s="62">
        <v>988.5711</v>
      </c>
    </row>
    <row r="767" spans="4:26">
      <c r="D767" s="86">
        <v>0.75900000000000001</v>
      </c>
      <c r="E767" s="61">
        <v>-764.94439999999997</v>
      </c>
      <c r="U767" s="86">
        <v>0.75900000000000001</v>
      </c>
      <c r="V767" s="62">
        <v>1076.6934000000001</v>
      </c>
      <c r="W767" s="86">
        <v>0.75900000000000001</v>
      </c>
      <c r="X767" s="62">
        <v>1036.6736000000001</v>
      </c>
      <c r="Y767" s="86">
        <v>0.75900000000000001</v>
      </c>
      <c r="Z767" s="62">
        <v>988.51199999999994</v>
      </c>
    </row>
    <row r="768" spans="4:26">
      <c r="D768" s="86">
        <v>0.76</v>
      </c>
      <c r="E768" s="61">
        <v>-762.52359999999999</v>
      </c>
      <c r="U768" s="86">
        <v>0.76</v>
      </c>
      <c r="V768" s="62">
        <v>1076.6380999999999</v>
      </c>
      <c r="W768" s="86">
        <v>0.76</v>
      </c>
      <c r="X768" s="62">
        <v>1036.6119000000001</v>
      </c>
      <c r="Y768" s="86">
        <v>0.76</v>
      </c>
      <c r="Z768" s="62">
        <v>988.45299999999997</v>
      </c>
    </row>
    <row r="769" spans="4:26">
      <c r="D769" s="86">
        <v>0.76100000000000001</v>
      </c>
      <c r="E769" s="61">
        <v>-760.09032999999999</v>
      </c>
      <c r="U769" s="86">
        <v>0.76100000000000001</v>
      </c>
      <c r="V769" s="62">
        <v>1076.5826</v>
      </c>
      <c r="W769" s="86">
        <v>0.76100000000000001</v>
      </c>
      <c r="X769" s="62">
        <v>1036.5503000000001</v>
      </c>
      <c r="Y769" s="86">
        <v>0.76100000000000001</v>
      </c>
      <c r="Z769" s="62">
        <v>988.39409999999998</v>
      </c>
    </row>
    <row r="770" spans="4:26">
      <c r="D770" s="86">
        <v>0.76200000000000001</v>
      </c>
      <c r="E770" s="61">
        <v>-757.64449999999999</v>
      </c>
      <c r="U770" s="86">
        <v>0.76200000000000001</v>
      </c>
      <c r="V770" s="62">
        <v>1076.5272</v>
      </c>
      <c r="W770" s="86">
        <v>0.76200000000000001</v>
      </c>
      <c r="X770" s="62">
        <v>1036.4885999999999</v>
      </c>
      <c r="Y770" s="86">
        <v>0.76200000000000001</v>
      </c>
      <c r="Z770" s="62">
        <v>988.33519999999999</v>
      </c>
    </row>
    <row r="771" spans="4:26">
      <c r="D771" s="86">
        <v>0.76300000000000001</v>
      </c>
      <c r="E771" s="61">
        <v>-755.18610000000001</v>
      </c>
      <c r="U771" s="86">
        <v>0.76300000000000001</v>
      </c>
      <c r="V771" s="62">
        <v>1076.4717000000001</v>
      </c>
      <c r="W771" s="86">
        <v>0.76300000000000001</v>
      </c>
      <c r="X771" s="62">
        <v>1036.4269999999999</v>
      </c>
      <c r="Y771" s="86">
        <v>0.76300000000000001</v>
      </c>
      <c r="Z771" s="62">
        <v>988.27637000000004</v>
      </c>
    </row>
    <row r="772" spans="4:26">
      <c r="D772" s="86">
        <v>0.76400000000000001</v>
      </c>
      <c r="E772" s="61">
        <v>-752.71519999999998</v>
      </c>
      <c r="U772" s="86">
        <v>0.76400000000000001</v>
      </c>
      <c r="V772" s="62">
        <v>1076.4160999999999</v>
      </c>
      <c r="W772" s="86">
        <v>0.76400000000000001</v>
      </c>
      <c r="X772" s="62">
        <v>1036.3653999999999</v>
      </c>
      <c r="Y772" s="86">
        <v>0.76400000000000001</v>
      </c>
      <c r="Z772" s="62">
        <v>988.21765000000005</v>
      </c>
    </row>
    <row r="773" spans="4:26">
      <c r="D773" s="86">
        <v>0.76500000000000001</v>
      </c>
      <c r="E773" s="61">
        <v>-750.2319</v>
      </c>
      <c r="U773" s="86">
        <v>0.76500000000000001</v>
      </c>
      <c r="V773" s="62">
        <v>1076.3605</v>
      </c>
      <c r="W773" s="86">
        <v>0.76500000000000001</v>
      </c>
      <c r="X773" s="62">
        <v>1036.3036999999999</v>
      </c>
      <c r="Y773" s="86">
        <v>0.76500000000000001</v>
      </c>
      <c r="Z773" s="62">
        <v>988.15894000000003</v>
      </c>
    </row>
    <row r="774" spans="4:26">
      <c r="D774" s="86">
        <v>0.76600000000000001</v>
      </c>
      <c r="E774" s="61">
        <v>-747.73609999999996</v>
      </c>
      <c r="U774" s="86">
        <v>0.76600000000000001</v>
      </c>
      <c r="V774" s="62">
        <v>1076.3047999999999</v>
      </c>
      <c r="W774" s="86">
        <v>0.76600000000000001</v>
      </c>
      <c r="X774" s="62">
        <v>1036.2421999999999</v>
      </c>
      <c r="Y774" s="86">
        <v>0.76600000000000001</v>
      </c>
      <c r="Z774" s="62">
        <v>988.10029999999995</v>
      </c>
    </row>
    <row r="775" spans="4:26">
      <c r="D775" s="86">
        <v>0.76700000000000002</v>
      </c>
      <c r="E775" s="61">
        <v>-745.22789999999998</v>
      </c>
      <c r="U775" s="86">
        <v>0.76700000000000002</v>
      </c>
      <c r="V775" s="62">
        <v>1076.2491</v>
      </c>
      <c r="W775" s="86">
        <v>0.76700000000000002</v>
      </c>
      <c r="X775" s="62">
        <v>1036.1804999999999</v>
      </c>
      <c r="Y775" s="86">
        <v>0.76700000000000002</v>
      </c>
      <c r="Z775" s="62">
        <v>988.04174999999998</v>
      </c>
    </row>
    <row r="776" spans="4:26">
      <c r="D776" s="86">
        <v>0.76800000000000002</v>
      </c>
      <c r="E776" s="61">
        <v>-742.70734000000004</v>
      </c>
      <c r="U776" s="86">
        <v>0.76800000000000002</v>
      </c>
      <c r="V776" s="62">
        <v>1076.1934000000001</v>
      </c>
      <c r="W776" s="86">
        <v>0.76800000000000002</v>
      </c>
      <c r="X776" s="62">
        <v>1036.1188999999999</v>
      </c>
      <c r="Y776" s="86">
        <v>0.76800000000000002</v>
      </c>
      <c r="Z776" s="62">
        <v>987.98320000000001</v>
      </c>
    </row>
    <row r="777" spans="4:26">
      <c r="D777" s="86">
        <v>0.76900000000000002</v>
      </c>
      <c r="E777" s="61">
        <v>-740.17449999999997</v>
      </c>
      <c r="U777" s="86">
        <v>0.76900000000000002</v>
      </c>
      <c r="V777" s="62">
        <v>1076.1375</v>
      </c>
      <c r="W777" s="86">
        <v>0.76900000000000002</v>
      </c>
      <c r="X777" s="62">
        <v>1036.0573999999999</v>
      </c>
      <c r="Y777" s="86">
        <v>0.76900000000000002</v>
      </c>
      <c r="Z777" s="62">
        <v>987.92474000000004</v>
      </c>
    </row>
    <row r="778" spans="4:26">
      <c r="D778" s="86">
        <v>0.77</v>
      </c>
      <c r="E778" s="61">
        <v>-737.62932999999998</v>
      </c>
      <c r="U778" s="86">
        <v>0.77</v>
      </c>
      <c r="V778" s="62">
        <v>1076.0815</v>
      </c>
      <c r="W778" s="86">
        <v>0.77</v>
      </c>
      <c r="X778" s="62">
        <v>1035.9956999999999</v>
      </c>
      <c r="Y778" s="86">
        <v>0.77</v>
      </c>
      <c r="Z778" s="62">
        <v>987.8664</v>
      </c>
    </row>
    <row r="779" spans="4:26">
      <c r="D779" s="86">
        <v>0.77100000000000002</v>
      </c>
      <c r="E779" s="61">
        <v>-735.07183999999995</v>
      </c>
      <c r="U779" s="86">
        <v>0.77100000000000002</v>
      </c>
      <c r="V779" s="62">
        <v>1076.0255999999999</v>
      </c>
      <c r="W779" s="86">
        <v>0.77100000000000002</v>
      </c>
      <c r="X779" s="62">
        <v>1035.9341999999999</v>
      </c>
      <c r="Y779" s="86">
        <v>0.77100000000000002</v>
      </c>
      <c r="Z779" s="62">
        <v>987.80804000000001</v>
      </c>
    </row>
    <row r="780" spans="4:26">
      <c r="D780" s="86">
        <v>0.77200000000000002</v>
      </c>
      <c r="E780" s="61">
        <v>-732.50220000000002</v>
      </c>
      <c r="U780" s="86">
        <v>0.77200000000000002</v>
      </c>
      <c r="V780" s="62">
        <v>1075.9695999999999</v>
      </c>
      <c r="W780" s="86">
        <v>0.77200000000000002</v>
      </c>
      <c r="X780" s="62">
        <v>1035.8726999999999</v>
      </c>
      <c r="Y780" s="86">
        <v>0.77200000000000002</v>
      </c>
      <c r="Z780" s="62">
        <v>987.74976000000004</v>
      </c>
    </row>
    <row r="781" spans="4:26">
      <c r="D781" s="86">
        <v>0.77300000000000002</v>
      </c>
      <c r="E781" s="61">
        <v>-729.9203</v>
      </c>
      <c r="U781" s="86">
        <v>0.77300000000000002</v>
      </c>
      <c r="V781" s="62">
        <v>1075.9135000000001</v>
      </c>
      <c r="W781" s="86">
        <v>0.77300000000000002</v>
      </c>
      <c r="X781" s="62">
        <v>1035.8109999999999</v>
      </c>
      <c r="Y781" s="86">
        <v>0.77300000000000002</v>
      </c>
      <c r="Z781" s="62">
        <v>987.69159999999999</v>
      </c>
    </row>
    <row r="782" spans="4:26">
      <c r="D782" s="86">
        <v>0.77400000000000002</v>
      </c>
      <c r="E782" s="61">
        <v>-727.32629999999995</v>
      </c>
      <c r="U782" s="86">
        <v>0.77400000000000002</v>
      </c>
      <c r="V782" s="62">
        <v>1075.8572999999999</v>
      </c>
      <c r="W782" s="86">
        <v>0.77400000000000002</v>
      </c>
      <c r="X782" s="62">
        <v>1035.7494999999999</v>
      </c>
      <c r="Y782" s="86">
        <v>0.77400000000000002</v>
      </c>
      <c r="Z782" s="62">
        <v>987.63340000000005</v>
      </c>
    </row>
    <row r="783" spans="4:26">
      <c r="D783" s="86">
        <v>0.77500000000000002</v>
      </c>
      <c r="E783" s="61">
        <v>-724.72014999999999</v>
      </c>
      <c r="U783" s="86">
        <v>0.77500000000000002</v>
      </c>
      <c r="V783" s="62">
        <v>1075.8010999999999</v>
      </c>
      <c r="W783" s="86">
        <v>0.77500000000000002</v>
      </c>
      <c r="X783" s="62">
        <v>1035.6880000000001</v>
      </c>
      <c r="Y783" s="86">
        <v>0.77500000000000002</v>
      </c>
      <c r="Z783" s="62">
        <v>987.57539999999995</v>
      </c>
    </row>
    <row r="784" spans="4:26">
      <c r="D784" s="86">
        <v>0.77600000000000002</v>
      </c>
      <c r="E784" s="61">
        <v>-722.1019</v>
      </c>
      <c r="U784" s="86">
        <v>0.77600000000000002</v>
      </c>
      <c r="V784" s="62">
        <v>1075.7448999999999</v>
      </c>
      <c r="W784" s="86">
        <v>0.77600000000000002</v>
      </c>
      <c r="X784" s="62">
        <v>1035.6265000000001</v>
      </c>
      <c r="Y784" s="86">
        <v>0.77600000000000002</v>
      </c>
      <c r="Z784" s="62">
        <v>987.51733000000002</v>
      </c>
    </row>
    <row r="785" spans="4:26">
      <c r="D785" s="86">
        <v>0.77700000000000002</v>
      </c>
      <c r="E785" s="61">
        <v>-719.47159999999997</v>
      </c>
      <c r="U785" s="86">
        <v>0.77700000000000002</v>
      </c>
      <c r="V785" s="62">
        <v>1075.6886</v>
      </c>
      <c r="W785" s="86">
        <v>0.77700000000000002</v>
      </c>
      <c r="X785" s="62">
        <v>1035.5650000000001</v>
      </c>
      <c r="Y785" s="86">
        <v>0.77700000000000002</v>
      </c>
      <c r="Z785" s="62">
        <v>987.45934999999997</v>
      </c>
    </row>
    <row r="786" spans="4:26">
      <c r="D786" s="86">
        <v>0.77800000000000002</v>
      </c>
      <c r="E786" s="61">
        <v>-716.82934999999998</v>
      </c>
      <c r="U786" s="86">
        <v>0.77800000000000002</v>
      </c>
      <c r="V786" s="62">
        <v>1075.6323</v>
      </c>
      <c r="W786" s="86">
        <v>0.77800000000000002</v>
      </c>
      <c r="X786" s="62">
        <v>1035.5035</v>
      </c>
      <c r="Y786" s="86">
        <v>0.77800000000000002</v>
      </c>
      <c r="Z786" s="62">
        <v>987.40150000000006</v>
      </c>
    </row>
    <row r="787" spans="4:26">
      <c r="D787" s="86">
        <v>0.77900000000000003</v>
      </c>
      <c r="E787" s="61">
        <v>-714.17520000000002</v>
      </c>
      <c r="U787" s="86">
        <v>0.77900000000000003</v>
      </c>
      <c r="V787" s="62">
        <v>1075.5758000000001</v>
      </c>
      <c r="W787" s="86">
        <v>0.77900000000000003</v>
      </c>
      <c r="X787" s="62">
        <v>1035.442</v>
      </c>
      <c r="Y787" s="86">
        <v>0.77900000000000003</v>
      </c>
      <c r="Z787" s="62">
        <v>987.34360000000004</v>
      </c>
    </row>
    <row r="788" spans="4:26">
      <c r="D788" s="86">
        <v>0.78</v>
      </c>
      <c r="E788" s="61">
        <v>-711.50900000000001</v>
      </c>
      <c r="U788" s="86">
        <v>0.78</v>
      </c>
      <c r="V788" s="62">
        <v>1075.5193999999999</v>
      </c>
      <c r="W788" s="86">
        <v>0.78</v>
      </c>
      <c r="X788" s="62">
        <v>1035.3805</v>
      </c>
      <c r="Y788" s="86">
        <v>0.78</v>
      </c>
      <c r="Z788" s="62">
        <v>987.28579999999999</v>
      </c>
    </row>
    <row r="789" spans="4:26">
      <c r="D789" s="86">
        <v>0.78100000000000003</v>
      </c>
      <c r="E789" s="61">
        <v>-708.83100000000002</v>
      </c>
      <c r="U789" s="86">
        <v>0.78100000000000003</v>
      </c>
      <c r="V789" s="62">
        <v>1075.4629</v>
      </c>
      <c r="W789" s="86">
        <v>0.78100000000000003</v>
      </c>
      <c r="X789" s="62">
        <v>1035.3190999999999</v>
      </c>
      <c r="Y789" s="86">
        <v>0.78100000000000003</v>
      </c>
      <c r="Z789" s="62">
        <v>987.22810000000004</v>
      </c>
    </row>
    <row r="790" spans="4:26">
      <c r="D790" s="86">
        <v>0.78200000000000003</v>
      </c>
      <c r="E790" s="61">
        <v>-706.14110000000005</v>
      </c>
      <c r="U790" s="86">
        <v>0.78200000000000003</v>
      </c>
      <c r="V790" s="62">
        <v>1075.4064000000001</v>
      </c>
      <c r="W790" s="86">
        <v>0.78200000000000003</v>
      </c>
      <c r="X790" s="62">
        <v>1035.2577000000001</v>
      </c>
      <c r="Y790" s="86">
        <v>0.78200000000000003</v>
      </c>
      <c r="Z790" s="62">
        <v>987.17049999999995</v>
      </c>
    </row>
    <row r="791" spans="4:26">
      <c r="D791" s="86">
        <v>0.78300000000000003</v>
      </c>
      <c r="E791" s="61">
        <v>-703.43944999999997</v>
      </c>
      <c r="U791" s="86">
        <v>0.78300000000000003</v>
      </c>
      <c r="V791" s="62">
        <v>1075.3497</v>
      </c>
      <c r="W791" s="86">
        <v>0.78300000000000003</v>
      </c>
      <c r="X791" s="62">
        <v>1035.1962000000001</v>
      </c>
      <c r="Y791" s="86">
        <v>0.78300000000000003</v>
      </c>
      <c r="Z791" s="62">
        <v>987.11284999999998</v>
      </c>
    </row>
    <row r="792" spans="4:26">
      <c r="D792" s="86">
        <v>0.78400000000000003</v>
      </c>
      <c r="E792" s="61">
        <v>-700.72609999999997</v>
      </c>
      <c r="U792" s="86">
        <v>0.78400000000000003</v>
      </c>
      <c r="V792" s="62">
        <v>1075.2929999999999</v>
      </c>
      <c r="W792" s="86">
        <v>0.78400000000000003</v>
      </c>
      <c r="X792" s="62">
        <v>1035.1348</v>
      </c>
      <c r="Y792" s="86">
        <v>0.78400000000000003</v>
      </c>
      <c r="Z792" s="62">
        <v>987.05529999999999</v>
      </c>
    </row>
    <row r="793" spans="4:26">
      <c r="D793" s="86">
        <v>0.78500000000000003</v>
      </c>
      <c r="E793" s="61">
        <v>-698.00103999999999</v>
      </c>
      <c r="U793" s="86">
        <v>0.78500000000000003</v>
      </c>
      <c r="V793" s="62">
        <v>1075.2363</v>
      </c>
      <c r="W793" s="86">
        <v>0.78500000000000003</v>
      </c>
      <c r="X793" s="62">
        <v>1035.0734</v>
      </c>
      <c r="Y793" s="86">
        <v>0.78500000000000003</v>
      </c>
      <c r="Z793" s="62">
        <v>986.99785999999995</v>
      </c>
    </row>
    <row r="794" spans="4:26">
      <c r="D794" s="86">
        <v>0.78600000000000003</v>
      </c>
      <c r="E794" s="61">
        <v>-695.26430000000005</v>
      </c>
      <c r="U794" s="86">
        <v>0.78600000000000003</v>
      </c>
      <c r="V794" s="62">
        <v>1075.1795999999999</v>
      </c>
      <c r="W794" s="86">
        <v>0.78600000000000003</v>
      </c>
      <c r="X794" s="62">
        <v>1035.0119999999999</v>
      </c>
      <c r="Y794" s="86">
        <v>0.78600000000000003</v>
      </c>
      <c r="Z794" s="62">
        <v>986.94039999999995</v>
      </c>
    </row>
    <row r="795" spans="4:26">
      <c r="D795" s="86">
        <v>0.78700000000000003</v>
      </c>
      <c r="E795" s="61">
        <v>-692.51599999999996</v>
      </c>
      <c r="U795" s="86">
        <v>0.78700000000000003</v>
      </c>
      <c r="V795" s="62">
        <v>1075.1226999999999</v>
      </c>
      <c r="W795" s="86">
        <v>0.78700000000000003</v>
      </c>
      <c r="X795" s="62">
        <v>1034.9505999999999</v>
      </c>
      <c r="Y795" s="86">
        <v>0.78700000000000003</v>
      </c>
      <c r="Z795" s="62">
        <v>986.88306</v>
      </c>
    </row>
    <row r="796" spans="4:26">
      <c r="D796" s="86">
        <v>0.78800000000000003</v>
      </c>
      <c r="E796" s="61">
        <v>-689.75609999999995</v>
      </c>
      <c r="U796" s="86">
        <v>0.78800000000000003</v>
      </c>
      <c r="V796" s="62">
        <v>1075.0658000000001</v>
      </c>
      <c r="W796" s="86">
        <v>0.78800000000000003</v>
      </c>
      <c r="X796" s="62">
        <v>1034.8892000000001</v>
      </c>
      <c r="Y796" s="86">
        <v>0.78800000000000003</v>
      </c>
      <c r="Z796" s="62">
        <v>986.82574</v>
      </c>
    </row>
    <row r="797" spans="4:26">
      <c r="D797" s="86">
        <v>0.78900000000000003</v>
      </c>
      <c r="E797" s="61">
        <v>-686.98473999999999</v>
      </c>
      <c r="U797" s="86">
        <v>0.78900000000000003</v>
      </c>
      <c r="V797" s="62">
        <v>1075.0089</v>
      </c>
      <c r="W797" s="86">
        <v>0.78900000000000003</v>
      </c>
      <c r="X797" s="62">
        <v>1034.8279</v>
      </c>
      <c r="Y797" s="86">
        <v>0.78900000000000003</v>
      </c>
      <c r="Z797" s="62">
        <v>986.76850000000002</v>
      </c>
    </row>
    <row r="798" spans="4:26">
      <c r="D798" s="86">
        <v>0.79</v>
      </c>
      <c r="E798" s="61">
        <v>-684.20190000000002</v>
      </c>
      <c r="U798" s="86">
        <v>0.79</v>
      </c>
      <c r="V798" s="62">
        <v>1074.9519</v>
      </c>
      <c r="W798" s="86">
        <v>0.79</v>
      </c>
      <c r="X798" s="62">
        <v>1034.7665</v>
      </c>
      <c r="Y798" s="86">
        <v>0.79</v>
      </c>
      <c r="Z798" s="62">
        <v>986.71136000000001</v>
      </c>
    </row>
    <row r="799" spans="4:26">
      <c r="D799" s="86">
        <v>0.79100000000000004</v>
      </c>
      <c r="E799" s="61">
        <v>-681.40769999999998</v>
      </c>
      <c r="U799" s="86">
        <v>0.79100000000000004</v>
      </c>
      <c r="V799" s="62">
        <v>1074.8949</v>
      </c>
      <c r="W799" s="86">
        <v>0.79100000000000004</v>
      </c>
      <c r="X799" s="62">
        <v>1034.7052000000001</v>
      </c>
      <c r="Y799" s="86">
        <v>0.79100000000000004</v>
      </c>
      <c r="Z799" s="62">
        <v>986.65423999999996</v>
      </c>
    </row>
    <row r="800" spans="4:26">
      <c r="D800" s="86">
        <v>0.79200000000000004</v>
      </c>
      <c r="E800" s="61">
        <v>-678.60220000000004</v>
      </c>
      <c r="U800" s="86">
        <v>0.79200000000000004</v>
      </c>
      <c r="V800" s="62">
        <v>1074.8378</v>
      </c>
      <c r="W800" s="86">
        <v>0.79200000000000004</v>
      </c>
      <c r="X800" s="62">
        <v>1034.6438000000001</v>
      </c>
      <c r="Y800" s="86">
        <v>0.79200000000000004</v>
      </c>
      <c r="Z800" s="62">
        <v>986.59717000000001</v>
      </c>
    </row>
    <row r="801" spans="4:26">
      <c r="D801" s="86">
        <v>0.79300000000000004</v>
      </c>
      <c r="E801" s="61">
        <v>-675.78530000000001</v>
      </c>
      <c r="U801" s="86">
        <v>0.79300000000000004</v>
      </c>
      <c r="V801" s="62">
        <v>1074.7806</v>
      </c>
      <c r="W801" s="86">
        <v>0.79300000000000004</v>
      </c>
      <c r="X801" s="62">
        <v>1034.5825</v>
      </c>
      <c r="Y801" s="86">
        <v>0.79300000000000004</v>
      </c>
      <c r="Z801" s="62">
        <v>986.54016000000001</v>
      </c>
    </row>
    <row r="802" spans="4:26">
      <c r="D802" s="86">
        <v>0.79400000000000004</v>
      </c>
      <c r="E802" s="61">
        <v>-672.95719999999994</v>
      </c>
      <c r="U802" s="86">
        <v>0.79400000000000004</v>
      </c>
      <c r="V802" s="62">
        <v>1074.7234000000001</v>
      </c>
      <c r="W802" s="86">
        <v>0.79400000000000004</v>
      </c>
      <c r="X802" s="62">
        <v>1034.5211999999999</v>
      </c>
      <c r="Y802" s="86">
        <v>0.79400000000000004</v>
      </c>
      <c r="Z802" s="62">
        <v>986.48320000000001</v>
      </c>
    </row>
    <row r="803" spans="4:26">
      <c r="D803" s="86">
        <v>0.79500000000000004</v>
      </c>
      <c r="E803" s="61">
        <v>-670.11789999999996</v>
      </c>
      <c r="U803" s="86">
        <v>0.79500000000000004</v>
      </c>
      <c r="V803" s="62">
        <v>1074.6663000000001</v>
      </c>
      <c r="W803" s="86">
        <v>0.79500000000000004</v>
      </c>
      <c r="X803" s="62">
        <v>1034.46</v>
      </c>
      <c r="Y803" s="86">
        <v>0.79500000000000004</v>
      </c>
      <c r="Z803" s="62">
        <v>986.42633000000001</v>
      </c>
    </row>
    <row r="804" spans="4:26">
      <c r="D804" s="86">
        <v>0.79600000000000004</v>
      </c>
      <c r="E804" s="61">
        <v>-667.26760000000002</v>
      </c>
      <c r="U804" s="86">
        <v>0.79600000000000004</v>
      </c>
      <c r="V804" s="62">
        <v>1074.6088999999999</v>
      </c>
      <c r="W804" s="86">
        <v>0.79600000000000004</v>
      </c>
      <c r="X804" s="62">
        <v>1034.3987</v>
      </c>
      <c r="Y804" s="86">
        <v>0.79600000000000004</v>
      </c>
      <c r="Z804" s="62">
        <v>986.36950000000002</v>
      </c>
    </row>
    <row r="805" spans="4:26">
      <c r="D805" s="86">
        <v>0.79700000000000004</v>
      </c>
      <c r="E805" s="61">
        <v>-664.40607</v>
      </c>
      <c r="U805" s="86">
        <v>0.79700000000000004</v>
      </c>
      <c r="V805" s="62">
        <v>1074.5516</v>
      </c>
      <c r="W805" s="86">
        <v>0.79700000000000004</v>
      </c>
      <c r="X805" s="62">
        <v>1034.3373999999999</v>
      </c>
      <c r="Y805" s="86">
        <v>0.79700000000000004</v>
      </c>
      <c r="Z805" s="62">
        <v>986.31273999999996</v>
      </c>
    </row>
    <row r="806" spans="4:26">
      <c r="D806" s="86">
        <v>0.79800000000000004</v>
      </c>
      <c r="E806" s="61">
        <v>-661.53359999999998</v>
      </c>
      <c r="U806" s="86">
        <v>0.79800000000000004</v>
      </c>
      <c r="V806" s="62">
        <v>1074.4943000000001</v>
      </c>
      <c r="W806" s="86">
        <v>0.79800000000000004</v>
      </c>
      <c r="X806" s="62">
        <v>1034.2761</v>
      </c>
      <c r="Y806" s="86">
        <v>0.79800000000000004</v>
      </c>
      <c r="Z806" s="62">
        <v>986.25603999999998</v>
      </c>
    </row>
    <row r="807" spans="4:26">
      <c r="D807" s="86">
        <v>0.79900000000000004</v>
      </c>
      <c r="E807" s="61">
        <v>-658.65015000000005</v>
      </c>
      <c r="U807" s="86">
        <v>0.79900000000000004</v>
      </c>
      <c r="V807" s="62">
        <v>1074.4367999999999</v>
      </c>
      <c r="W807" s="86">
        <v>0.79900000000000004</v>
      </c>
      <c r="X807" s="62">
        <v>1034.2149999999999</v>
      </c>
      <c r="Y807" s="86">
        <v>0.79900000000000004</v>
      </c>
      <c r="Z807" s="62">
        <v>986.19939999999997</v>
      </c>
    </row>
    <row r="808" spans="4:26">
      <c r="D808" s="86">
        <v>0.8</v>
      </c>
      <c r="E808" s="61">
        <v>-655.75585999999998</v>
      </c>
      <c r="U808" s="86">
        <v>0.8</v>
      </c>
      <c r="V808" s="62">
        <v>1074.3793000000001</v>
      </c>
      <c r="W808" s="86">
        <v>0.8</v>
      </c>
      <c r="X808" s="62">
        <v>1034.1537000000001</v>
      </c>
      <c r="Y808" s="86">
        <v>0.8</v>
      </c>
      <c r="Z808" s="62">
        <v>986.14279999999997</v>
      </c>
    </row>
    <row r="809" spans="4:26">
      <c r="D809" s="86">
        <v>0.80100000000000005</v>
      </c>
      <c r="E809" s="61">
        <v>-652.85069999999996</v>
      </c>
      <c r="U809" s="86">
        <v>0.80100000000000005</v>
      </c>
      <c r="V809" s="62">
        <v>1074.3217999999999</v>
      </c>
      <c r="W809" s="86">
        <v>0.80100000000000005</v>
      </c>
      <c r="X809" s="62">
        <v>1034.0925</v>
      </c>
      <c r="Y809" s="86">
        <v>0.80100000000000005</v>
      </c>
      <c r="Z809" s="62">
        <v>986.08630000000005</v>
      </c>
    </row>
    <row r="810" spans="4:26">
      <c r="D810" s="86">
        <v>0.80200000000000005</v>
      </c>
      <c r="E810" s="61">
        <v>-649.93475000000001</v>
      </c>
      <c r="U810" s="86">
        <v>0.80200000000000005</v>
      </c>
      <c r="V810" s="62">
        <v>1074.2643</v>
      </c>
      <c r="W810" s="86">
        <v>0.80200000000000005</v>
      </c>
      <c r="X810" s="62">
        <v>1034.0314000000001</v>
      </c>
      <c r="Y810" s="86">
        <v>0.80200000000000005</v>
      </c>
      <c r="Z810" s="62">
        <v>986.02985000000001</v>
      </c>
    </row>
    <row r="811" spans="4:26">
      <c r="D811" s="86">
        <v>0.80300000000000005</v>
      </c>
      <c r="E811" s="61">
        <v>-647.00810000000001</v>
      </c>
      <c r="U811" s="86">
        <v>0.80300000000000005</v>
      </c>
      <c r="V811" s="62">
        <v>1074.2067</v>
      </c>
      <c r="W811" s="86">
        <v>0.80300000000000005</v>
      </c>
      <c r="X811" s="62">
        <v>1033.9702</v>
      </c>
      <c r="Y811" s="86">
        <v>0.80300000000000005</v>
      </c>
      <c r="Z811" s="62">
        <v>985.97344999999996</v>
      </c>
    </row>
    <row r="812" spans="4:26">
      <c r="D812" s="86">
        <v>0.80400000000000005</v>
      </c>
      <c r="E812" s="61">
        <v>-644.07079999999996</v>
      </c>
      <c r="U812" s="86">
        <v>0.80400000000000005</v>
      </c>
      <c r="V812" s="62">
        <v>1074.1488999999999</v>
      </c>
      <c r="W812" s="86">
        <v>0.80400000000000005</v>
      </c>
      <c r="X812" s="62">
        <v>1033.9090000000001</v>
      </c>
      <c r="Y812" s="86">
        <v>0.80400000000000005</v>
      </c>
      <c r="Z812" s="62">
        <v>985.9171</v>
      </c>
    </row>
    <row r="813" spans="4:26">
      <c r="D813" s="86">
        <v>0.80500000000000005</v>
      </c>
      <c r="E813" s="61">
        <v>-641.12289999999996</v>
      </c>
      <c r="U813" s="86">
        <v>0.80500000000000005</v>
      </c>
      <c r="V813" s="62">
        <v>1074.0912000000001</v>
      </c>
      <c r="W813" s="86">
        <v>0.80500000000000005</v>
      </c>
      <c r="X813" s="62">
        <v>1033.8479</v>
      </c>
      <c r="Y813" s="86">
        <v>0.80500000000000005</v>
      </c>
      <c r="Z813" s="62">
        <v>985.86080000000004</v>
      </c>
    </row>
    <row r="814" spans="4:26">
      <c r="D814" s="86">
        <v>0.80600000000000005</v>
      </c>
      <c r="E814" s="61">
        <v>-638.16454999999996</v>
      </c>
      <c r="U814" s="86">
        <v>0.80600000000000005</v>
      </c>
      <c r="V814" s="62">
        <v>1074.0334</v>
      </c>
      <c r="W814" s="86">
        <v>0.80600000000000005</v>
      </c>
      <c r="X814" s="62">
        <v>1033.7867000000001</v>
      </c>
      <c r="Y814" s="86">
        <v>0.80600000000000005</v>
      </c>
      <c r="Z814" s="62">
        <v>985.80457000000001</v>
      </c>
    </row>
    <row r="815" spans="4:26">
      <c r="D815" s="86">
        <v>0.80700000000000005</v>
      </c>
      <c r="E815" s="61">
        <v>-635.19574</v>
      </c>
      <c r="U815" s="86">
        <v>0.80700000000000005</v>
      </c>
      <c r="V815" s="62">
        <v>1073.9757</v>
      </c>
      <c r="W815" s="86">
        <v>0.80700000000000005</v>
      </c>
      <c r="X815" s="62">
        <v>1033.7257</v>
      </c>
      <c r="Y815" s="86">
        <v>0.80700000000000005</v>
      </c>
      <c r="Z815" s="62">
        <v>985.74839999999995</v>
      </c>
    </row>
    <row r="816" spans="4:26">
      <c r="D816" s="86">
        <v>0.80800000000000005</v>
      </c>
      <c r="E816" s="61">
        <v>-632.2165</v>
      </c>
      <c r="U816" s="86">
        <v>0.80800000000000005</v>
      </c>
      <c r="V816" s="62">
        <v>1073.9177999999999</v>
      </c>
      <c r="W816" s="86">
        <v>0.80800000000000005</v>
      </c>
      <c r="X816" s="62">
        <v>1033.6646000000001</v>
      </c>
      <c r="Y816" s="86">
        <v>0.80800000000000005</v>
      </c>
      <c r="Z816" s="62">
        <v>985.69230000000005</v>
      </c>
    </row>
    <row r="817" spans="4:26">
      <c r="D817" s="86">
        <v>0.80900000000000005</v>
      </c>
      <c r="E817" s="61">
        <v>-629.2269</v>
      </c>
      <c r="U817" s="86">
        <v>0.80900000000000005</v>
      </c>
      <c r="V817" s="62">
        <v>1073.8599999999999</v>
      </c>
      <c r="W817" s="86">
        <v>0.80900000000000005</v>
      </c>
      <c r="X817" s="62">
        <v>1033.6034999999999</v>
      </c>
      <c r="Y817" s="86">
        <v>0.80900000000000005</v>
      </c>
      <c r="Z817" s="62">
        <v>985.63620000000003</v>
      </c>
    </row>
    <row r="818" spans="4:26">
      <c r="D818" s="86">
        <v>0.81</v>
      </c>
      <c r="E818" s="61">
        <v>-626.22720000000004</v>
      </c>
      <c r="U818" s="86">
        <v>0.81</v>
      </c>
      <c r="V818" s="62">
        <v>1073.8019999999999</v>
      </c>
      <c r="W818" s="86">
        <v>0.81</v>
      </c>
      <c r="X818" s="62">
        <v>1033.5424</v>
      </c>
      <c r="Y818" s="86">
        <v>0.81</v>
      </c>
      <c r="Z818" s="62">
        <v>985.58025999999995</v>
      </c>
    </row>
    <row r="819" spans="4:26">
      <c r="D819" s="86">
        <v>0.81100000000000005</v>
      </c>
      <c r="E819" s="61">
        <v>-623.21720000000005</v>
      </c>
      <c r="U819" s="86">
        <v>0.81100000000000005</v>
      </c>
      <c r="V819" s="62">
        <v>1073.7439999999999</v>
      </c>
      <c r="W819" s="86">
        <v>0.81100000000000005</v>
      </c>
      <c r="X819" s="62">
        <v>1033.4812999999999</v>
      </c>
      <c r="Y819" s="86">
        <v>0.81100000000000005</v>
      </c>
      <c r="Z819" s="62">
        <v>985.52430000000004</v>
      </c>
    </row>
    <row r="820" spans="4:26">
      <c r="D820" s="86">
        <v>0.81200000000000006</v>
      </c>
      <c r="E820" s="61">
        <v>-620.19713999999999</v>
      </c>
      <c r="U820" s="86">
        <v>0.81200000000000006</v>
      </c>
      <c r="V820" s="62">
        <v>1073.6859999999999</v>
      </c>
      <c r="W820" s="86">
        <v>0.81200000000000006</v>
      </c>
      <c r="X820" s="62">
        <v>1033.4203</v>
      </c>
      <c r="Y820" s="86">
        <v>0.81200000000000006</v>
      </c>
      <c r="Z820" s="62">
        <v>985.46843999999999</v>
      </c>
    </row>
    <row r="821" spans="4:26">
      <c r="D821" s="86">
        <v>0.81299999999999994</v>
      </c>
      <c r="E821" s="61">
        <v>-617.16700000000003</v>
      </c>
      <c r="U821" s="86">
        <v>0.81299999999999994</v>
      </c>
      <c r="V821" s="62">
        <v>1073.6279</v>
      </c>
      <c r="W821" s="86">
        <v>0.81299999999999994</v>
      </c>
      <c r="X821" s="62">
        <v>1033.3593000000001</v>
      </c>
      <c r="Y821" s="86">
        <v>0.81299999999999994</v>
      </c>
      <c r="Z821" s="62">
        <v>985.41265999999996</v>
      </c>
    </row>
    <row r="822" spans="4:26">
      <c r="D822" s="86">
        <v>0.81399999999999995</v>
      </c>
      <c r="E822" s="61">
        <v>-614.12689999999998</v>
      </c>
      <c r="U822" s="86">
        <v>0.81399999999999995</v>
      </c>
      <c r="V822" s="62">
        <v>1073.5698</v>
      </c>
      <c r="W822" s="86">
        <v>0.81399999999999995</v>
      </c>
      <c r="X822" s="62">
        <v>1033.2982999999999</v>
      </c>
      <c r="Y822" s="86">
        <v>0.81399999999999995</v>
      </c>
      <c r="Z822" s="62">
        <v>985.3569</v>
      </c>
    </row>
    <row r="823" spans="4:26">
      <c r="D823" s="86">
        <v>0.81499999999999995</v>
      </c>
      <c r="E823" s="61">
        <v>-611.07696999999996</v>
      </c>
      <c r="U823" s="86">
        <v>0.81499999999999995</v>
      </c>
      <c r="V823" s="62">
        <v>1073.5116</v>
      </c>
      <c r="W823" s="86">
        <v>0.81499999999999995</v>
      </c>
      <c r="X823" s="62">
        <v>1033.2373</v>
      </c>
      <c r="Y823" s="86">
        <v>0.81499999999999995</v>
      </c>
      <c r="Z823" s="62">
        <v>985.30115000000001</v>
      </c>
    </row>
    <row r="824" spans="4:26">
      <c r="D824" s="86">
        <v>0.81599999999999995</v>
      </c>
      <c r="E824" s="61">
        <v>-608.01715000000002</v>
      </c>
      <c r="U824" s="86">
        <v>0.81599999999999995</v>
      </c>
      <c r="V824" s="62">
        <v>1073.4535000000001</v>
      </c>
      <c r="W824" s="86">
        <v>0.81599999999999995</v>
      </c>
      <c r="X824" s="62">
        <v>1033.1764000000001</v>
      </c>
      <c r="Y824" s="86">
        <v>0.81599999999999995</v>
      </c>
      <c r="Z824" s="62">
        <v>985.24554000000001</v>
      </c>
    </row>
    <row r="825" spans="4:26">
      <c r="D825" s="86">
        <v>0.81699999999999995</v>
      </c>
      <c r="E825" s="61">
        <v>-604.94763</v>
      </c>
      <c r="U825" s="86">
        <v>0.81699999999999995</v>
      </c>
      <c r="V825" s="62">
        <v>1073.3951</v>
      </c>
      <c r="W825" s="86">
        <v>0.81699999999999995</v>
      </c>
      <c r="X825" s="62">
        <v>1033.1153999999999</v>
      </c>
      <c r="Y825" s="86">
        <v>0.81699999999999995</v>
      </c>
      <c r="Z825" s="62">
        <v>985.18993999999998</v>
      </c>
    </row>
    <row r="826" spans="4:26">
      <c r="D826" s="86">
        <v>0.81799999999999995</v>
      </c>
      <c r="E826" s="61">
        <v>-601.86839999999995</v>
      </c>
      <c r="U826" s="86">
        <v>0.81799999999999995</v>
      </c>
      <c r="V826" s="62">
        <v>1073.3369</v>
      </c>
      <c r="W826" s="86">
        <v>0.81799999999999995</v>
      </c>
      <c r="X826" s="62">
        <v>1033.0544</v>
      </c>
      <c r="Y826" s="86">
        <v>0.81799999999999995</v>
      </c>
      <c r="Z826" s="62">
        <v>985.13440000000003</v>
      </c>
    </row>
    <row r="827" spans="4:26">
      <c r="D827" s="86">
        <v>0.81899999999999995</v>
      </c>
      <c r="E827" s="61">
        <v>-598.77959999999996</v>
      </c>
      <c r="U827" s="86">
        <v>0.81899999999999995</v>
      </c>
      <c r="V827" s="62">
        <v>1073.2786000000001</v>
      </c>
      <c r="W827" s="86">
        <v>0.81899999999999995</v>
      </c>
      <c r="X827" s="62">
        <v>1032.9935</v>
      </c>
      <c r="Y827" s="86">
        <v>0.81899999999999995</v>
      </c>
      <c r="Z827" s="62">
        <v>985.07899999999995</v>
      </c>
    </row>
    <row r="828" spans="4:26">
      <c r="D828" s="86">
        <v>0.82</v>
      </c>
      <c r="E828" s="61">
        <v>-595.68133999999998</v>
      </c>
      <c r="U828" s="86">
        <v>0.82</v>
      </c>
      <c r="V828" s="62">
        <v>1073.2202</v>
      </c>
      <c r="W828" s="86">
        <v>0.82</v>
      </c>
      <c r="X828" s="62">
        <v>1032.9326000000001</v>
      </c>
      <c r="Y828" s="86">
        <v>0.82</v>
      </c>
      <c r="Z828" s="62">
        <v>985.02355999999997</v>
      </c>
    </row>
    <row r="829" spans="4:26">
      <c r="D829" s="86">
        <v>0.82099999999999995</v>
      </c>
      <c r="E829" s="61">
        <v>-592.57354999999995</v>
      </c>
      <c r="U829" s="86">
        <v>0.82099999999999995</v>
      </c>
      <c r="V829" s="62">
        <v>1073.1617000000001</v>
      </c>
      <c r="W829" s="86">
        <v>0.82099999999999995</v>
      </c>
      <c r="X829" s="62">
        <v>1032.8716999999999</v>
      </c>
      <c r="Y829" s="86">
        <v>0.82099999999999995</v>
      </c>
      <c r="Z829" s="62">
        <v>984.96820000000002</v>
      </c>
    </row>
    <row r="830" spans="4:26">
      <c r="D830" s="86">
        <v>0.82199999999999995</v>
      </c>
      <c r="E830" s="61">
        <v>-589.45650000000001</v>
      </c>
      <c r="U830" s="86">
        <v>0.82199999999999995</v>
      </c>
      <c r="V830" s="62">
        <v>1073.1034</v>
      </c>
      <c r="W830" s="86">
        <v>0.82199999999999995</v>
      </c>
      <c r="X830" s="62">
        <v>1032.8108999999999</v>
      </c>
      <c r="Y830" s="86">
        <v>0.82199999999999995</v>
      </c>
      <c r="Z830" s="62">
        <v>984.91290000000004</v>
      </c>
    </row>
    <row r="831" spans="4:26">
      <c r="D831" s="86">
        <v>0.82299999999999995</v>
      </c>
      <c r="E831" s="61">
        <v>-586.33010000000002</v>
      </c>
      <c r="U831" s="86">
        <v>0.82299999999999995</v>
      </c>
      <c r="V831" s="62">
        <v>1073.0447999999999</v>
      </c>
      <c r="W831" s="86">
        <v>0.82299999999999995</v>
      </c>
      <c r="X831" s="62">
        <v>1032.75</v>
      </c>
      <c r="Y831" s="86">
        <v>0.82299999999999995</v>
      </c>
      <c r="Z831" s="62">
        <v>984.85766999999998</v>
      </c>
    </row>
    <row r="832" spans="4:26">
      <c r="D832" s="86">
        <v>0.82399999999999995</v>
      </c>
      <c r="E832" s="61">
        <v>-583.19449999999995</v>
      </c>
      <c r="U832" s="86">
        <v>0.82399999999999995</v>
      </c>
      <c r="V832" s="62">
        <v>1072.9863</v>
      </c>
      <c r="W832" s="86">
        <v>0.82399999999999995</v>
      </c>
      <c r="X832" s="62">
        <v>1032.6892</v>
      </c>
      <c r="Y832" s="86">
        <v>0.82399999999999995</v>
      </c>
      <c r="Z832" s="62">
        <v>984.80250000000001</v>
      </c>
    </row>
    <row r="833" spans="4:26">
      <c r="D833" s="86">
        <v>0.82499999999999996</v>
      </c>
      <c r="E833" s="61">
        <v>-580.04987000000006</v>
      </c>
      <c r="U833" s="86">
        <v>0.82499999999999996</v>
      </c>
      <c r="V833" s="62">
        <v>1072.9277</v>
      </c>
      <c r="W833" s="86">
        <v>0.82499999999999996</v>
      </c>
      <c r="X833" s="62">
        <v>1032.6284000000001</v>
      </c>
      <c r="Y833" s="86">
        <v>0.82499999999999996</v>
      </c>
      <c r="Z833" s="62">
        <v>984.74739999999997</v>
      </c>
    </row>
    <row r="834" spans="4:26">
      <c r="D834" s="86">
        <v>0.82599999999999996</v>
      </c>
      <c r="E834" s="61">
        <v>-576.89620000000002</v>
      </c>
      <c r="U834" s="86">
        <v>0.82599999999999996</v>
      </c>
      <c r="V834" s="62">
        <v>1072.8690999999999</v>
      </c>
      <c r="W834" s="86">
        <v>0.82599999999999996</v>
      </c>
      <c r="X834" s="62">
        <v>1032.5675000000001</v>
      </c>
      <c r="Y834" s="86">
        <v>0.82599999999999996</v>
      </c>
      <c r="Z834" s="62">
        <v>984.69230000000005</v>
      </c>
    </row>
    <row r="835" spans="4:26">
      <c r="D835" s="86">
        <v>0.82699999999999996</v>
      </c>
      <c r="E835" s="61">
        <v>-573.73350000000005</v>
      </c>
      <c r="U835" s="86">
        <v>0.82699999999999996</v>
      </c>
      <c r="V835" s="62">
        <v>1072.8104000000001</v>
      </c>
      <c r="W835" s="86">
        <v>0.82699999999999996</v>
      </c>
      <c r="X835" s="62">
        <v>1032.5066999999999</v>
      </c>
      <c r="Y835" s="86">
        <v>0.82699999999999996</v>
      </c>
      <c r="Z835" s="62">
        <v>984.63729999999998</v>
      </c>
    </row>
    <row r="836" spans="4:26">
      <c r="D836" s="86">
        <v>0.82799999999999996</v>
      </c>
      <c r="E836" s="61">
        <v>-570.56200000000001</v>
      </c>
      <c r="U836" s="86">
        <v>0.82799999999999996</v>
      </c>
      <c r="V836" s="62">
        <v>1072.7517</v>
      </c>
      <c r="W836" s="86">
        <v>0.82799999999999996</v>
      </c>
      <c r="X836" s="62">
        <v>1032.4459999999999</v>
      </c>
      <c r="Y836" s="86">
        <v>0.82799999999999996</v>
      </c>
      <c r="Z836" s="62">
        <v>984.58240000000001</v>
      </c>
    </row>
    <row r="837" spans="4:26">
      <c r="D837" s="86">
        <v>0.82899999999999996</v>
      </c>
      <c r="E837" s="61">
        <v>-567.38170000000002</v>
      </c>
      <c r="U837" s="86">
        <v>0.82899999999999996</v>
      </c>
      <c r="V837" s="62">
        <v>1072.693</v>
      </c>
      <c r="W837" s="86">
        <v>0.82899999999999996</v>
      </c>
      <c r="X837" s="62">
        <v>1032.3852999999999</v>
      </c>
      <c r="Y837" s="86">
        <v>0.82899999999999996</v>
      </c>
      <c r="Z837" s="62">
        <v>984.52746999999999</v>
      </c>
    </row>
    <row r="838" spans="4:26">
      <c r="D838" s="86">
        <v>0.83</v>
      </c>
      <c r="E838" s="61">
        <v>-564.19275000000005</v>
      </c>
      <c r="U838" s="86">
        <v>0.83</v>
      </c>
      <c r="V838" s="62">
        <v>1072.6342999999999</v>
      </c>
      <c r="W838" s="86">
        <v>0.83</v>
      </c>
      <c r="X838" s="62">
        <v>1032.3244999999999</v>
      </c>
      <c r="Y838" s="86">
        <v>0.83</v>
      </c>
      <c r="Z838" s="62">
        <v>984.47266000000002</v>
      </c>
    </row>
    <row r="839" spans="4:26">
      <c r="D839" s="86">
        <v>0.83099999999999996</v>
      </c>
      <c r="E839" s="61">
        <v>-560.99523999999997</v>
      </c>
      <c r="U839" s="86">
        <v>0.83099999999999996</v>
      </c>
      <c r="V839" s="62">
        <v>1072.5753999999999</v>
      </c>
      <c r="W839" s="86">
        <v>0.83099999999999996</v>
      </c>
      <c r="X839" s="62">
        <v>1032.2637999999999</v>
      </c>
      <c r="Y839" s="86">
        <v>0.83099999999999996</v>
      </c>
      <c r="Z839" s="62">
        <v>984.41790000000003</v>
      </c>
    </row>
    <row r="840" spans="4:26">
      <c r="D840" s="86">
        <v>0.83199999999999996</v>
      </c>
      <c r="E840" s="61">
        <v>-557.78909999999996</v>
      </c>
      <c r="U840" s="86">
        <v>0.83199999999999996</v>
      </c>
      <c r="V840" s="62">
        <v>1072.5165999999999</v>
      </c>
      <c r="W840" s="86">
        <v>0.83199999999999996</v>
      </c>
      <c r="X840" s="62">
        <v>1032.2030999999999</v>
      </c>
      <c r="Y840" s="86">
        <v>0.83199999999999996</v>
      </c>
      <c r="Z840" s="62">
        <v>984.36315999999999</v>
      </c>
    </row>
    <row r="841" spans="4:26">
      <c r="D841" s="86">
        <v>0.83299999999999996</v>
      </c>
      <c r="E841" s="61">
        <v>-554.57465000000002</v>
      </c>
      <c r="U841" s="86">
        <v>0.83299999999999996</v>
      </c>
      <c r="V841" s="62">
        <v>1072.4576</v>
      </c>
      <c r="W841" s="86">
        <v>0.83299999999999996</v>
      </c>
      <c r="X841" s="62">
        <v>1032.1424999999999</v>
      </c>
      <c r="Y841" s="86">
        <v>0.83299999999999996</v>
      </c>
      <c r="Z841" s="62">
        <v>984.30853000000002</v>
      </c>
    </row>
    <row r="842" spans="4:26">
      <c r="D842" s="86">
        <v>0.83399999999999996</v>
      </c>
      <c r="E842" s="61">
        <v>-551.35186999999996</v>
      </c>
      <c r="U842" s="86">
        <v>0.83399999999999996</v>
      </c>
      <c r="V842" s="62">
        <v>1072.3987</v>
      </c>
      <c r="W842" s="86">
        <v>0.83399999999999996</v>
      </c>
      <c r="X842" s="62">
        <v>1032.0817999999999</v>
      </c>
      <c r="Y842" s="86">
        <v>0.83399999999999996</v>
      </c>
      <c r="Z842" s="62">
        <v>984.25390000000004</v>
      </c>
    </row>
    <row r="843" spans="4:26">
      <c r="D843" s="86">
        <v>0.83499999999999996</v>
      </c>
      <c r="E843" s="61">
        <v>-548.12080000000003</v>
      </c>
      <c r="U843" s="86">
        <v>0.83499999999999996</v>
      </c>
      <c r="V843" s="62">
        <v>1072.3397</v>
      </c>
      <c r="W843" s="86">
        <v>0.83499999999999996</v>
      </c>
      <c r="X843" s="62">
        <v>1032.0210999999999</v>
      </c>
      <c r="Y843" s="86">
        <v>0.83499999999999996</v>
      </c>
      <c r="Z843" s="62">
        <v>984.19939999999997</v>
      </c>
    </row>
    <row r="844" spans="4:26">
      <c r="D844" s="86">
        <v>0.83599999999999997</v>
      </c>
      <c r="E844" s="61">
        <v>-544.88160000000005</v>
      </c>
      <c r="U844" s="86">
        <v>0.83599999999999997</v>
      </c>
      <c r="V844" s="62">
        <v>1072.2808</v>
      </c>
      <c r="W844" s="86">
        <v>0.83599999999999997</v>
      </c>
      <c r="X844" s="62">
        <v>1031.9603999999999</v>
      </c>
      <c r="Y844" s="86">
        <v>0.83599999999999997</v>
      </c>
      <c r="Z844" s="62">
        <v>984.14490000000001</v>
      </c>
    </row>
    <row r="845" spans="4:26">
      <c r="D845" s="86">
        <v>0.83699999999999997</v>
      </c>
      <c r="E845" s="61">
        <v>-541.63433999999995</v>
      </c>
      <c r="U845" s="86">
        <v>0.83699999999999997</v>
      </c>
      <c r="V845" s="62">
        <v>1072.2217000000001</v>
      </c>
      <c r="W845" s="86">
        <v>0.83699999999999997</v>
      </c>
      <c r="X845" s="62">
        <v>1031.8998999999999</v>
      </c>
      <c r="Y845" s="86">
        <v>0.83699999999999997</v>
      </c>
      <c r="Z845" s="62">
        <v>984.09045000000003</v>
      </c>
    </row>
    <row r="846" spans="4:26">
      <c r="D846" s="86">
        <v>0.83799999999999997</v>
      </c>
      <c r="E846" s="61">
        <v>-538.37914999999998</v>
      </c>
      <c r="U846" s="86">
        <v>0.83799999999999997</v>
      </c>
      <c r="V846" s="62">
        <v>1072.1626000000001</v>
      </c>
      <c r="W846" s="86">
        <v>0.83799999999999997</v>
      </c>
      <c r="X846" s="62">
        <v>1031.8394000000001</v>
      </c>
      <c r="Y846" s="86">
        <v>0.83799999999999997</v>
      </c>
      <c r="Z846" s="62">
        <v>984.03610000000003</v>
      </c>
    </row>
    <row r="847" spans="4:26">
      <c r="D847" s="86">
        <v>0.83899999999999997</v>
      </c>
      <c r="E847" s="61">
        <v>-535.11609999999996</v>
      </c>
      <c r="U847" s="86">
        <v>0.83899999999999997</v>
      </c>
      <c r="V847" s="62">
        <v>1072.1034999999999</v>
      </c>
      <c r="W847" s="86">
        <v>0.83899999999999997</v>
      </c>
      <c r="X847" s="62">
        <v>1031.7787000000001</v>
      </c>
      <c r="Y847" s="86">
        <v>0.83899999999999997</v>
      </c>
      <c r="Z847" s="62">
        <v>983.98180000000002</v>
      </c>
    </row>
    <row r="848" spans="4:26">
      <c r="D848" s="86">
        <v>0.84</v>
      </c>
      <c r="E848" s="61">
        <v>-531.84519999999998</v>
      </c>
      <c r="U848" s="86">
        <v>0.84</v>
      </c>
      <c r="V848" s="62">
        <v>1072.0443</v>
      </c>
      <c r="W848" s="86">
        <v>0.84</v>
      </c>
      <c r="X848" s="62">
        <v>1031.7181</v>
      </c>
      <c r="Y848" s="86">
        <v>0.84</v>
      </c>
      <c r="Z848" s="62">
        <v>983.92755</v>
      </c>
    </row>
    <row r="849" spans="4:26">
      <c r="D849" s="86">
        <v>0.84099999999999997</v>
      </c>
      <c r="E849" s="61">
        <v>-528.56669999999997</v>
      </c>
      <c r="U849" s="86">
        <v>0.84099999999999997</v>
      </c>
      <c r="V849" s="62">
        <v>1071.9851000000001</v>
      </c>
      <c r="W849" s="86">
        <v>0.84099999999999997</v>
      </c>
      <c r="X849" s="62">
        <v>1031.6576</v>
      </c>
      <c r="Y849" s="86">
        <v>0.84099999999999997</v>
      </c>
      <c r="Z849" s="62">
        <v>983.87334999999996</v>
      </c>
    </row>
    <row r="850" spans="4:26">
      <c r="D850" s="86">
        <v>0.84199999999999997</v>
      </c>
      <c r="E850" s="61">
        <v>-525.28063999999995</v>
      </c>
      <c r="U850" s="86">
        <v>0.84199999999999997</v>
      </c>
      <c r="V850" s="62">
        <v>1071.9259</v>
      </c>
      <c r="W850" s="86">
        <v>0.84199999999999997</v>
      </c>
      <c r="X850" s="62">
        <v>1031.5971999999999</v>
      </c>
      <c r="Y850" s="86">
        <v>0.84199999999999997</v>
      </c>
      <c r="Z850" s="62">
        <v>983.81920000000002</v>
      </c>
    </row>
    <row r="851" spans="4:26">
      <c r="D851" s="86">
        <v>0.84299999999999997</v>
      </c>
      <c r="E851" s="61">
        <v>-521.98710000000005</v>
      </c>
      <c r="U851" s="86">
        <v>0.84299999999999997</v>
      </c>
      <c r="V851" s="62">
        <v>1071.8666000000001</v>
      </c>
      <c r="W851" s="86">
        <v>0.84299999999999997</v>
      </c>
      <c r="X851" s="62">
        <v>1031.5365999999999</v>
      </c>
      <c r="Y851" s="86">
        <v>0.84299999999999997</v>
      </c>
      <c r="Z851" s="62">
        <v>983.76513999999997</v>
      </c>
    </row>
    <row r="852" spans="4:26">
      <c r="D852" s="86">
        <v>0.84399999999999997</v>
      </c>
      <c r="E852" s="61">
        <v>-518.68619999999999</v>
      </c>
      <c r="U852" s="86">
        <v>0.84399999999999997</v>
      </c>
      <c r="V852" s="62">
        <v>1071.8073999999999</v>
      </c>
      <c r="W852" s="86">
        <v>0.84399999999999997</v>
      </c>
      <c r="X852" s="62">
        <v>1031.4762000000001</v>
      </c>
      <c r="Y852" s="86">
        <v>0.84399999999999997</v>
      </c>
      <c r="Z852" s="62">
        <v>983.71105999999997</v>
      </c>
    </row>
    <row r="853" spans="4:26">
      <c r="D853" s="86">
        <v>0.84499999999999997</v>
      </c>
      <c r="E853" s="61">
        <v>-515.37805000000003</v>
      </c>
      <c r="U853" s="86">
        <v>0.84499999999999997</v>
      </c>
      <c r="V853" s="62">
        <v>1071.7479000000001</v>
      </c>
      <c r="W853" s="86">
        <v>0.84499999999999997</v>
      </c>
      <c r="X853" s="62">
        <v>1031.4156</v>
      </c>
      <c r="Y853" s="86">
        <v>0.84499999999999997</v>
      </c>
      <c r="Z853" s="62">
        <v>983.65710000000001</v>
      </c>
    </row>
    <row r="854" spans="4:26">
      <c r="D854" s="86">
        <v>0.84599999999999997</v>
      </c>
      <c r="E854" s="61">
        <v>-512.06269999999995</v>
      </c>
      <c r="U854" s="86">
        <v>0.84599999999999997</v>
      </c>
      <c r="V854" s="62">
        <v>1071.6886</v>
      </c>
      <c r="W854" s="86">
        <v>0.84599999999999997</v>
      </c>
      <c r="X854" s="62">
        <v>1031.3552</v>
      </c>
      <c r="Y854" s="86">
        <v>0.84599999999999997</v>
      </c>
      <c r="Z854" s="62">
        <v>983.60320000000002</v>
      </c>
    </row>
    <row r="855" spans="4:26">
      <c r="D855" s="86">
        <v>0.84699999999999998</v>
      </c>
      <c r="E855" s="61">
        <v>-508.74025999999998</v>
      </c>
      <c r="U855" s="86">
        <v>0.84699999999999998</v>
      </c>
      <c r="V855" s="62">
        <v>1071.6292000000001</v>
      </c>
      <c r="W855" s="86">
        <v>0.84699999999999998</v>
      </c>
      <c r="X855" s="62">
        <v>1031.2947999999999</v>
      </c>
      <c r="Y855" s="86">
        <v>0.84699999999999998</v>
      </c>
      <c r="Z855" s="62">
        <v>983.54930000000002</v>
      </c>
    </row>
    <row r="856" spans="4:26">
      <c r="D856" s="86">
        <v>0.84799999999999998</v>
      </c>
      <c r="E856" s="61">
        <v>-505.41086000000001</v>
      </c>
      <c r="U856" s="86">
        <v>0.84799999999999998</v>
      </c>
      <c r="V856" s="62">
        <v>1071.5697</v>
      </c>
      <c r="W856" s="86">
        <v>0.84799999999999998</v>
      </c>
      <c r="X856" s="62">
        <v>1031.2345</v>
      </c>
      <c r="Y856" s="86">
        <v>0.84799999999999998</v>
      </c>
      <c r="Z856" s="62">
        <v>983.49554000000001</v>
      </c>
    </row>
    <row r="857" spans="4:26">
      <c r="D857" s="86">
        <v>0.84899999999999998</v>
      </c>
      <c r="E857" s="61">
        <v>-502.07461999999998</v>
      </c>
      <c r="U857" s="86">
        <v>0.84899999999999998</v>
      </c>
      <c r="V857" s="62">
        <v>1071.5102999999999</v>
      </c>
      <c r="W857" s="86">
        <v>0.84899999999999998</v>
      </c>
      <c r="X857" s="62">
        <v>1031.1741</v>
      </c>
      <c r="Y857" s="86">
        <v>0.84899999999999998</v>
      </c>
      <c r="Z857" s="62">
        <v>983.44179999999994</v>
      </c>
    </row>
    <row r="858" spans="4:26">
      <c r="D858" s="86">
        <v>0.85</v>
      </c>
      <c r="E858" s="61">
        <v>-498.73163</v>
      </c>
      <c r="U858" s="86">
        <v>0.85</v>
      </c>
      <c r="V858" s="62">
        <v>1071.4507000000001</v>
      </c>
      <c r="W858" s="86">
        <v>0.85</v>
      </c>
      <c r="X858" s="62">
        <v>1031.1138000000001</v>
      </c>
      <c r="Y858" s="86">
        <v>0.85</v>
      </c>
      <c r="Z858" s="62">
        <v>983.38810000000001</v>
      </c>
    </row>
    <row r="859" spans="4:26">
      <c r="D859" s="86">
        <v>0.85099999999999998</v>
      </c>
      <c r="E859" s="61">
        <v>-495.38200000000001</v>
      </c>
      <c r="U859" s="86">
        <v>0.85099999999999998</v>
      </c>
      <c r="V859" s="62">
        <v>1071.3912</v>
      </c>
      <c r="W859" s="86">
        <v>0.85099999999999998</v>
      </c>
      <c r="X859" s="62">
        <v>1031.0533</v>
      </c>
      <c r="Y859" s="86">
        <v>0.85099999999999998</v>
      </c>
      <c r="Z859" s="62">
        <v>983.33450000000005</v>
      </c>
    </row>
    <row r="860" spans="4:26">
      <c r="D860" s="86">
        <v>0.85199999999999998</v>
      </c>
      <c r="E860" s="61">
        <v>-492.02582000000001</v>
      </c>
      <c r="U860" s="86">
        <v>0.85199999999999998</v>
      </c>
      <c r="V860" s="62">
        <v>1071.3315</v>
      </c>
      <c r="W860" s="86">
        <v>0.85199999999999998</v>
      </c>
      <c r="X860" s="62">
        <v>1030.9929999999999</v>
      </c>
      <c r="Y860" s="86">
        <v>0.85199999999999998</v>
      </c>
      <c r="Z860" s="62">
        <v>983.28089999999997</v>
      </c>
    </row>
    <row r="861" spans="4:26">
      <c r="D861" s="86">
        <v>0.85299999999999998</v>
      </c>
      <c r="E861" s="61">
        <v>-488.66320000000002</v>
      </c>
      <c r="U861" s="86">
        <v>0.85299999999999998</v>
      </c>
      <c r="V861" s="62">
        <v>1071.2719999999999</v>
      </c>
      <c r="W861" s="86">
        <v>0.85299999999999998</v>
      </c>
      <c r="X861" s="62">
        <v>1030.9327000000001</v>
      </c>
      <c r="Y861" s="86">
        <v>0.85299999999999998</v>
      </c>
      <c r="Z861" s="62">
        <v>983.22735999999998</v>
      </c>
    </row>
    <row r="862" spans="4:26">
      <c r="D862" s="86">
        <v>0.85399999999999998</v>
      </c>
      <c r="E862" s="61">
        <v>-485.29424999999998</v>
      </c>
      <c r="U862" s="86">
        <v>0.85399999999999998</v>
      </c>
      <c r="V862" s="62">
        <v>1071.2122999999999</v>
      </c>
      <c r="W862" s="86">
        <v>0.85399999999999998</v>
      </c>
      <c r="X862" s="62">
        <v>1030.8724</v>
      </c>
      <c r="Y862" s="86">
        <v>0.85399999999999998</v>
      </c>
      <c r="Z862" s="62">
        <v>983.1739</v>
      </c>
    </row>
    <row r="863" spans="4:26">
      <c r="D863" s="86">
        <v>0.85499999999999998</v>
      </c>
      <c r="E863" s="61">
        <v>-481.91913</v>
      </c>
      <c r="U863" s="86">
        <v>0.85499999999999998</v>
      </c>
      <c r="V863" s="62">
        <v>1071.1525999999999</v>
      </c>
      <c r="W863" s="86">
        <v>0.85499999999999998</v>
      </c>
      <c r="X863" s="62">
        <v>1030.8123000000001</v>
      </c>
      <c r="Y863" s="86">
        <v>0.85499999999999998</v>
      </c>
      <c r="Z863" s="62">
        <v>983.12049999999999</v>
      </c>
    </row>
    <row r="864" spans="4:26">
      <c r="D864" s="86">
        <v>0.85599999999999998</v>
      </c>
      <c r="E864" s="61">
        <v>-478.53787</v>
      </c>
      <c r="U864" s="86">
        <v>0.85599999999999998</v>
      </c>
      <c r="V864" s="62">
        <v>1071.0929000000001</v>
      </c>
      <c r="W864" s="86">
        <v>0.85599999999999998</v>
      </c>
      <c r="X864" s="62">
        <v>1030.752</v>
      </c>
      <c r="Y864" s="86">
        <v>0.85599999999999998</v>
      </c>
      <c r="Z864" s="62">
        <v>983.06713999999999</v>
      </c>
    </row>
    <row r="865" spans="4:26">
      <c r="D865" s="86">
        <v>0.85699999999999998</v>
      </c>
      <c r="E865" s="61">
        <v>-475.15062999999998</v>
      </c>
      <c r="U865" s="86">
        <v>0.85699999999999998</v>
      </c>
      <c r="V865" s="62">
        <v>1071.0332000000001</v>
      </c>
      <c r="W865" s="86">
        <v>0.85699999999999998</v>
      </c>
      <c r="X865" s="62">
        <v>1030.6918000000001</v>
      </c>
      <c r="Y865" s="86">
        <v>0.85699999999999998</v>
      </c>
      <c r="Z865" s="62">
        <v>983.01385000000005</v>
      </c>
    </row>
    <row r="866" spans="4:26">
      <c r="D866" s="86">
        <v>0.85799999999999998</v>
      </c>
      <c r="E866" s="61">
        <v>-471.75749999999999</v>
      </c>
      <c r="U866" s="86">
        <v>0.85799999999999998</v>
      </c>
      <c r="V866" s="62">
        <v>1070.9734000000001</v>
      </c>
      <c r="W866" s="86">
        <v>0.85799999999999998</v>
      </c>
      <c r="X866" s="62">
        <v>1030.6315999999999</v>
      </c>
      <c r="Y866" s="86">
        <v>0.85799999999999998</v>
      </c>
      <c r="Z866" s="62">
        <v>982.96063000000004</v>
      </c>
    </row>
    <row r="867" spans="4:26">
      <c r="D867" s="86">
        <v>0.85899999999999999</v>
      </c>
      <c r="E867" s="61">
        <v>-468.35860000000002</v>
      </c>
      <c r="U867" s="86">
        <v>0.85899999999999999</v>
      </c>
      <c r="V867" s="62">
        <v>1070.9136000000001</v>
      </c>
      <c r="W867" s="86">
        <v>0.85899999999999999</v>
      </c>
      <c r="X867" s="62">
        <v>1030.5714</v>
      </c>
      <c r="Y867" s="86">
        <v>0.85899999999999999</v>
      </c>
      <c r="Z867" s="62">
        <v>982.90740000000005</v>
      </c>
    </row>
    <row r="868" spans="4:26">
      <c r="D868" s="86">
        <v>0.86</v>
      </c>
      <c r="E868" s="61">
        <v>-464.95409999999998</v>
      </c>
      <c r="U868" s="86">
        <v>0.86</v>
      </c>
      <c r="V868" s="62">
        <v>1070.8535999999999</v>
      </c>
      <c r="W868" s="86">
        <v>0.86</v>
      </c>
      <c r="X868" s="62">
        <v>1030.5111999999999</v>
      </c>
      <c r="Y868" s="86">
        <v>0.86</v>
      </c>
      <c r="Z868" s="62">
        <v>982.85429999999997</v>
      </c>
    </row>
    <row r="869" spans="4:26">
      <c r="D869" s="86">
        <v>0.86099999999999999</v>
      </c>
      <c r="E869" s="61">
        <v>-461.54404</v>
      </c>
      <c r="U869" s="86">
        <v>0.86099999999999999</v>
      </c>
      <c r="V869" s="62">
        <v>1070.7937999999999</v>
      </c>
      <c r="W869" s="86">
        <v>0.86099999999999999</v>
      </c>
      <c r="X869" s="62">
        <v>1030.451</v>
      </c>
      <c r="Y869" s="86">
        <v>0.86099999999999999</v>
      </c>
      <c r="Z869" s="62">
        <v>982.80119999999999</v>
      </c>
    </row>
    <row r="870" spans="4:26">
      <c r="D870" s="86">
        <v>0.86199999999999999</v>
      </c>
      <c r="E870" s="61">
        <v>-458.12853999999999</v>
      </c>
      <c r="U870" s="86">
        <v>0.86199999999999999</v>
      </c>
      <c r="V870" s="62">
        <v>1070.7338999999999</v>
      </c>
      <c r="W870" s="86">
        <v>0.86199999999999999</v>
      </c>
      <c r="X870" s="62">
        <v>1030.3910000000001</v>
      </c>
      <c r="Y870" s="86">
        <v>0.86199999999999999</v>
      </c>
      <c r="Z870" s="62">
        <v>982.7482</v>
      </c>
    </row>
    <row r="871" spans="4:26">
      <c r="D871" s="86">
        <v>0.86299999999999999</v>
      </c>
      <c r="E871" s="61">
        <v>-454.70776000000001</v>
      </c>
      <c r="U871" s="86">
        <v>0.86299999999999999</v>
      </c>
      <c r="V871" s="62">
        <v>1070.674</v>
      </c>
      <c r="W871" s="86">
        <v>0.86299999999999999</v>
      </c>
      <c r="X871" s="62">
        <v>1030.3308</v>
      </c>
      <c r="Y871" s="86">
        <v>0.86299999999999999</v>
      </c>
      <c r="Z871" s="62">
        <v>982.69524999999999</v>
      </c>
    </row>
    <row r="872" spans="4:26">
      <c r="D872" s="86">
        <v>0.86399999999999999</v>
      </c>
      <c r="E872" s="61">
        <v>-451.28179999999998</v>
      </c>
      <c r="U872" s="86">
        <v>0.86399999999999999</v>
      </c>
      <c r="V872" s="62">
        <v>1070.614</v>
      </c>
      <c r="W872" s="86">
        <v>0.86399999999999999</v>
      </c>
      <c r="X872" s="62">
        <v>1030.2708</v>
      </c>
      <c r="Y872" s="86">
        <v>0.86399999999999999</v>
      </c>
      <c r="Z872" s="62">
        <v>982.64233000000002</v>
      </c>
    </row>
    <row r="873" spans="4:26">
      <c r="D873" s="86">
        <v>0.86499999999999999</v>
      </c>
      <c r="E873" s="61">
        <v>-447.85077000000001</v>
      </c>
      <c r="U873" s="86">
        <v>0.86499999999999999</v>
      </c>
      <c r="V873" s="62">
        <v>1070.5540000000001</v>
      </c>
      <c r="W873" s="86">
        <v>0.86499999999999999</v>
      </c>
      <c r="X873" s="62">
        <v>1030.2107000000001</v>
      </c>
      <c r="Y873" s="86">
        <v>0.86499999999999999</v>
      </c>
      <c r="Z873" s="62">
        <v>982.58950000000004</v>
      </c>
    </row>
    <row r="874" spans="4:26">
      <c r="D874" s="86">
        <v>0.86599999999999999</v>
      </c>
      <c r="E874" s="61">
        <v>-444.41480000000001</v>
      </c>
      <c r="U874" s="86">
        <v>0.86599999999999999</v>
      </c>
      <c r="V874" s="62">
        <v>1070.4938999999999</v>
      </c>
      <c r="W874" s="86">
        <v>0.86599999999999999</v>
      </c>
      <c r="X874" s="62">
        <v>1030.1507999999999</v>
      </c>
      <c r="Y874" s="86">
        <v>0.86599999999999999</v>
      </c>
      <c r="Z874" s="62">
        <v>982.5367</v>
      </c>
    </row>
    <row r="875" spans="4:26">
      <c r="D875" s="86">
        <v>0.86699999999999999</v>
      </c>
      <c r="E875" s="61">
        <v>-440.97397000000001</v>
      </c>
      <c r="U875" s="86">
        <v>0.86699999999999999</v>
      </c>
      <c r="V875" s="62">
        <v>1070.4338</v>
      </c>
      <c r="W875" s="86">
        <v>0.86699999999999999</v>
      </c>
      <c r="X875" s="62">
        <v>1030.0907</v>
      </c>
      <c r="Y875" s="86">
        <v>0.86699999999999999</v>
      </c>
      <c r="Z875" s="62">
        <v>982.48395000000005</v>
      </c>
    </row>
    <row r="876" spans="4:26">
      <c r="D876" s="86">
        <v>0.86799999999999999</v>
      </c>
      <c r="E876" s="61">
        <v>-437.52847000000003</v>
      </c>
      <c r="U876" s="86">
        <v>0.86799999999999999</v>
      </c>
      <c r="V876" s="62">
        <v>1070.3738000000001</v>
      </c>
      <c r="W876" s="86">
        <v>0.86799999999999999</v>
      </c>
      <c r="X876" s="62">
        <v>1030.0308</v>
      </c>
      <c r="Y876" s="86">
        <v>0.86799999999999999</v>
      </c>
      <c r="Z876" s="62">
        <v>982.43129999999996</v>
      </c>
    </row>
    <row r="877" spans="4:26">
      <c r="D877" s="86">
        <v>0.86899999999999999</v>
      </c>
      <c r="E877" s="61">
        <v>-434.07839999999999</v>
      </c>
      <c r="U877" s="86">
        <v>0.86899999999999999</v>
      </c>
      <c r="V877" s="62">
        <v>1070.3136</v>
      </c>
      <c r="W877" s="86">
        <v>0.86899999999999999</v>
      </c>
      <c r="X877" s="62">
        <v>1029.9707000000001</v>
      </c>
      <c r="Y877" s="86">
        <v>0.86899999999999999</v>
      </c>
      <c r="Z877" s="62">
        <v>982.37865999999997</v>
      </c>
    </row>
    <row r="878" spans="4:26">
      <c r="D878" s="86">
        <v>0.87</v>
      </c>
      <c r="E878" s="61">
        <v>-430.62387000000001</v>
      </c>
      <c r="U878" s="86">
        <v>0.87</v>
      </c>
      <c r="V878" s="62">
        <v>1070.2534000000001</v>
      </c>
      <c r="W878" s="86">
        <v>0.87</v>
      </c>
      <c r="X878" s="62">
        <v>1029.9108000000001</v>
      </c>
      <c r="Y878" s="86">
        <v>0.87</v>
      </c>
      <c r="Z878" s="62">
        <v>982.3261</v>
      </c>
    </row>
    <row r="879" spans="4:26">
      <c r="D879" s="86">
        <v>0.871</v>
      </c>
      <c r="E879" s="61">
        <v>-427.16500000000002</v>
      </c>
      <c r="U879" s="86">
        <v>0.871</v>
      </c>
      <c r="V879" s="62">
        <v>1070.1931999999999</v>
      </c>
      <c r="W879" s="86">
        <v>0.871</v>
      </c>
      <c r="X879" s="62">
        <v>1029.8507999999999</v>
      </c>
      <c r="Y879" s="86">
        <v>0.871</v>
      </c>
      <c r="Z879" s="62">
        <v>982.27355999999997</v>
      </c>
    </row>
    <row r="880" spans="4:26">
      <c r="D880" s="86">
        <v>0.872</v>
      </c>
      <c r="E880" s="61">
        <v>-423.70193</v>
      </c>
      <c r="U880" s="86">
        <v>0.872</v>
      </c>
      <c r="V880" s="62">
        <v>1070.133</v>
      </c>
      <c r="W880" s="86">
        <v>0.872</v>
      </c>
      <c r="X880" s="62">
        <v>1029.7909</v>
      </c>
      <c r="Y880" s="86">
        <v>0.872</v>
      </c>
      <c r="Z880" s="62">
        <v>982.22109999999998</v>
      </c>
    </row>
    <row r="881" spans="4:26">
      <c r="D881" s="86">
        <v>0.873</v>
      </c>
      <c r="E881" s="61">
        <v>-420.23477000000003</v>
      </c>
      <c r="U881" s="86">
        <v>0.873</v>
      </c>
      <c r="V881" s="62">
        <v>1070.0727999999999</v>
      </c>
      <c r="W881" s="86">
        <v>0.873</v>
      </c>
      <c r="X881" s="62">
        <v>1029.7311</v>
      </c>
      <c r="Y881" s="86">
        <v>0.873</v>
      </c>
      <c r="Z881" s="62">
        <v>982.16869999999994</v>
      </c>
    </row>
    <row r="882" spans="4:26">
      <c r="D882" s="86">
        <v>0.874</v>
      </c>
      <c r="E882" s="61">
        <v>-416.76366999999999</v>
      </c>
      <c r="U882" s="86">
        <v>0.874</v>
      </c>
      <c r="V882" s="62">
        <v>1070.0125</v>
      </c>
      <c r="W882" s="86">
        <v>0.874</v>
      </c>
      <c r="X882" s="62">
        <v>1029.6713</v>
      </c>
      <c r="Y882" s="86">
        <v>0.874</v>
      </c>
      <c r="Z882" s="62">
        <v>982.11632999999995</v>
      </c>
    </row>
    <row r="883" spans="4:26">
      <c r="D883" s="86">
        <v>0.875</v>
      </c>
      <c r="E883" s="61">
        <v>-413.28872999999999</v>
      </c>
      <c r="U883" s="86">
        <v>0.875</v>
      </c>
      <c r="V883" s="62">
        <v>1069.9521</v>
      </c>
      <c r="W883" s="86">
        <v>0.875</v>
      </c>
      <c r="X883" s="62">
        <v>1029.6113</v>
      </c>
      <c r="Y883" s="86">
        <v>0.875</v>
      </c>
      <c r="Z883" s="62">
        <v>982.06399999999996</v>
      </c>
    </row>
    <row r="884" spans="4:26">
      <c r="D884" s="86">
        <v>0.876</v>
      </c>
      <c r="E884" s="61">
        <v>-409.81009999999998</v>
      </c>
      <c r="U884" s="86">
        <v>0.876</v>
      </c>
      <c r="V884" s="62">
        <v>1069.8918000000001</v>
      </c>
      <c r="W884" s="86">
        <v>0.876</v>
      </c>
      <c r="X884" s="62">
        <v>1029.5515</v>
      </c>
      <c r="Y884" s="86">
        <v>0.876</v>
      </c>
      <c r="Z884" s="62">
        <v>982.01184000000001</v>
      </c>
    </row>
    <row r="885" spans="4:26">
      <c r="D885" s="86">
        <v>0.877</v>
      </c>
      <c r="E885" s="61">
        <v>-406.3279</v>
      </c>
      <c r="U885" s="86">
        <v>0.877</v>
      </c>
      <c r="V885" s="62">
        <v>1069.8314</v>
      </c>
      <c r="W885" s="86">
        <v>0.877</v>
      </c>
      <c r="X885" s="62">
        <v>1029.4917</v>
      </c>
      <c r="Y885" s="86">
        <v>0.877</v>
      </c>
      <c r="Z885" s="62">
        <v>981.95960000000002</v>
      </c>
    </row>
    <row r="886" spans="4:26">
      <c r="D886" s="86">
        <v>0.878</v>
      </c>
      <c r="E886" s="61">
        <v>-402.84230000000002</v>
      </c>
      <c r="U886" s="86">
        <v>0.878</v>
      </c>
      <c r="V886" s="62">
        <v>1069.7710999999999</v>
      </c>
      <c r="W886" s="86">
        <v>0.878</v>
      </c>
      <c r="X886" s="62">
        <v>1029.432</v>
      </c>
      <c r="Y886" s="86">
        <v>0.878</v>
      </c>
      <c r="Z886" s="62">
        <v>981.90750000000003</v>
      </c>
    </row>
    <row r="887" spans="4:26">
      <c r="D887" s="86">
        <v>0.879</v>
      </c>
      <c r="E887" s="61">
        <v>-399.35333000000003</v>
      </c>
      <c r="U887" s="86">
        <v>0.879</v>
      </c>
      <c r="V887" s="62">
        <v>1069.7107000000001</v>
      </c>
      <c r="W887" s="86">
        <v>0.879</v>
      </c>
      <c r="X887" s="62">
        <v>1029.3722</v>
      </c>
      <c r="Y887" s="86">
        <v>0.879</v>
      </c>
      <c r="Z887" s="62">
        <v>981.85540000000003</v>
      </c>
    </row>
    <row r="888" spans="4:26">
      <c r="D888" s="86">
        <v>0.88</v>
      </c>
      <c r="E888" s="61">
        <v>-395.8612</v>
      </c>
      <c r="U888" s="86">
        <v>0.88</v>
      </c>
      <c r="V888" s="62">
        <v>1069.6501000000001</v>
      </c>
      <c r="W888" s="86">
        <v>0.88</v>
      </c>
      <c r="X888" s="62">
        <v>1029.3125</v>
      </c>
      <c r="Y888" s="86">
        <v>0.88</v>
      </c>
      <c r="Z888" s="62">
        <v>981.80340000000001</v>
      </c>
    </row>
    <row r="889" spans="4:26">
      <c r="D889" s="86">
        <v>0.88100000000000001</v>
      </c>
      <c r="E889" s="61">
        <v>-392.36606</v>
      </c>
      <c r="U889" s="86">
        <v>0.88100000000000001</v>
      </c>
      <c r="V889" s="62">
        <v>1069.5897</v>
      </c>
      <c r="W889" s="86">
        <v>0.88100000000000001</v>
      </c>
      <c r="X889" s="62">
        <v>1029.2528</v>
      </c>
      <c r="Y889" s="86">
        <v>0.88100000000000001</v>
      </c>
      <c r="Z889" s="62">
        <v>981.75139999999999</v>
      </c>
    </row>
    <row r="890" spans="4:26">
      <c r="D890" s="86">
        <v>0.88200000000000001</v>
      </c>
      <c r="E890" s="61">
        <v>-388.86799999999999</v>
      </c>
      <c r="U890" s="86">
        <v>0.88200000000000001</v>
      </c>
      <c r="V890" s="62">
        <v>1069.5291999999999</v>
      </c>
      <c r="W890" s="86">
        <v>0.88200000000000001</v>
      </c>
      <c r="X890" s="62">
        <v>1029.1931</v>
      </c>
      <c r="Y890" s="86">
        <v>0.88200000000000001</v>
      </c>
      <c r="Z890" s="62">
        <v>981.69949999999994</v>
      </c>
    </row>
    <row r="891" spans="4:26">
      <c r="D891" s="86">
        <v>0.88300000000000001</v>
      </c>
      <c r="E891" s="61">
        <v>-385.36720000000003</v>
      </c>
      <c r="U891" s="86">
        <v>0.88300000000000001</v>
      </c>
      <c r="V891" s="62">
        <v>1069.4685999999999</v>
      </c>
      <c r="W891" s="86">
        <v>0.88300000000000001</v>
      </c>
      <c r="X891" s="62">
        <v>1029.1333999999999</v>
      </c>
      <c r="Y891" s="86">
        <v>0.88300000000000001</v>
      </c>
      <c r="Z891" s="62">
        <v>981.64764000000002</v>
      </c>
    </row>
    <row r="892" spans="4:26">
      <c r="D892" s="86">
        <v>0.88400000000000001</v>
      </c>
      <c r="E892" s="61">
        <v>-381.86369999999999</v>
      </c>
      <c r="U892" s="86">
        <v>0.88400000000000001</v>
      </c>
      <c r="V892" s="62">
        <v>1069.4081000000001</v>
      </c>
      <c r="W892" s="86">
        <v>0.88400000000000001</v>
      </c>
      <c r="X892" s="62">
        <v>1029.0736999999999</v>
      </c>
      <c r="Y892" s="86">
        <v>0.88400000000000001</v>
      </c>
      <c r="Z892" s="62">
        <v>981.59580000000005</v>
      </c>
    </row>
    <row r="893" spans="4:26">
      <c r="D893" s="86">
        <v>0.88500000000000001</v>
      </c>
      <c r="E893" s="61">
        <v>-378.35773</v>
      </c>
      <c r="U893" s="86">
        <v>0.88500000000000001</v>
      </c>
      <c r="V893" s="62">
        <v>1069.3475000000001</v>
      </c>
      <c r="W893" s="86">
        <v>0.88500000000000001</v>
      </c>
      <c r="X893" s="62">
        <v>1029.0142000000001</v>
      </c>
      <c r="Y893" s="86">
        <v>0.88500000000000001</v>
      </c>
      <c r="Z893" s="62">
        <v>981.54407000000003</v>
      </c>
    </row>
    <row r="894" spans="4:26">
      <c r="D894" s="86">
        <v>0.88600000000000001</v>
      </c>
      <c r="E894" s="61">
        <v>-374.8494</v>
      </c>
      <c r="U894" s="86">
        <v>0.88600000000000001</v>
      </c>
      <c r="V894" s="62">
        <v>1069.2869000000001</v>
      </c>
      <c r="W894" s="86">
        <v>0.88600000000000001</v>
      </c>
      <c r="X894" s="62">
        <v>1028.9546</v>
      </c>
      <c r="Y894" s="86">
        <v>0.88600000000000001</v>
      </c>
      <c r="Z894" s="62">
        <v>981.49239999999998</v>
      </c>
    </row>
    <row r="895" spans="4:26">
      <c r="D895" s="86">
        <v>0.88700000000000001</v>
      </c>
      <c r="E895" s="61">
        <v>-371.33886999999999</v>
      </c>
      <c r="U895" s="86">
        <v>0.88700000000000001</v>
      </c>
      <c r="V895" s="62">
        <v>1069.2263</v>
      </c>
      <c r="W895" s="86">
        <v>0.88700000000000001</v>
      </c>
      <c r="X895" s="62">
        <v>1028.895</v>
      </c>
      <c r="Y895" s="86">
        <v>0.88700000000000001</v>
      </c>
      <c r="Z895" s="62">
        <v>981.44073000000003</v>
      </c>
    </row>
    <row r="896" spans="4:26">
      <c r="D896" s="86">
        <v>0.88800000000000001</v>
      </c>
      <c r="E896" s="61">
        <v>-367.82619999999997</v>
      </c>
      <c r="U896" s="86">
        <v>0.88800000000000001</v>
      </c>
      <c r="V896" s="62">
        <v>1069.1656</v>
      </c>
      <c r="W896" s="86">
        <v>0.88800000000000001</v>
      </c>
      <c r="X896" s="62">
        <v>1028.8353999999999</v>
      </c>
      <c r="Y896" s="86">
        <v>0.88800000000000001</v>
      </c>
      <c r="Z896" s="62">
        <v>981.38915999999995</v>
      </c>
    </row>
    <row r="897" spans="4:26">
      <c r="D897" s="86">
        <v>0.88900000000000001</v>
      </c>
      <c r="E897" s="61">
        <v>-364.3116</v>
      </c>
      <c r="U897" s="86">
        <v>0.88900000000000001</v>
      </c>
      <c r="V897" s="62">
        <v>1069.1049</v>
      </c>
      <c r="W897" s="86">
        <v>0.88900000000000001</v>
      </c>
      <c r="X897" s="62">
        <v>1028.7759000000001</v>
      </c>
      <c r="Y897" s="86">
        <v>0.88900000000000001</v>
      </c>
      <c r="Z897" s="62">
        <v>981.33765000000005</v>
      </c>
    </row>
    <row r="898" spans="4:26">
      <c r="D898" s="86">
        <v>0.89</v>
      </c>
      <c r="E898" s="61">
        <v>-360.79523</v>
      </c>
      <c r="U898" s="86">
        <v>0.89</v>
      </c>
      <c r="V898" s="62">
        <v>1069.0442</v>
      </c>
      <c r="W898" s="86">
        <v>0.89</v>
      </c>
      <c r="X898" s="62">
        <v>1028.7164</v>
      </c>
      <c r="Y898" s="86">
        <v>0.89</v>
      </c>
      <c r="Z898" s="62">
        <v>981.28612999999996</v>
      </c>
    </row>
    <row r="899" spans="4:26">
      <c r="D899" s="86">
        <v>0.89100000000000001</v>
      </c>
      <c r="E899" s="61">
        <v>-357.27719999999999</v>
      </c>
      <c r="U899" s="86">
        <v>0.89100000000000001</v>
      </c>
      <c r="V899" s="62">
        <v>1068.9834000000001</v>
      </c>
      <c r="W899" s="86">
        <v>0.89100000000000001</v>
      </c>
      <c r="X899" s="62">
        <v>1028.6569999999999</v>
      </c>
      <c r="Y899" s="86">
        <v>0.89100000000000001</v>
      </c>
      <c r="Z899" s="62">
        <v>981.23473999999999</v>
      </c>
    </row>
    <row r="900" spans="4:26">
      <c r="D900" s="86">
        <v>0.89200000000000002</v>
      </c>
      <c r="E900" s="61">
        <v>-353.75760000000002</v>
      </c>
      <c r="U900" s="86">
        <v>0.89200000000000002</v>
      </c>
      <c r="V900" s="62">
        <v>1068.9226000000001</v>
      </c>
      <c r="W900" s="86">
        <v>0.89200000000000002</v>
      </c>
      <c r="X900" s="62">
        <v>1028.5974000000001</v>
      </c>
      <c r="Y900" s="86">
        <v>0.89200000000000002</v>
      </c>
      <c r="Z900" s="62">
        <v>981.18335000000002</v>
      </c>
    </row>
    <row r="901" spans="4:26">
      <c r="D901" s="86">
        <v>0.89300000000000002</v>
      </c>
      <c r="E901" s="61">
        <v>-350.23665999999997</v>
      </c>
      <c r="U901" s="86">
        <v>0.89300000000000002</v>
      </c>
      <c r="V901" s="62">
        <v>1068.8617999999999</v>
      </c>
      <c r="W901" s="86">
        <v>0.89300000000000002</v>
      </c>
      <c r="X901" s="62">
        <v>1028.5381</v>
      </c>
      <c r="Y901" s="86">
        <v>0.89300000000000002</v>
      </c>
      <c r="Z901" s="62">
        <v>981.13199999999995</v>
      </c>
    </row>
    <row r="902" spans="4:26">
      <c r="D902" s="86">
        <v>0.89400000000000002</v>
      </c>
      <c r="E902" s="61">
        <v>-346.71447999999998</v>
      </c>
      <c r="U902" s="86">
        <v>0.89400000000000002</v>
      </c>
      <c r="V902" s="62">
        <v>1068.8009999999999</v>
      </c>
      <c r="W902" s="86">
        <v>0.89400000000000002</v>
      </c>
      <c r="X902" s="62">
        <v>1028.4785999999999</v>
      </c>
      <c r="Y902" s="86">
        <v>0.89400000000000002</v>
      </c>
      <c r="Z902" s="62">
        <v>981.08074999999997</v>
      </c>
    </row>
    <row r="903" spans="4:26">
      <c r="D903" s="86">
        <v>0.89500000000000002</v>
      </c>
      <c r="E903" s="61">
        <v>-343.19119999999998</v>
      </c>
      <c r="U903" s="86">
        <v>0.89500000000000002</v>
      </c>
      <c r="V903" s="62">
        <v>1068.7402</v>
      </c>
      <c r="W903" s="86">
        <v>0.89500000000000002</v>
      </c>
      <c r="X903" s="62">
        <v>1028.4192</v>
      </c>
      <c r="Y903" s="86">
        <v>0.89500000000000002</v>
      </c>
      <c r="Z903" s="62">
        <v>981.02954</v>
      </c>
    </row>
    <row r="904" spans="4:26">
      <c r="D904" s="86">
        <v>0.89600000000000002</v>
      </c>
      <c r="E904" s="61">
        <v>-339.66699999999997</v>
      </c>
      <c r="U904" s="86">
        <v>0.89600000000000002</v>
      </c>
      <c r="V904" s="62">
        <v>1068.6793</v>
      </c>
      <c r="W904" s="86">
        <v>0.89600000000000002</v>
      </c>
      <c r="X904" s="62">
        <v>1028.3598999999999</v>
      </c>
      <c r="Y904" s="86">
        <v>0.89600000000000002</v>
      </c>
      <c r="Z904" s="62">
        <v>980.97839999999997</v>
      </c>
    </row>
    <row r="905" spans="4:26">
      <c r="D905" s="86">
        <v>0.89700000000000002</v>
      </c>
      <c r="E905" s="61">
        <v>-336.14197000000001</v>
      </c>
      <c r="U905" s="86">
        <v>0.89700000000000002</v>
      </c>
      <c r="V905" s="62">
        <v>1068.6184000000001</v>
      </c>
      <c r="W905" s="86">
        <v>0.89700000000000002</v>
      </c>
      <c r="X905" s="62">
        <v>1028.3005000000001</v>
      </c>
      <c r="Y905" s="86">
        <v>0.89700000000000002</v>
      </c>
      <c r="Z905" s="62">
        <v>980.92729999999995</v>
      </c>
    </row>
    <row r="906" spans="4:26">
      <c r="D906" s="86">
        <v>0.89800000000000002</v>
      </c>
      <c r="E906" s="61">
        <v>-332.61630000000002</v>
      </c>
      <c r="U906" s="86">
        <v>0.89800000000000002</v>
      </c>
      <c r="V906" s="62">
        <v>1068.5574999999999</v>
      </c>
      <c r="W906" s="86">
        <v>0.89800000000000002</v>
      </c>
      <c r="X906" s="62">
        <v>1028.2411999999999</v>
      </c>
      <c r="Y906" s="86">
        <v>0.89800000000000002</v>
      </c>
      <c r="Z906" s="62">
        <v>980.87620000000004</v>
      </c>
    </row>
    <row r="907" spans="4:26">
      <c r="D907" s="86">
        <v>0.89900000000000002</v>
      </c>
      <c r="E907" s="61">
        <v>-329.09012000000001</v>
      </c>
      <c r="U907" s="86">
        <v>0.89900000000000002</v>
      </c>
      <c r="V907" s="62">
        <v>1068.4965999999999</v>
      </c>
      <c r="W907" s="86">
        <v>0.89900000000000002</v>
      </c>
      <c r="X907" s="62">
        <v>1028.1819</v>
      </c>
      <c r="Y907" s="86">
        <v>0.89900000000000002</v>
      </c>
      <c r="Z907" s="62">
        <v>980.82525999999996</v>
      </c>
    </row>
    <row r="908" spans="4:26">
      <c r="D908" s="86">
        <v>0.9</v>
      </c>
      <c r="E908" s="61">
        <v>-325.56360000000001</v>
      </c>
      <c r="U908" s="86">
        <v>0.9</v>
      </c>
      <c r="V908" s="62">
        <v>1068.4355</v>
      </c>
      <c r="W908" s="86">
        <v>0.9</v>
      </c>
      <c r="X908" s="62">
        <v>1028.1226999999999</v>
      </c>
      <c r="Y908" s="86">
        <v>0.9</v>
      </c>
      <c r="Z908" s="62">
        <v>980.77430000000004</v>
      </c>
    </row>
    <row r="909" spans="4:26">
      <c r="D909" s="86">
        <v>0.90100000000000002</v>
      </c>
      <c r="E909" s="61">
        <v>-322.0369</v>
      </c>
      <c r="U909" s="86">
        <v>0.90100000000000002</v>
      </c>
      <c r="V909" s="62">
        <v>1068.3746000000001</v>
      </c>
      <c r="W909" s="86">
        <v>0.90100000000000002</v>
      </c>
      <c r="X909" s="62">
        <v>1028.0634</v>
      </c>
      <c r="Y909" s="86">
        <v>0.90100000000000002</v>
      </c>
      <c r="Z909" s="62">
        <v>980.72339999999997</v>
      </c>
    </row>
    <row r="910" spans="4:26">
      <c r="D910" s="86">
        <v>0.90200000000000002</v>
      </c>
      <c r="E910" s="61">
        <v>-318.51013</v>
      </c>
      <c r="U910" s="86">
        <v>0.90200000000000002</v>
      </c>
      <c r="V910" s="62">
        <v>1068.3136</v>
      </c>
      <c r="W910" s="86">
        <v>0.90200000000000002</v>
      </c>
      <c r="X910" s="62">
        <v>1028.0042000000001</v>
      </c>
      <c r="Y910" s="86">
        <v>0.90200000000000002</v>
      </c>
      <c r="Z910" s="62">
        <v>980.67255</v>
      </c>
    </row>
    <row r="911" spans="4:26">
      <c r="D911" s="86">
        <v>0.90300000000000002</v>
      </c>
      <c r="E911" s="61">
        <v>-314.98345999999998</v>
      </c>
      <c r="U911" s="86">
        <v>0.90300000000000002</v>
      </c>
      <c r="V911" s="62">
        <v>1068.2526</v>
      </c>
      <c r="W911" s="86">
        <v>0.90300000000000002</v>
      </c>
      <c r="X911" s="62">
        <v>1027.9449999999999</v>
      </c>
      <c r="Y911" s="86">
        <v>0.90300000000000002</v>
      </c>
      <c r="Z911" s="62">
        <v>980.62176999999997</v>
      </c>
    </row>
    <row r="912" spans="4:26">
      <c r="D912" s="86">
        <v>0.90400000000000003</v>
      </c>
      <c r="E912" s="61">
        <v>-311.45702999999997</v>
      </c>
      <c r="U912" s="86">
        <v>0.90400000000000003</v>
      </c>
      <c r="V912" s="62">
        <v>1068.1913999999999</v>
      </c>
      <c r="W912" s="86">
        <v>0.90400000000000003</v>
      </c>
      <c r="X912" s="62">
        <v>1027.8857</v>
      </c>
      <c r="Y912" s="86">
        <v>0.90400000000000003</v>
      </c>
      <c r="Z912" s="62">
        <v>980.57104000000004</v>
      </c>
    </row>
    <row r="913" spans="4:26">
      <c r="D913" s="86">
        <v>0.90500000000000003</v>
      </c>
      <c r="E913" s="61">
        <v>-307.93099999999998</v>
      </c>
      <c r="U913" s="86">
        <v>0.90500000000000003</v>
      </c>
      <c r="V913" s="62">
        <v>1068.1304</v>
      </c>
      <c r="W913" s="86">
        <v>0.90500000000000003</v>
      </c>
      <c r="X913" s="62">
        <v>1027.8267000000001</v>
      </c>
      <c r="Y913" s="86">
        <v>0.90500000000000003</v>
      </c>
      <c r="Z913" s="62">
        <v>980.5204</v>
      </c>
    </row>
    <row r="914" spans="4:26">
      <c r="D914" s="86">
        <v>0.90600000000000003</v>
      </c>
      <c r="E914" s="61">
        <v>-304.40555000000001</v>
      </c>
      <c r="U914" s="86">
        <v>0.90600000000000003</v>
      </c>
      <c r="V914" s="62">
        <v>1068.0691999999999</v>
      </c>
      <c r="W914" s="86">
        <v>0.90600000000000003</v>
      </c>
      <c r="X914" s="62">
        <v>1027.7674999999999</v>
      </c>
      <c r="Y914" s="86">
        <v>0.90600000000000003</v>
      </c>
      <c r="Z914" s="62">
        <v>980.46969999999999</v>
      </c>
    </row>
    <row r="915" spans="4:26">
      <c r="D915" s="86">
        <v>0.90700000000000003</v>
      </c>
      <c r="E915" s="61">
        <v>-300.88080000000002</v>
      </c>
      <c r="U915" s="86">
        <v>0.90700000000000003</v>
      </c>
      <c r="V915" s="62">
        <v>1068.0082</v>
      </c>
      <c r="W915" s="86">
        <v>0.90700000000000003</v>
      </c>
      <c r="X915" s="62">
        <v>1027.7084</v>
      </c>
      <c r="Y915" s="86">
        <v>0.90700000000000003</v>
      </c>
      <c r="Z915" s="62">
        <v>980.41920000000005</v>
      </c>
    </row>
    <row r="916" spans="4:26">
      <c r="D916" s="86">
        <v>0.90800000000000003</v>
      </c>
      <c r="E916" s="61">
        <v>-297.35692999999998</v>
      </c>
      <c r="U916" s="86">
        <v>0.90800000000000003</v>
      </c>
      <c r="V916" s="62">
        <v>1067.9469999999999</v>
      </c>
      <c r="W916" s="86">
        <v>0.90800000000000003</v>
      </c>
      <c r="X916" s="62">
        <v>1027.6493</v>
      </c>
      <c r="Y916" s="86">
        <v>0.90800000000000003</v>
      </c>
      <c r="Z916" s="62">
        <v>980.36865</v>
      </c>
    </row>
    <row r="917" spans="4:26">
      <c r="D917" s="86">
        <v>0.90900000000000003</v>
      </c>
      <c r="E917" s="61">
        <v>-293.83407999999997</v>
      </c>
      <c r="U917" s="86">
        <v>0.90900000000000003</v>
      </c>
      <c r="V917" s="62">
        <v>1067.8857</v>
      </c>
      <c r="W917" s="86">
        <v>0.90900000000000003</v>
      </c>
      <c r="X917" s="62">
        <v>1027.5902000000001</v>
      </c>
      <c r="Y917" s="86">
        <v>0.90900000000000003</v>
      </c>
      <c r="Z917" s="62">
        <v>980.31820000000005</v>
      </c>
    </row>
    <row r="918" spans="4:26">
      <c r="D918" s="86">
        <v>0.91</v>
      </c>
      <c r="E918" s="61">
        <v>-290.31238000000002</v>
      </c>
      <c r="U918" s="86">
        <v>0.91</v>
      </c>
      <c r="V918" s="62">
        <v>1067.8245999999999</v>
      </c>
      <c r="W918" s="86">
        <v>0.91</v>
      </c>
      <c r="X918" s="62">
        <v>1027.5310999999999</v>
      </c>
      <c r="Y918" s="86">
        <v>0.91</v>
      </c>
      <c r="Z918" s="62">
        <v>980.26775999999995</v>
      </c>
    </row>
    <row r="919" spans="4:26">
      <c r="D919" s="86">
        <v>0.91100000000000003</v>
      </c>
      <c r="E919" s="61">
        <v>-286.79205000000002</v>
      </c>
      <c r="U919" s="86">
        <v>0.91100000000000003</v>
      </c>
      <c r="V919" s="62">
        <v>1067.7633000000001</v>
      </c>
      <c r="W919" s="86">
        <v>0.91100000000000003</v>
      </c>
      <c r="X919" s="62">
        <v>1027.4721999999999</v>
      </c>
      <c r="Y919" s="86">
        <v>0.91100000000000003</v>
      </c>
      <c r="Z919" s="62">
        <v>980.2174</v>
      </c>
    </row>
    <row r="920" spans="4:26">
      <c r="D920" s="86">
        <v>0.91200000000000003</v>
      </c>
      <c r="E920" s="61">
        <v>-283.27321999999998</v>
      </c>
      <c r="U920" s="86">
        <v>0.91200000000000003</v>
      </c>
      <c r="V920" s="62">
        <v>1067.7021</v>
      </c>
      <c r="W920" s="86">
        <v>0.91200000000000003</v>
      </c>
      <c r="X920" s="62">
        <v>1027.4132</v>
      </c>
      <c r="Y920" s="86">
        <v>0.91200000000000003</v>
      </c>
      <c r="Z920" s="62">
        <v>980.1671</v>
      </c>
    </row>
    <row r="921" spans="4:26">
      <c r="D921" s="86">
        <v>0.91300000000000003</v>
      </c>
      <c r="E921" s="61">
        <v>-279.75603999999998</v>
      </c>
      <c r="U921" s="86">
        <v>0.91300000000000003</v>
      </c>
      <c r="V921" s="62">
        <v>1067.6409000000001</v>
      </c>
      <c r="W921" s="86">
        <v>0.91300000000000003</v>
      </c>
      <c r="X921" s="62">
        <v>1027.3542</v>
      </c>
      <c r="Y921" s="86">
        <v>0.91300000000000003</v>
      </c>
      <c r="Z921" s="62">
        <v>980.11689999999999</v>
      </c>
    </row>
    <row r="922" spans="4:26">
      <c r="D922" s="86">
        <v>0.91400000000000003</v>
      </c>
      <c r="E922" s="61">
        <v>-276.24065999999999</v>
      </c>
      <c r="U922" s="86">
        <v>0.91400000000000003</v>
      </c>
      <c r="V922" s="62">
        <v>1067.5796</v>
      </c>
      <c r="W922" s="86">
        <v>0.91400000000000003</v>
      </c>
      <c r="X922" s="62">
        <v>1027.2953</v>
      </c>
      <c r="Y922" s="86">
        <v>0.91400000000000003</v>
      </c>
      <c r="Z922" s="62">
        <v>980.06664999999998</v>
      </c>
    </row>
    <row r="923" spans="4:26">
      <c r="D923" s="86">
        <v>0.91500000000000004</v>
      </c>
      <c r="E923" s="61">
        <v>-272.72730000000001</v>
      </c>
      <c r="U923" s="86">
        <v>0.91500000000000004</v>
      </c>
      <c r="V923" s="62">
        <v>1067.5183</v>
      </c>
      <c r="W923" s="86">
        <v>0.91500000000000004</v>
      </c>
      <c r="X923" s="62">
        <v>1027.2363</v>
      </c>
      <c r="Y923" s="86">
        <v>0.91500000000000004</v>
      </c>
      <c r="Z923" s="62">
        <v>980.01649999999995</v>
      </c>
    </row>
    <row r="924" spans="4:26">
      <c r="D924" s="86">
        <v>0.91600000000000004</v>
      </c>
      <c r="E924" s="61">
        <v>-269.21602999999999</v>
      </c>
      <c r="U924" s="86">
        <v>0.91600000000000004</v>
      </c>
      <c r="V924" s="62">
        <v>1067.4568999999999</v>
      </c>
      <c r="W924" s="86">
        <v>0.91600000000000004</v>
      </c>
      <c r="X924" s="62">
        <v>1027.1775</v>
      </c>
      <c r="Y924" s="86">
        <v>0.91600000000000004</v>
      </c>
      <c r="Z924" s="62">
        <v>979.96642999999995</v>
      </c>
    </row>
    <row r="925" spans="4:26">
      <c r="D925" s="86">
        <v>0.91700000000000004</v>
      </c>
      <c r="E925" s="61">
        <v>-265.70710000000003</v>
      </c>
      <c r="U925" s="86">
        <v>0.91700000000000004</v>
      </c>
      <c r="V925" s="62">
        <v>1067.3956000000001</v>
      </c>
      <c r="W925" s="86">
        <v>0.91700000000000004</v>
      </c>
      <c r="X925" s="62">
        <v>1027.1187</v>
      </c>
      <c r="Y925" s="86">
        <v>0.91700000000000004</v>
      </c>
      <c r="Z925" s="62">
        <v>979.91639999999995</v>
      </c>
    </row>
    <row r="926" spans="4:26">
      <c r="D926" s="86">
        <v>0.91800000000000004</v>
      </c>
      <c r="E926" s="61">
        <v>-262.20060000000001</v>
      </c>
      <c r="U926" s="86">
        <v>0.91800000000000004</v>
      </c>
      <c r="V926" s="62">
        <v>1067.3342</v>
      </c>
      <c r="W926" s="86">
        <v>0.91800000000000004</v>
      </c>
      <c r="X926" s="62">
        <v>1027.0598</v>
      </c>
      <c r="Y926" s="86">
        <v>0.91800000000000004</v>
      </c>
      <c r="Z926" s="62">
        <v>979.8664</v>
      </c>
    </row>
    <row r="927" spans="4:26">
      <c r="D927" s="86">
        <v>0.91900000000000004</v>
      </c>
      <c r="E927" s="61">
        <v>-258.69675000000001</v>
      </c>
      <c r="U927" s="86">
        <v>0.91900000000000004</v>
      </c>
      <c r="V927" s="62">
        <v>1067.2728</v>
      </c>
      <c r="W927" s="86">
        <v>0.91900000000000004</v>
      </c>
      <c r="X927" s="62">
        <v>1027.001</v>
      </c>
      <c r="Y927" s="86">
        <v>0.91900000000000004</v>
      </c>
      <c r="Z927" s="62">
        <v>979.81640000000004</v>
      </c>
    </row>
    <row r="928" spans="4:26">
      <c r="D928" s="86">
        <v>0.92</v>
      </c>
      <c r="E928" s="61">
        <v>-255.19568000000001</v>
      </c>
      <c r="U928" s="86">
        <v>0.92</v>
      </c>
      <c r="V928" s="62">
        <v>1067.2113999999999</v>
      </c>
      <c r="W928" s="86">
        <v>0.92</v>
      </c>
      <c r="X928" s="62">
        <v>1026.9421</v>
      </c>
      <c r="Y928" s="86">
        <v>0.92</v>
      </c>
      <c r="Z928" s="62">
        <v>979.76653999999996</v>
      </c>
    </row>
    <row r="929" spans="4:26">
      <c r="D929" s="86">
        <v>0.92100000000000004</v>
      </c>
      <c r="E929" s="61">
        <v>-251.69757000000001</v>
      </c>
      <c r="U929" s="86">
        <v>0.92100000000000004</v>
      </c>
      <c r="V929" s="62">
        <v>1067.1498999999999</v>
      </c>
      <c r="W929" s="86">
        <v>0.92100000000000004</v>
      </c>
      <c r="X929" s="62">
        <v>1026.8833999999999</v>
      </c>
      <c r="Y929" s="86">
        <v>0.92100000000000004</v>
      </c>
      <c r="Z929" s="62">
        <v>979.71669999999995</v>
      </c>
    </row>
    <row r="930" spans="4:26">
      <c r="D930" s="86">
        <v>0.92200000000000004</v>
      </c>
      <c r="E930" s="61">
        <v>-248.20258999999999</v>
      </c>
      <c r="U930" s="86">
        <v>0.92200000000000004</v>
      </c>
      <c r="V930" s="62">
        <v>1067.0885000000001</v>
      </c>
      <c r="W930" s="86">
        <v>0.92200000000000004</v>
      </c>
      <c r="X930" s="62">
        <v>1026.8246999999999</v>
      </c>
      <c r="Y930" s="86">
        <v>0.92200000000000004</v>
      </c>
      <c r="Z930" s="62">
        <v>979.66692999999998</v>
      </c>
    </row>
    <row r="931" spans="4:26">
      <c r="D931" s="86">
        <v>0.92300000000000004</v>
      </c>
      <c r="E931" s="61">
        <v>-244.71089000000001</v>
      </c>
      <c r="U931" s="86">
        <v>0.92300000000000004</v>
      </c>
      <c r="V931" s="62">
        <v>1067.027</v>
      </c>
      <c r="W931" s="86">
        <v>0.92300000000000004</v>
      </c>
      <c r="X931" s="62">
        <v>1026.7660000000001</v>
      </c>
      <c r="Y931" s="86">
        <v>0.92300000000000004</v>
      </c>
      <c r="Z931" s="62">
        <v>979.61720000000003</v>
      </c>
    </row>
    <row r="932" spans="4:26">
      <c r="D932" s="86">
        <v>0.92400000000000004</v>
      </c>
      <c r="E932" s="61">
        <v>-241.22265999999999</v>
      </c>
      <c r="U932" s="86">
        <v>0.92400000000000004</v>
      </c>
      <c r="V932" s="62">
        <v>1066.9656</v>
      </c>
      <c r="W932" s="86">
        <v>0.92400000000000004</v>
      </c>
      <c r="X932" s="62">
        <v>1026.7073</v>
      </c>
      <c r="Y932" s="86">
        <v>0.92400000000000004</v>
      </c>
      <c r="Z932" s="62">
        <v>979.5675</v>
      </c>
    </row>
    <row r="933" spans="4:26">
      <c r="D933" s="86">
        <v>0.92500000000000004</v>
      </c>
      <c r="E933" s="61">
        <v>-237.73804999999999</v>
      </c>
      <c r="U933" s="86">
        <v>0.92500000000000004</v>
      </c>
      <c r="V933" s="62">
        <v>1066.904</v>
      </c>
      <c r="W933" s="86">
        <v>0.92500000000000004</v>
      </c>
      <c r="X933" s="62">
        <v>1026.6486</v>
      </c>
      <c r="Y933" s="86">
        <v>0.92500000000000004</v>
      </c>
      <c r="Z933" s="62">
        <v>979.51790000000005</v>
      </c>
    </row>
    <row r="934" spans="4:26">
      <c r="D934" s="86">
        <v>0.92600000000000005</v>
      </c>
      <c r="E934" s="61">
        <v>-234.25722999999999</v>
      </c>
      <c r="U934" s="86">
        <v>0.92600000000000005</v>
      </c>
      <c r="V934" s="62">
        <v>1066.8425</v>
      </c>
      <c r="W934" s="86">
        <v>0.92600000000000005</v>
      </c>
      <c r="X934" s="62">
        <v>1026.5899999999999</v>
      </c>
      <c r="Y934" s="86">
        <v>0.92600000000000005</v>
      </c>
      <c r="Z934" s="62">
        <v>979.4683</v>
      </c>
    </row>
    <row r="935" spans="4:26">
      <c r="D935" s="86">
        <v>0.92700000000000005</v>
      </c>
      <c r="E935" s="61">
        <v>-230.78039999999999</v>
      </c>
      <c r="U935" s="86">
        <v>0.92700000000000005</v>
      </c>
      <c r="V935" s="62">
        <v>1066.7809999999999</v>
      </c>
      <c r="W935" s="86">
        <v>0.92700000000000005</v>
      </c>
      <c r="X935" s="62">
        <v>1026.5314000000001</v>
      </c>
      <c r="Y935" s="86">
        <v>0.92700000000000005</v>
      </c>
      <c r="Z935" s="62">
        <v>979.41876000000002</v>
      </c>
    </row>
    <row r="936" spans="4:26">
      <c r="D936" s="86">
        <v>0.92800000000000005</v>
      </c>
      <c r="E936" s="61">
        <v>-227.30768</v>
      </c>
      <c r="U936" s="86">
        <v>0.92800000000000005</v>
      </c>
      <c r="V936" s="62">
        <v>1066.7194</v>
      </c>
      <c r="W936" s="86">
        <v>0.92800000000000005</v>
      </c>
      <c r="X936" s="62">
        <v>1026.4728</v>
      </c>
      <c r="Y936" s="86">
        <v>0.92800000000000005</v>
      </c>
      <c r="Z936" s="62">
        <v>979.36929999999995</v>
      </c>
    </row>
    <row r="937" spans="4:26">
      <c r="D937" s="86">
        <v>0.92900000000000005</v>
      </c>
      <c r="E937" s="61">
        <v>-223.83926</v>
      </c>
      <c r="U937" s="86">
        <v>0.92900000000000005</v>
      </c>
      <c r="V937" s="62">
        <v>1066.6578</v>
      </c>
      <c r="W937" s="86">
        <v>0.92900000000000005</v>
      </c>
      <c r="X937" s="62">
        <v>1026.4141999999999</v>
      </c>
      <c r="Y937" s="86">
        <v>0.92900000000000005</v>
      </c>
      <c r="Z937" s="62">
        <v>979.31989999999996</v>
      </c>
    </row>
    <row r="938" spans="4:26">
      <c r="D938" s="86">
        <v>0.93</v>
      </c>
      <c r="E938" s="61">
        <v>-220.37533999999999</v>
      </c>
      <c r="U938" s="86">
        <v>0.93</v>
      </c>
      <c r="V938" s="62">
        <v>1066.5962</v>
      </c>
      <c r="W938" s="86">
        <v>0.93</v>
      </c>
      <c r="X938" s="62">
        <v>1026.3556000000001</v>
      </c>
      <c r="Y938" s="86">
        <v>0.93</v>
      </c>
      <c r="Z938" s="62">
        <v>979.27049999999997</v>
      </c>
    </row>
    <row r="939" spans="4:26">
      <c r="D939" s="86">
        <v>0.93100000000000005</v>
      </c>
      <c r="E939" s="61">
        <v>-216.91605999999999</v>
      </c>
      <c r="U939" s="86">
        <v>0.93100000000000005</v>
      </c>
      <c r="V939" s="62">
        <v>1066.5345</v>
      </c>
      <c r="W939" s="86">
        <v>0.93100000000000005</v>
      </c>
      <c r="X939" s="62">
        <v>1026.2971</v>
      </c>
      <c r="Y939" s="86">
        <v>0.93100000000000005</v>
      </c>
      <c r="Z939" s="62">
        <v>979.22119999999995</v>
      </c>
    </row>
    <row r="940" spans="4:26">
      <c r="D940" s="86">
        <v>0.93200000000000005</v>
      </c>
      <c r="E940" s="61">
        <v>-213.46161000000001</v>
      </c>
      <c r="U940" s="86">
        <v>0.93200000000000005</v>
      </c>
      <c r="V940" s="62">
        <v>1066.4729</v>
      </c>
      <c r="W940" s="86">
        <v>0.93200000000000005</v>
      </c>
      <c r="X940" s="62">
        <v>1026.2385999999999</v>
      </c>
      <c r="Y940" s="86">
        <v>0.93200000000000005</v>
      </c>
      <c r="Z940" s="62">
        <v>979.17193999999995</v>
      </c>
    </row>
    <row r="941" spans="4:26">
      <c r="D941" s="86">
        <v>0.93300000000000005</v>
      </c>
      <c r="E941" s="61">
        <v>-210.01214999999999</v>
      </c>
      <c r="U941" s="86">
        <v>0.93300000000000005</v>
      </c>
      <c r="V941" s="62">
        <v>1066.4113</v>
      </c>
      <c r="W941" s="86">
        <v>0.93300000000000005</v>
      </c>
      <c r="X941" s="62">
        <v>1026.1802</v>
      </c>
      <c r="Y941" s="86">
        <v>0.93300000000000005</v>
      </c>
      <c r="Z941" s="62">
        <v>979.12270000000001</v>
      </c>
    </row>
    <row r="942" spans="4:26">
      <c r="D942" s="86">
        <v>0.93400000000000005</v>
      </c>
      <c r="E942" s="61">
        <v>-206.56786</v>
      </c>
      <c r="U942" s="86">
        <v>0.93400000000000005</v>
      </c>
      <c r="V942" s="62">
        <v>1066.3496</v>
      </c>
      <c r="W942" s="86">
        <v>0.93400000000000005</v>
      </c>
      <c r="X942" s="62">
        <v>1026.1216999999999</v>
      </c>
      <c r="Y942" s="86">
        <v>0.93400000000000005</v>
      </c>
      <c r="Z942" s="62">
        <v>979.07354999999995</v>
      </c>
    </row>
    <row r="943" spans="4:26">
      <c r="D943" s="86">
        <v>0.93500000000000005</v>
      </c>
      <c r="E943" s="61">
        <v>-203.12891999999999</v>
      </c>
      <c r="U943" s="86">
        <v>0.93500000000000005</v>
      </c>
      <c r="V943" s="62">
        <v>1066.2878000000001</v>
      </c>
      <c r="W943" s="86">
        <v>0.93500000000000005</v>
      </c>
      <c r="X943" s="62">
        <v>1026.0634</v>
      </c>
      <c r="Y943" s="86">
        <v>0.93500000000000005</v>
      </c>
      <c r="Z943" s="62">
        <v>979.02440000000001</v>
      </c>
    </row>
    <row r="944" spans="4:26">
      <c r="D944" s="86">
        <v>0.93600000000000005</v>
      </c>
      <c r="E944" s="61">
        <v>-199.69551000000001</v>
      </c>
      <c r="U944" s="86">
        <v>0.93600000000000005</v>
      </c>
      <c r="V944" s="62">
        <v>1066.2262000000001</v>
      </c>
      <c r="W944" s="86">
        <v>0.93600000000000005</v>
      </c>
      <c r="X944" s="62">
        <v>1026.0048999999999</v>
      </c>
      <c r="Y944" s="86">
        <v>0.93600000000000005</v>
      </c>
      <c r="Z944" s="62">
        <v>978.97533999999996</v>
      </c>
    </row>
    <row r="945" spans="4:26">
      <c r="D945" s="86">
        <v>0.93700000000000006</v>
      </c>
      <c r="E945" s="61">
        <v>-196.26778999999999</v>
      </c>
      <c r="U945" s="86">
        <v>0.93700000000000006</v>
      </c>
      <c r="V945" s="62">
        <v>1066.1643999999999</v>
      </c>
      <c r="W945" s="86">
        <v>0.93700000000000006</v>
      </c>
      <c r="X945" s="62">
        <v>1025.9465</v>
      </c>
      <c r="Y945" s="86">
        <v>0.93700000000000006</v>
      </c>
      <c r="Z945" s="62">
        <v>978.92633000000001</v>
      </c>
    </row>
    <row r="946" spans="4:26">
      <c r="D946" s="86">
        <v>0.93799999999999994</v>
      </c>
      <c r="E946" s="61">
        <v>-192.84595999999999</v>
      </c>
      <c r="U946" s="86">
        <v>0.93799999999999994</v>
      </c>
      <c r="V946" s="62">
        <v>1066.1026999999999</v>
      </c>
      <c r="W946" s="86">
        <v>0.93799999999999994</v>
      </c>
      <c r="X946" s="62">
        <v>1025.8882000000001</v>
      </c>
      <c r="Y946" s="86">
        <v>0.93799999999999994</v>
      </c>
      <c r="Z946" s="62">
        <v>978.87739999999997</v>
      </c>
    </row>
    <row r="947" spans="4:26">
      <c r="D947" s="86">
        <v>0.93899999999999995</v>
      </c>
      <c r="E947" s="61">
        <v>-189.43019000000001</v>
      </c>
      <c r="U947" s="86">
        <v>0.93899999999999995</v>
      </c>
      <c r="V947" s="62">
        <v>1066.0409</v>
      </c>
      <c r="W947" s="86">
        <v>0.93899999999999995</v>
      </c>
      <c r="X947" s="62">
        <v>1025.83</v>
      </c>
      <c r="Y947" s="86">
        <v>0.93899999999999995</v>
      </c>
      <c r="Z947" s="62">
        <v>978.82849999999996</v>
      </c>
    </row>
    <row r="948" spans="4:26">
      <c r="D948" s="86">
        <v>0.94</v>
      </c>
      <c r="E948" s="61">
        <v>-186.02064999999999</v>
      </c>
      <c r="U948" s="86">
        <v>0.94</v>
      </c>
      <c r="V948" s="62">
        <v>1065.9791</v>
      </c>
      <c r="W948" s="86">
        <v>0.94</v>
      </c>
      <c r="X948" s="62">
        <v>1025.7716</v>
      </c>
      <c r="Y948" s="86">
        <v>0.94</v>
      </c>
      <c r="Z948" s="62">
        <v>978.77966000000004</v>
      </c>
    </row>
    <row r="949" spans="4:26">
      <c r="D949" s="86">
        <v>0.94099999999999995</v>
      </c>
      <c r="E949" s="61">
        <v>-182.61752000000001</v>
      </c>
      <c r="U949" s="86">
        <v>0.94099999999999995</v>
      </c>
      <c r="V949" s="62">
        <v>1065.9174</v>
      </c>
      <c r="W949" s="86">
        <v>0.94099999999999995</v>
      </c>
      <c r="X949" s="62">
        <v>1025.7134000000001</v>
      </c>
      <c r="Y949" s="86">
        <v>0.94099999999999995</v>
      </c>
      <c r="Z949" s="62">
        <v>978.73082999999997</v>
      </c>
    </row>
    <row r="950" spans="4:26">
      <c r="D950" s="86">
        <v>0.94199999999999995</v>
      </c>
      <c r="E950" s="61">
        <v>-179.221</v>
      </c>
      <c r="U950" s="86">
        <v>0.94199999999999995</v>
      </c>
      <c r="V950" s="62">
        <v>1065.8554999999999</v>
      </c>
      <c r="W950" s="86">
        <v>0.94199999999999995</v>
      </c>
      <c r="X950" s="62">
        <v>1025.6551999999999</v>
      </c>
      <c r="Y950" s="86">
        <v>0.94199999999999995</v>
      </c>
      <c r="Z950" s="62">
        <v>978.68206999999995</v>
      </c>
    </row>
    <row r="951" spans="4:26">
      <c r="D951" s="86">
        <v>0.94299999999999995</v>
      </c>
      <c r="E951" s="61">
        <v>-175.83122</v>
      </c>
      <c r="U951" s="86">
        <v>0.94299999999999995</v>
      </c>
      <c r="V951" s="62">
        <v>1065.7936999999999</v>
      </c>
      <c r="W951" s="86">
        <v>0.94299999999999995</v>
      </c>
      <c r="X951" s="62">
        <v>1025.5969</v>
      </c>
      <c r="Y951" s="86">
        <v>0.94299999999999995</v>
      </c>
      <c r="Z951" s="62">
        <v>978.63336000000004</v>
      </c>
    </row>
    <row r="952" spans="4:26">
      <c r="D952" s="86">
        <v>0.94399999999999995</v>
      </c>
      <c r="E952" s="61">
        <v>-172.44843</v>
      </c>
      <c r="U952" s="86">
        <v>0.94399999999999995</v>
      </c>
      <c r="V952" s="62">
        <v>1065.7318</v>
      </c>
      <c r="W952" s="86">
        <v>0.94399999999999995</v>
      </c>
      <c r="X952" s="62">
        <v>1025.5387000000001</v>
      </c>
      <c r="Y952" s="86">
        <v>0.94399999999999995</v>
      </c>
      <c r="Z952" s="62">
        <v>978.5847</v>
      </c>
    </row>
    <row r="953" spans="4:26">
      <c r="D953" s="86">
        <v>0.94499999999999995</v>
      </c>
      <c r="E953" s="61">
        <v>-169.07276999999999</v>
      </c>
      <c r="U953" s="86">
        <v>0.94499999999999995</v>
      </c>
      <c r="V953" s="62">
        <v>1065.6699000000001</v>
      </c>
      <c r="W953" s="86">
        <v>0.94499999999999995</v>
      </c>
      <c r="X953" s="62">
        <v>1025.4806000000001</v>
      </c>
      <c r="Y953" s="86">
        <v>0.94499999999999995</v>
      </c>
      <c r="Z953" s="62">
        <v>978.53612999999996</v>
      </c>
    </row>
    <row r="954" spans="4:26">
      <c r="D954" s="86">
        <v>0.94599999999999995</v>
      </c>
      <c r="E954" s="61">
        <v>-165.70442</v>
      </c>
      <c r="U954" s="86">
        <v>0.94599999999999995</v>
      </c>
      <c r="V954" s="62">
        <v>1065.6079999999999</v>
      </c>
      <c r="W954" s="86">
        <v>0.94599999999999995</v>
      </c>
      <c r="X954" s="62">
        <v>1025.4224999999999</v>
      </c>
      <c r="Y954" s="86">
        <v>0.94599999999999995</v>
      </c>
      <c r="Z954" s="62">
        <v>978.48755000000006</v>
      </c>
    </row>
    <row r="955" spans="4:26">
      <c r="D955" s="86">
        <v>0.94699999999999995</v>
      </c>
      <c r="E955" s="61">
        <v>-162.34360000000001</v>
      </c>
      <c r="U955" s="86">
        <v>0.94699999999999995</v>
      </c>
      <c r="V955" s="62">
        <v>1065.5461</v>
      </c>
      <c r="W955" s="86">
        <v>0.94699999999999995</v>
      </c>
      <c r="X955" s="62">
        <v>1025.3643999999999</v>
      </c>
      <c r="Y955" s="86">
        <v>0.94699999999999995</v>
      </c>
      <c r="Z955" s="62">
        <v>978.43899999999996</v>
      </c>
    </row>
    <row r="956" spans="4:26">
      <c r="D956" s="86">
        <v>0.94799999999999995</v>
      </c>
      <c r="E956" s="61">
        <v>-158.99045000000001</v>
      </c>
      <c r="U956" s="86">
        <v>0.94799999999999995</v>
      </c>
      <c r="V956" s="62">
        <v>1065.4843000000001</v>
      </c>
      <c r="W956" s="86">
        <v>0.94799999999999995</v>
      </c>
      <c r="X956" s="62">
        <v>1025.3063</v>
      </c>
      <c r="Y956" s="86">
        <v>0.94799999999999995</v>
      </c>
      <c r="Z956" s="62">
        <v>978.39059999999995</v>
      </c>
    </row>
    <row r="957" spans="4:26">
      <c r="D957" s="86">
        <v>0.94899999999999995</v>
      </c>
      <c r="E957" s="61">
        <v>-155.64519000000001</v>
      </c>
      <c r="U957" s="86">
        <v>0.94899999999999995</v>
      </c>
      <c r="V957" s="62">
        <v>1065.4222</v>
      </c>
      <c r="W957" s="86">
        <v>0.94899999999999995</v>
      </c>
      <c r="X957" s="62">
        <v>1025.2482</v>
      </c>
      <c r="Y957" s="86">
        <v>0.94899999999999995</v>
      </c>
      <c r="Z957" s="62">
        <v>978.34220000000005</v>
      </c>
    </row>
    <row r="958" spans="4:26">
      <c r="D958" s="86">
        <v>0.95</v>
      </c>
      <c r="E958" s="61">
        <v>-152.30797000000001</v>
      </c>
      <c r="U958" s="86">
        <v>0.95</v>
      </c>
      <c r="V958" s="62">
        <v>1065.3604</v>
      </c>
      <c r="W958" s="86">
        <v>0.95</v>
      </c>
      <c r="X958" s="62">
        <v>1025.1902</v>
      </c>
      <c r="Y958" s="86">
        <v>0.95</v>
      </c>
      <c r="Z958" s="62">
        <v>978.29380000000003</v>
      </c>
    </row>
    <row r="959" spans="4:26">
      <c r="D959" s="86">
        <v>0.95099999999999996</v>
      </c>
      <c r="E959" s="61">
        <v>-148.97900000000001</v>
      </c>
      <c r="U959" s="86">
        <v>0.95099999999999996</v>
      </c>
      <c r="V959" s="62">
        <v>1065.2982999999999</v>
      </c>
      <c r="W959" s="86">
        <v>0.95099999999999996</v>
      </c>
      <c r="X959" s="62">
        <v>1025.1322</v>
      </c>
      <c r="Y959" s="86">
        <v>0.95099999999999996</v>
      </c>
      <c r="Z959" s="62">
        <v>978.24554000000001</v>
      </c>
    </row>
    <row r="960" spans="4:26">
      <c r="D960" s="86">
        <v>0.95199999999999996</v>
      </c>
      <c r="E960" s="61">
        <v>-145.65848</v>
      </c>
      <c r="U960" s="86">
        <v>0.95199999999999996</v>
      </c>
      <c r="V960" s="62">
        <v>1065.2365</v>
      </c>
      <c r="W960" s="86">
        <v>0.95199999999999996</v>
      </c>
      <c r="X960" s="62">
        <v>1025.0742</v>
      </c>
      <c r="Y960" s="86">
        <v>0.95199999999999996</v>
      </c>
      <c r="Z960" s="62">
        <v>978.19727</v>
      </c>
    </row>
    <row r="961" spans="4:26">
      <c r="D961" s="86">
        <v>0.95299999999999996</v>
      </c>
      <c r="E961" s="61">
        <v>-142.34657000000001</v>
      </c>
      <c r="U961" s="86">
        <v>0.95299999999999996</v>
      </c>
      <c r="V961" s="62">
        <v>1065.1744000000001</v>
      </c>
      <c r="W961" s="86">
        <v>0.95299999999999996</v>
      </c>
      <c r="X961" s="62">
        <v>1025.0162</v>
      </c>
      <c r="Y961" s="86">
        <v>0.95299999999999996</v>
      </c>
      <c r="Z961" s="62">
        <v>978.14909999999998</v>
      </c>
    </row>
    <row r="962" spans="4:26">
      <c r="D962" s="86">
        <v>0.95399999999999996</v>
      </c>
      <c r="E962" s="61">
        <v>-139.04346000000001</v>
      </c>
      <c r="U962" s="86">
        <v>0.95399999999999996</v>
      </c>
      <c r="V962" s="62">
        <v>1065.1124</v>
      </c>
      <c r="W962" s="86">
        <v>0.95399999999999996</v>
      </c>
      <c r="X962" s="62">
        <v>1024.9584</v>
      </c>
      <c r="Y962" s="86">
        <v>0.95399999999999996</v>
      </c>
      <c r="Z962" s="62">
        <v>978.10095000000001</v>
      </c>
    </row>
    <row r="963" spans="4:26">
      <c r="D963" s="86">
        <v>0.95499999999999996</v>
      </c>
      <c r="E963" s="61">
        <v>-135.74936</v>
      </c>
      <c r="U963" s="86">
        <v>0.95499999999999996</v>
      </c>
      <c r="V963" s="62">
        <v>1065.0504000000001</v>
      </c>
      <c r="W963" s="86">
        <v>0.95499999999999996</v>
      </c>
      <c r="X963" s="62">
        <v>1024.9004</v>
      </c>
      <c r="Y963" s="86">
        <v>0.95499999999999996</v>
      </c>
      <c r="Z963" s="62">
        <v>978.05286000000001</v>
      </c>
    </row>
    <row r="964" spans="4:26">
      <c r="D964" s="86">
        <v>0.95599999999999996</v>
      </c>
      <c r="E964" s="61">
        <v>-132.46442999999999</v>
      </c>
      <c r="U964" s="86">
        <v>0.95599999999999996</v>
      </c>
      <c r="V964" s="62">
        <v>1064.9884</v>
      </c>
      <c r="W964" s="86">
        <v>0.95599999999999996</v>
      </c>
      <c r="X964" s="62">
        <v>1024.8425</v>
      </c>
      <c r="Y964" s="86">
        <v>0.95599999999999996</v>
      </c>
      <c r="Z964" s="62">
        <v>978.00476000000003</v>
      </c>
    </row>
    <row r="965" spans="4:26">
      <c r="D965" s="86">
        <v>0.95699999999999996</v>
      </c>
      <c r="E965" s="61">
        <v>-129.18888999999999</v>
      </c>
      <c r="U965" s="86">
        <v>0.95699999999999996</v>
      </c>
      <c r="V965" s="62">
        <v>1064.9263000000001</v>
      </c>
      <c r="W965" s="86">
        <v>0.95699999999999996</v>
      </c>
      <c r="X965" s="62">
        <v>1024.7846999999999</v>
      </c>
      <c r="Y965" s="86">
        <v>0.95699999999999996</v>
      </c>
      <c r="Z965" s="62">
        <v>977.95680000000004</v>
      </c>
    </row>
    <row r="966" spans="4:26">
      <c r="D966" s="86">
        <v>0.95799999999999996</v>
      </c>
      <c r="E966" s="61">
        <v>-125.92291</v>
      </c>
      <c r="U966" s="86">
        <v>0.95799999999999996</v>
      </c>
      <c r="V966" s="62">
        <v>1064.8643</v>
      </c>
      <c r="W966" s="86">
        <v>0.95799999999999996</v>
      </c>
      <c r="X966" s="62">
        <v>1024.7268999999999</v>
      </c>
      <c r="Y966" s="86">
        <v>0.95799999999999996</v>
      </c>
      <c r="Z966" s="62">
        <v>977.90880000000004</v>
      </c>
    </row>
    <row r="967" spans="4:26">
      <c r="D967" s="86">
        <v>0.95899999999999996</v>
      </c>
      <c r="E967" s="61">
        <v>-122.66669</v>
      </c>
      <c r="U967" s="86">
        <v>0.95899999999999996</v>
      </c>
      <c r="V967" s="62">
        <v>1064.8021000000001</v>
      </c>
      <c r="W967" s="86">
        <v>0.95899999999999996</v>
      </c>
      <c r="X967" s="62">
        <v>1024.6691000000001</v>
      </c>
      <c r="Y967" s="86">
        <v>0.95899999999999996</v>
      </c>
      <c r="Z967" s="62">
        <v>977.86095999999998</v>
      </c>
    </row>
    <row r="968" spans="4:26">
      <c r="D968" s="86">
        <v>0.96</v>
      </c>
      <c r="E968" s="61">
        <v>-119.42041999999999</v>
      </c>
      <c r="U968" s="86">
        <v>0.96</v>
      </c>
      <c r="V968" s="62">
        <v>1064.7401</v>
      </c>
      <c r="W968" s="86">
        <v>0.96</v>
      </c>
      <c r="X968" s="62">
        <v>1024.6113</v>
      </c>
      <c r="Y968" s="86">
        <v>0.96</v>
      </c>
      <c r="Z968" s="62">
        <v>977.81309999999996</v>
      </c>
    </row>
    <row r="969" spans="4:26">
      <c r="D969" s="86">
        <v>0.96099999999999997</v>
      </c>
      <c r="E969" s="61">
        <v>-116.18428</v>
      </c>
      <c r="U969" s="86">
        <v>0.96099999999999997</v>
      </c>
      <c r="V969" s="62">
        <v>1064.6780000000001</v>
      </c>
      <c r="W969" s="86">
        <v>0.96099999999999997</v>
      </c>
      <c r="X969" s="62">
        <v>1024.5536</v>
      </c>
      <c r="Y969" s="86">
        <v>0.96099999999999997</v>
      </c>
      <c r="Z969" s="62">
        <v>977.76526000000001</v>
      </c>
    </row>
    <row r="970" spans="4:26">
      <c r="D970" s="86">
        <v>0.96199999999999997</v>
      </c>
      <c r="E970" s="61">
        <v>-112.95849</v>
      </c>
      <c r="U970" s="86">
        <v>0.96199999999999997</v>
      </c>
      <c r="V970" s="62">
        <v>1064.6158</v>
      </c>
      <c r="W970" s="86">
        <v>0.96199999999999997</v>
      </c>
      <c r="X970" s="62">
        <v>1024.4957999999999</v>
      </c>
      <c r="Y970" s="86">
        <v>0.96199999999999997</v>
      </c>
      <c r="Z970" s="62">
        <v>977.71749999999997</v>
      </c>
    </row>
    <row r="971" spans="4:26">
      <c r="D971" s="86">
        <v>0.96299999999999997</v>
      </c>
      <c r="E971" s="61">
        <v>-109.74321999999999</v>
      </c>
      <c r="U971" s="86">
        <v>0.96299999999999997</v>
      </c>
      <c r="V971" s="62">
        <v>1064.5536999999999</v>
      </c>
      <c r="W971" s="86">
        <v>0.96299999999999997</v>
      </c>
      <c r="X971" s="62">
        <v>1024.4382000000001</v>
      </c>
      <c r="Y971" s="86">
        <v>0.96299999999999997</v>
      </c>
      <c r="Z971" s="62">
        <v>977.66985999999997</v>
      </c>
    </row>
    <row r="972" spans="4:26">
      <c r="D972" s="86">
        <v>0.96399999999999997</v>
      </c>
      <c r="E972" s="61">
        <v>-106.53866600000001</v>
      </c>
      <c r="U972" s="86">
        <v>0.96399999999999997</v>
      </c>
      <c r="V972" s="62">
        <v>1064.4916000000001</v>
      </c>
      <c r="W972" s="86">
        <v>0.96399999999999997</v>
      </c>
      <c r="X972" s="62">
        <v>1024.3806</v>
      </c>
      <c r="Y972" s="86">
        <v>0.96399999999999997</v>
      </c>
      <c r="Z972" s="62">
        <v>977.62220000000002</v>
      </c>
    </row>
    <row r="973" spans="4:26">
      <c r="D973" s="86">
        <v>0.96499999999999997</v>
      </c>
      <c r="E973" s="61">
        <v>-103.34502999999999</v>
      </c>
      <c r="U973" s="86">
        <v>0.96499999999999997</v>
      </c>
      <c r="V973" s="62">
        <v>1064.4293</v>
      </c>
      <c r="W973" s="86">
        <v>0.96499999999999997</v>
      </c>
      <c r="X973" s="62">
        <v>1024.3228999999999</v>
      </c>
      <c r="Y973" s="86">
        <v>0.96499999999999997</v>
      </c>
      <c r="Z973" s="62">
        <v>977.57460000000003</v>
      </c>
    </row>
    <row r="974" spans="4:26">
      <c r="D974" s="86">
        <v>0.96599999999999997</v>
      </c>
      <c r="E974" s="61">
        <v>-100.16251</v>
      </c>
      <c r="U974" s="86">
        <v>0.96599999999999997</v>
      </c>
      <c r="V974" s="62">
        <v>1064.3671999999999</v>
      </c>
      <c r="W974" s="86">
        <v>0.96599999999999997</v>
      </c>
      <c r="X974" s="62">
        <v>1024.2654</v>
      </c>
      <c r="Y974" s="86">
        <v>0.96599999999999997</v>
      </c>
      <c r="Z974" s="62">
        <v>977.52704000000006</v>
      </c>
    </row>
    <row r="975" spans="4:26">
      <c r="D975" s="86">
        <v>0.96699999999999997</v>
      </c>
      <c r="E975" s="60">
        <v>-96.991294999999994</v>
      </c>
      <c r="U975" s="86">
        <v>0.96699999999999997</v>
      </c>
      <c r="V975" s="62">
        <v>1064.3050000000001</v>
      </c>
      <c r="W975" s="86">
        <v>0.96699999999999997</v>
      </c>
      <c r="X975" s="62">
        <v>1024.2077999999999</v>
      </c>
      <c r="Y975" s="86">
        <v>0.96699999999999997</v>
      </c>
      <c r="Z975" s="62">
        <v>977.47950000000003</v>
      </c>
    </row>
    <row r="976" spans="4:26">
      <c r="D976" s="86">
        <v>0.96799999999999997</v>
      </c>
      <c r="E976" s="60">
        <v>-93.831590000000006</v>
      </c>
      <c r="U976" s="86">
        <v>0.96799999999999997</v>
      </c>
      <c r="V976" s="62">
        <v>1064.2428</v>
      </c>
      <c r="W976" s="86">
        <v>0.96799999999999997</v>
      </c>
      <c r="X976" s="62">
        <v>1024.1503</v>
      </c>
      <c r="Y976" s="86">
        <v>0.96799999999999997</v>
      </c>
      <c r="Z976" s="62">
        <v>977.43206999999995</v>
      </c>
    </row>
    <row r="977" spans="4:26">
      <c r="D977" s="86">
        <v>0.96899999999999997</v>
      </c>
      <c r="E977" s="60">
        <v>-90.683580000000006</v>
      </c>
      <c r="U977" s="86">
        <v>0.96899999999999997</v>
      </c>
      <c r="V977" s="62">
        <v>1064.1806999999999</v>
      </c>
      <c r="W977" s="86">
        <v>0.96899999999999997</v>
      </c>
      <c r="X977" s="62">
        <v>1024.0926999999999</v>
      </c>
      <c r="Y977" s="86">
        <v>0.96899999999999997</v>
      </c>
      <c r="Z977" s="62">
        <v>977.38463999999999</v>
      </c>
    </row>
    <row r="978" spans="4:26">
      <c r="D978" s="86">
        <v>0.97</v>
      </c>
      <c r="E978" s="60">
        <v>-87.547470000000004</v>
      </c>
      <c r="U978" s="86">
        <v>0.97</v>
      </c>
      <c r="V978" s="62">
        <v>1064.1184000000001</v>
      </c>
      <c r="W978" s="86">
        <v>0.97</v>
      </c>
      <c r="X978" s="62">
        <v>1024.0352</v>
      </c>
      <c r="Y978" s="86">
        <v>0.97</v>
      </c>
      <c r="Z978" s="62">
        <v>977.33730000000003</v>
      </c>
    </row>
    <row r="979" spans="4:26">
      <c r="D979" s="86">
        <v>0.97099999999999997</v>
      </c>
      <c r="E979" s="60">
        <v>-84.423454000000007</v>
      </c>
      <c r="U979" s="86">
        <v>0.97099999999999997</v>
      </c>
      <c r="V979" s="62">
        <v>1064.0562</v>
      </c>
      <c r="W979" s="86">
        <v>0.97099999999999997</v>
      </c>
      <c r="X979" s="62">
        <v>1023.9777</v>
      </c>
      <c r="Y979" s="86">
        <v>0.97099999999999997</v>
      </c>
      <c r="Z979" s="62">
        <v>977.29</v>
      </c>
    </row>
    <row r="980" spans="4:26">
      <c r="D980" s="86">
        <v>0.97199999999999998</v>
      </c>
      <c r="E980" s="60">
        <v>-81.31174</v>
      </c>
      <c r="U980" s="86">
        <v>0.97199999999999998</v>
      </c>
      <c r="V980" s="62">
        <v>1063.9938999999999</v>
      </c>
      <c r="W980" s="86">
        <v>0.97199999999999998</v>
      </c>
      <c r="X980" s="62">
        <v>1023.9203</v>
      </c>
      <c r="Y980" s="86">
        <v>0.97199999999999998</v>
      </c>
      <c r="Z980" s="62">
        <v>977.24274000000003</v>
      </c>
    </row>
    <row r="981" spans="4:26">
      <c r="D981" s="86">
        <v>0.97299999999999998</v>
      </c>
      <c r="E981" s="60">
        <v>-78.212509999999995</v>
      </c>
      <c r="U981" s="86">
        <v>0.97299999999999998</v>
      </c>
      <c r="V981" s="62">
        <v>1063.9315999999999</v>
      </c>
      <c r="W981" s="86">
        <v>0.97299999999999998</v>
      </c>
      <c r="X981" s="62">
        <v>1023.86285</v>
      </c>
      <c r="Y981" s="86">
        <v>0.97299999999999998</v>
      </c>
      <c r="Z981" s="62">
        <v>977.19550000000004</v>
      </c>
    </row>
    <row r="982" spans="4:26">
      <c r="D982" s="86">
        <v>0.97399999999999998</v>
      </c>
      <c r="E982" s="60">
        <v>-75.125984000000003</v>
      </c>
      <c r="U982" s="86">
        <v>0.97399999999999998</v>
      </c>
      <c r="V982" s="62">
        <v>1063.8694</v>
      </c>
      <c r="W982" s="86">
        <v>0.97399999999999998</v>
      </c>
      <c r="X982" s="62">
        <v>1023.8055000000001</v>
      </c>
      <c r="Y982" s="86">
        <v>0.97399999999999998</v>
      </c>
      <c r="Z982" s="62">
        <v>977.14840000000004</v>
      </c>
    </row>
    <row r="983" spans="4:26">
      <c r="D983" s="86">
        <v>0.97499999999999998</v>
      </c>
      <c r="E983" s="60">
        <v>-72.052350000000004</v>
      </c>
      <c r="U983" s="86">
        <v>0.97499999999999998</v>
      </c>
      <c r="V983" s="62">
        <v>1063.807</v>
      </c>
      <c r="W983" s="86">
        <v>0.97499999999999998</v>
      </c>
      <c r="X983" s="62">
        <v>1023.7481</v>
      </c>
      <c r="Y983" s="86">
        <v>0.97499999999999998</v>
      </c>
      <c r="Z983" s="62">
        <v>977.10126000000002</v>
      </c>
    </row>
    <row r="984" spans="4:26">
      <c r="D984" s="86">
        <v>0.97599999999999998</v>
      </c>
      <c r="E984" s="60">
        <v>-68.991810000000001</v>
      </c>
      <c r="U984" s="86">
        <v>0.97599999999999998</v>
      </c>
      <c r="V984" s="62">
        <v>1063.7447999999999</v>
      </c>
      <c r="W984" s="86">
        <v>0.97599999999999998</v>
      </c>
      <c r="X984" s="62">
        <v>1023.6908</v>
      </c>
      <c r="Y984" s="86">
        <v>0.97599999999999998</v>
      </c>
      <c r="Z984" s="62">
        <v>977.05420000000004</v>
      </c>
    </row>
    <row r="985" spans="4:26">
      <c r="D985" s="86">
        <v>0.97699999999999998</v>
      </c>
      <c r="E985" s="60">
        <v>-65.944569999999999</v>
      </c>
      <c r="U985" s="86">
        <v>0.97699999999999998</v>
      </c>
      <c r="V985" s="62">
        <v>1063.6824999999999</v>
      </c>
      <c r="W985" s="86">
        <v>0.97699999999999998</v>
      </c>
      <c r="X985" s="62">
        <v>1023.6335</v>
      </c>
      <c r="Y985" s="86">
        <v>0.97699999999999998</v>
      </c>
      <c r="Z985" s="62">
        <v>977.00720000000001</v>
      </c>
    </row>
    <row r="986" spans="4:26">
      <c r="D986" s="86">
        <v>0.97799999999999998</v>
      </c>
      <c r="E986" s="60">
        <v>-62.910834999999999</v>
      </c>
      <c r="U986" s="86">
        <v>0.97799999999999998</v>
      </c>
      <c r="V986" s="62">
        <v>1063.6201000000001</v>
      </c>
      <c r="W986" s="86">
        <v>0.97799999999999998</v>
      </c>
      <c r="X986" s="62">
        <v>1023.57623</v>
      </c>
      <c r="Y986" s="86">
        <v>0.97799999999999998</v>
      </c>
      <c r="Z986" s="62">
        <v>976.96019999999999</v>
      </c>
    </row>
    <row r="987" spans="4:26">
      <c r="D987" s="86">
        <v>0.97899999999999998</v>
      </c>
      <c r="E987" s="60">
        <v>-59.890799999999999</v>
      </c>
      <c r="U987" s="86">
        <v>0.97899999999999998</v>
      </c>
      <c r="V987" s="62">
        <v>1063.5579</v>
      </c>
      <c r="W987" s="86">
        <v>0.97899999999999998</v>
      </c>
      <c r="X987" s="62">
        <v>1023.519</v>
      </c>
      <c r="Y987" s="86">
        <v>0.97899999999999998</v>
      </c>
      <c r="Z987" s="62">
        <v>976.91327000000001</v>
      </c>
    </row>
    <row r="988" spans="4:26">
      <c r="D988" s="86">
        <v>0.98</v>
      </c>
      <c r="E988" s="60">
        <v>-56.88467</v>
      </c>
      <c r="U988" s="86">
        <v>0.98</v>
      </c>
      <c r="V988" s="62">
        <v>1063.4955</v>
      </c>
      <c r="W988" s="86">
        <v>0.98</v>
      </c>
      <c r="X988" s="62">
        <v>1023.46173</v>
      </c>
      <c r="Y988" s="86">
        <v>0.98</v>
      </c>
      <c r="Z988" s="62">
        <v>976.8664</v>
      </c>
    </row>
    <row r="989" spans="4:26">
      <c r="D989" s="86">
        <v>0.98099999999999998</v>
      </c>
      <c r="E989" s="60">
        <v>-53.892646999999997</v>
      </c>
      <c r="U989" s="86">
        <v>0.98099999999999998</v>
      </c>
      <c r="V989" s="62">
        <v>1063.4331</v>
      </c>
      <c r="W989" s="86">
        <v>0.98099999999999998</v>
      </c>
      <c r="X989" s="62">
        <v>1023.40454</v>
      </c>
      <c r="Y989" s="86">
        <v>0.98099999999999998</v>
      </c>
      <c r="Z989" s="62">
        <v>976.81960000000004</v>
      </c>
    </row>
    <row r="990" spans="4:26">
      <c r="D990" s="86">
        <v>0.98199999999999998</v>
      </c>
      <c r="E990" s="60">
        <v>-50.914940000000001</v>
      </c>
      <c r="U990" s="86">
        <v>0.98199999999999998</v>
      </c>
      <c r="V990" s="62">
        <v>1063.3706999999999</v>
      </c>
      <c r="W990" s="86">
        <v>0.98199999999999998</v>
      </c>
      <c r="X990" s="62">
        <v>1023.34735</v>
      </c>
      <c r="Y990" s="86">
        <v>0.98199999999999998</v>
      </c>
      <c r="Z990" s="62">
        <v>976.77279999999996</v>
      </c>
    </row>
    <row r="991" spans="4:26">
      <c r="D991" s="86">
        <v>0.98299999999999998</v>
      </c>
      <c r="E991" s="60">
        <v>-47.951749999999997</v>
      </c>
      <c r="U991" s="86">
        <v>0.98299999999999998</v>
      </c>
      <c r="V991" s="62">
        <v>1063.3082999999999</v>
      </c>
      <c r="W991" s="86">
        <v>0.98299999999999998</v>
      </c>
      <c r="X991" s="62">
        <v>1023.2902</v>
      </c>
      <c r="Y991" s="86">
        <v>0.98299999999999998</v>
      </c>
      <c r="Z991" s="62">
        <v>976.72613999999999</v>
      </c>
    </row>
    <row r="992" spans="4:26">
      <c r="D992" s="86">
        <v>0.98399999999999999</v>
      </c>
      <c r="E992" s="60">
        <v>-45.00329</v>
      </c>
      <c r="U992" s="86">
        <v>0.98399999999999999</v>
      </c>
      <c r="V992" s="62">
        <v>1063.2460000000001</v>
      </c>
      <c r="W992" s="86">
        <v>0.98399999999999999</v>
      </c>
      <c r="X992" s="62">
        <v>1023.2331</v>
      </c>
      <c r="Y992" s="86">
        <v>0.98399999999999999</v>
      </c>
      <c r="Z992" s="62">
        <v>976.67944</v>
      </c>
    </row>
    <row r="993" spans="4:26">
      <c r="D993" s="86">
        <v>0.98499999999999999</v>
      </c>
      <c r="E993" s="60">
        <v>-42.069755999999998</v>
      </c>
      <c r="U993" s="86">
        <v>0.98499999999999999</v>
      </c>
      <c r="V993" s="62">
        <v>1063.1836000000001</v>
      </c>
      <c r="W993" s="86">
        <v>0.98499999999999999</v>
      </c>
      <c r="X993" s="62">
        <v>1023.176</v>
      </c>
      <c r="Y993" s="86">
        <v>0.98499999999999999</v>
      </c>
      <c r="Z993" s="62">
        <v>976.63279999999997</v>
      </c>
    </row>
    <row r="994" spans="4:26">
      <c r="D994" s="86">
        <v>0.98599999999999999</v>
      </c>
      <c r="E994" s="60">
        <v>-39.151359999999997</v>
      </c>
      <c r="U994" s="86">
        <v>0.98599999999999999</v>
      </c>
      <c r="V994" s="62">
        <v>1063.1212</v>
      </c>
      <c r="W994" s="86">
        <v>0.98599999999999999</v>
      </c>
      <c r="X994" s="62">
        <v>1023.11896</v>
      </c>
      <c r="Y994" s="86">
        <v>0.98599999999999999</v>
      </c>
      <c r="Z994" s="62">
        <v>976.58623999999998</v>
      </c>
    </row>
    <row r="995" spans="4:26">
      <c r="D995" s="86">
        <v>0.98699999999999999</v>
      </c>
      <c r="E995" s="60">
        <v>-36.248305999999999</v>
      </c>
      <c r="U995" s="86">
        <v>0.98699999999999999</v>
      </c>
      <c r="V995" s="62">
        <v>1063.0587</v>
      </c>
      <c r="W995" s="86">
        <v>0.98699999999999999</v>
      </c>
      <c r="X995" s="62">
        <v>1023.06195</v>
      </c>
      <c r="Y995" s="86">
        <v>0.98699999999999999</v>
      </c>
      <c r="Z995" s="62">
        <v>976.53970000000004</v>
      </c>
    </row>
    <row r="996" spans="4:26">
      <c r="D996" s="86">
        <v>0.98799999999999999</v>
      </c>
      <c r="E996" s="60">
        <v>-33.360805999999997</v>
      </c>
      <c r="U996" s="86">
        <v>0.98799999999999999</v>
      </c>
      <c r="V996" s="62">
        <v>1062.9963</v>
      </c>
      <c r="W996" s="86">
        <v>0.98799999999999999</v>
      </c>
      <c r="X996" s="62">
        <v>1023.00494</v>
      </c>
      <c r="Y996" s="86">
        <v>0.98799999999999999</v>
      </c>
      <c r="Z996" s="62">
        <v>976.4932</v>
      </c>
    </row>
    <row r="997" spans="4:26">
      <c r="D997" s="86">
        <v>0.98899999999999999</v>
      </c>
      <c r="E997" s="60">
        <v>-30.489061</v>
      </c>
      <c r="U997" s="86">
        <v>0.98899999999999999</v>
      </c>
      <c r="V997" s="62">
        <v>1062.9338</v>
      </c>
      <c r="W997" s="86">
        <v>0.98899999999999999</v>
      </c>
      <c r="X997" s="62">
        <v>1022.94794</v>
      </c>
      <c r="Y997" s="86">
        <v>0.98899999999999999</v>
      </c>
      <c r="Z997" s="62">
        <v>976.44680000000005</v>
      </c>
    </row>
    <row r="998" spans="4:26">
      <c r="D998" s="86">
        <v>0.99</v>
      </c>
      <c r="E998" s="60">
        <v>-27.633285999999998</v>
      </c>
      <c r="U998" s="86">
        <v>0.99</v>
      </c>
      <c r="V998" s="62">
        <v>1062.8715</v>
      </c>
      <c r="W998" s="86">
        <v>0.99</v>
      </c>
      <c r="X998" s="62">
        <v>1022.891</v>
      </c>
      <c r="Y998" s="86">
        <v>0.99</v>
      </c>
      <c r="Z998" s="62">
        <v>976.40039999999999</v>
      </c>
    </row>
    <row r="999" spans="4:26">
      <c r="D999" s="86">
        <v>0.99099999999999999</v>
      </c>
      <c r="E999" s="60">
        <v>-24.793688</v>
      </c>
      <c r="U999" s="86">
        <v>0.99099999999999999</v>
      </c>
      <c r="V999" s="62">
        <v>1062.809</v>
      </c>
      <c r="W999" s="86">
        <v>0.99099999999999999</v>
      </c>
      <c r="X999" s="62">
        <v>1022.8341</v>
      </c>
      <c r="Y999" s="86">
        <v>0.99099999999999999</v>
      </c>
      <c r="Z999" s="62">
        <v>976.35406</v>
      </c>
    </row>
    <row r="1000" spans="4:26">
      <c r="D1000" s="86">
        <v>0.99199999999999999</v>
      </c>
      <c r="E1000" s="60">
        <v>-21.970476000000001</v>
      </c>
      <c r="U1000" s="86">
        <v>0.99199999999999999</v>
      </c>
      <c r="V1000" s="62">
        <v>1062.7465</v>
      </c>
      <c r="W1000" s="86">
        <v>0.99199999999999999</v>
      </c>
      <c r="X1000" s="62">
        <v>1022.7772</v>
      </c>
      <c r="Y1000" s="86">
        <v>0.99199999999999999</v>
      </c>
      <c r="Z1000" s="62">
        <v>976.30773999999997</v>
      </c>
    </row>
    <row r="1001" spans="4:26">
      <c r="D1001" s="86">
        <v>0.99299999999999999</v>
      </c>
      <c r="E1001" s="60">
        <v>-19.16386</v>
      </c>
      <c r="U1001" s="86">
        <v>0.99299999999999999</v>
      </c>
      <c r="V1001" s="62">
        <v>1062.6840999999999</v>
      </c>
      <c r="W1001" s="86">
        <v>0.99299999999999999</v>
      </c>
      <c r="X1001" s="62">
        <v>1022.72034</v>
      </c>
      <c r="Y1001" s="86">
        <v>0.99299999999999999</v>
      </c>
      <c r="Z1001" s="62">
        <v>976.26153999999997</v>
      </c>
    </row>
    <row r="1002" spans="4:26">
      <c r="D1002" s="86">
        <v>0.99399999999999999</v>
      </c>
      <c r="E1002" s="60">
        <v>-16.374051999999999</v>
      </c>
      <c r="U1002" s="86">
        <v>0.99399999999999999</v>
      </c>
      <c r="V1002" s="62">
        <v>1062.6215999999999</v>
      </c>
      <c r="W1002" s="86">
        <v>0.99399999999999999</v>
      </c>
      <c r="X1002" s="62">
        <v>1022.6635</v>
      </c>
      <c r="Y1002" s="86">
        <v>0.99399999999999999</v>
      </c>
      <c r="Z1002" s="62">
        <v>976.21532999999999</v>
      </c>
    </row>
    <row r="1003" spans="4:26">
      <c r="D1003" s="86">
        <v>0.995</v>
      </c>
      <c r="E1003" s="60">
        <v>-13.60126</v>
      </c>
      <c r="U1003" s="86">
        <v>0.995</v>
      </c>
      <c r="V1003" s="62">
        <v>1062.5590999999999</v>
      </c>
      <c r="W1003" s="86">
        <v>0.995</v>
      </c>
      <c r="X1003" s="62">
        <v>1022.6067</v>
      </c>
      <c r="Y1003" s="86">
        <v>0.995</v>
      </c>
      <c r="Z1003" s="62">
        <v>976.16920000000005</v>
      </c>
    </row>
    <row r="1004" spans="4:26">
      <c r="D1004" s="86">
        <v>0.996</v>
      </c>
      <c r="E1004" s="60">
        <v>-10.845699</v>
      </c>
      <c r="U1004" s="86">
        <v>0.996</v>
      </c>
      <c r="V1004" s="62">
        <v>1062.4965999999999</v>
      </c>
      <c r="W1004" s="86">
        <v>0.996</v>
      </c>
      <c r="X1004" s="62">
        <v>1022.5499</v>
      </c>
      <c r="Y1004" s="86">
        <v>0.996</v>
      </c>
      <c r="Z1004" s="62">
        <v>976.12310000000002</v>
      </c>
    </row>
    <row r="1005" spans="4:26">
      <c r="D1005" s="86">
        <v>0.997</v>
      </c>
      <c r="E1005" s="94">
        <v>-8.1075800000000005</v>
      </c>
      <c r="U1005" s="86">
        <v>0.997</v>
      </c>
      <c r="V1005" s="62">
        <v>1062.4340999999999</v>
      </c>
      <c r="W1005" s="86">
        <v>0.997</v>
      </c>
      <c r="X1005" s="62">
        <v>1022.49316</v>
      </c>
      <c r="Y1005" s="86">
        <v>0.997</v>
      </c>
      <c r="Z1005" s="62">
        <v>976.077</v>
      </c>
    </row>
    <row r="1006" spans="4:26">
      <c r="D1006" s="86">
        <v>0.998</v>
      </c>
      <c r="E1006" s="94">
        <v>-5.3871145</v>
      </c>
      <c r="U1006" s="86">
        <v>0.998</v>
      </c>
      <c r="V1006" s="62">
        <v>1062.3715</v>
      </c>
      <c r="W1006" s="86">
        <v>0.998</v>
      </c>
      <c r="X1006" s="62">
        <v>1022.4364</v>
      </c>
      <c r="Y1006" s="86">
        <v>0.998</v>
      </c>
      <c r="Z1006" s="62">
        <v>976.03099999999995</v>
      </c>
    </row>
    <row r="1007" spans="4:26">
      <c r="D1007" s="86">
        <v>0.999</v>
      </c>
      <c r="E1007" s="94">
        <v>-2.684517</v>
      </c>
      <c r="U1007" s="86">
        <v>0.999</v>
      </c>
      <c r="V1007" s="62">
        <v>1062.309</v>
      </c>
      <c r="W1007" s="86">
        <v>0.999</v>
      </c>
      <c r="X1007" s="62">
        <v>1022.37976</v>
      </c>
      <c r="Y1007" s="86">
        <v>0.999</v>
      </c>
      <c r="Z1007" s="62">
        <v>975.98505</v>
      </c>
    </row>
    <row r="1008" spans="4:26" ht="15" thickBot="1">
      <c r="D1008" s="143">
        <v>1</v>
      </c>
      <c r="E1008" s="144">
        <v>-1.869921E-9</v>
      </c>
      <c r="U1008" s="86">
        <v>1</v>
      </c>
      <c r="V1008" s="62">
        <v>1062.2465</v>
      </c>
      <c r="W1008" s="86">
        <v>1</v>
      </c>
      <c r="X1008" s="62">
        <v>1022.3230600000001</v>
      </c>
      <c r="Y1008" s="86">
        <v>1</v>
      </c>
      <c r="Z1008" s="62">
        <v>975.93915000000004</v>
      </c>
    </row>
    <row r="1009" spans="21:26" ht="15" thickBot="1">
      <c r="U1009" s="143">
        <v>1</v>
      </c>
      <c r="V1009" s="155">
        <v>1062.2465</v>
      </c>
      <c r="W1009" s="143">
        <v>1</v>
      </c>
      <c r="X1009" s="155">
        <v>1022.3230600000001</v>
      </c>
      <c r="Y1009" s="143">
        <v>1</v>
      </c>
      <c r="Z1009" s="155">
        <v>975.93915000000004</v>
      </c>
    </row>
  </sheetData>
  <mergeCells count="23">
    <mergeCell ref="S5:T5"/>
    <mergeCell ref="G4:T4"/>
    <mergeCell ref="G6:H6"/>
    <mergeCell ref="I6:J6"/>
    <mergeCell ref="K6:L6"/>
    <mergeCell ref="M6:N6"/>
    <mergeCell ref="G5:N5"/>
    <mergeCell ref="B3:E3"/>
    <mergeCell ref="B2:E2"/>
    <mergeCell ref="O6:P6"/>
    <mergeCell ref="B5:C5"/>
    <mergeCell ref="B6:C6"/>
    <mergeCell ref="D5:E6"/>
    <mergeCell ref="B4:E4"/>
    <mergeCell ref="G3:Z3"/>
    <mergeCell ref="G2:Z2"/>
    <mergeCell ref="U5:V6"/>
    <mergeCell ref="W5:X6"/>
    <mergeCell ref="Y5:Z6"/>
    <mergeCell ref="U4:Z4"/>
    <mergeCell ref="Q6:R6"/>
    <mergeCell ref="O5:R5"/>
    <mergeCell ref="S6:T6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51A0B-CDE5-4CD4-99EA-617AA3A0C9CD}">
  <dimension ref="B1:M58"/>
  <sheetViews>
    <sheetView zoomScale="85" zoomScaleNormal="85" workbookViewId="0">
      <selection activeCell="G8" sqref="G8:I42"/>
    </sheetView>
  </sheetViews>
  <sheetFormatPr defaultRowHeight="14.5"/>
  <cols>
    <col min="1" max="1" width="8.7265625" style="1"/>
    <col min="2" max="5" width="18.36328125" style="1" customWidth="1"/>
    <col min="6" max="6" width="8.7265625" style="1"/>
    <col min="7" max="8" width="15.7265625" style="1" customWidth="1"/>
    <col min="9" max="13" width="16.1796875" style="1" customWidth="1"/>
    <col min="14" max="16384" width="8.7265625" style="1"/>
  </cols>
  <sheetData>
    <row r="1" spans="2:13" ht="15" thickBot="1"/>
    <row r="2" spans="2:13" s="4" customFormat="1">
      <c r="B2" s="227" t="s">
        <v>546</v>
      </c>
      <c r="C2" s="228"/>
      <c r="D2" s="228"/>
      <c r="E2" s="229"/>
      <c r="G2" s="227" t="s">
        <v>549</v>
      </c>
      <c r="H2" s="228"/>
      <c r="I2" s="228"/>
      <c r="J2" s="228"/>
      <c r="K2" s="228"/>
      <c r="L2" s="228"/>
      <c r="M2" s="229"/>
    </row>
    <row r="3" spans="2:13" s="4" customFormat="1">
      <c r="B3" s="233" t="s">
        <v>547</v>
      </c>
      <c r="C3" s="234"/>
      <c r="D3" s="234"/>
      <c r="E3" s="235"/>
      <c r="G3" s="233" t="s">
        <v>550</v>
      </c>
      <c r="H3" s="234"/>
      <c r="I3" s="234"/>
      <c r="J3" s="234"/>
      <c r="K3" s="234"/>
      <c r="L3" s="234"/>
      <c r="M3" s="235"/>
    </row>
    <row r="4" spans="2:13" s="4" customFormat="1" ht="15" thickBot="1">
      <c r="B4" s="230" t="s">
        <v>548</v>
      </c>
      <c r="C4" s="231"/>
      <c r="D4" s="231"/>
      <c r="E4" s="232"/>
      <c r="G4" s="230" t="s">
        <v>551</v>
      </c>
      <c r="H4" s="231"/>
      <c r="I4" s="231"/>
      <c r="J4" s="231"/>
      <c r="K4" s="231"/>
      <c r="L4" s="231"/>
      <c r="M4" s="232"/>
    </row>
    <row r="5" spans="2:13" ht="15" thickBot="1">
      <c r="B5" s="268" t="s">
        <v>397</v>
      </c>
      <c r="C5" s="270"/>
      <c r="D5" s="238" t="s">
        <v>408</v>
      </c>
      <c r="E5" s="239"/>
      <c r="G5" s="242" t="s">
        <v>397</v>
      </c>
      <c r="H5" s="243"/>
      <c r="I5" s="244"/>
      <c r="J5" s="238" t="s">
        <v>408</v>
      </c>
      <c r="K5" s="248"/>
      <c r="L5" s="248"/>
      <c r="M5" s="239"/>
    </row>
    <row r="6" spans="2:13" ht="15" thickBot="1">
      <c r="B6" s="245" t="s">
        <v>523</v>
      </c>
      <c r="C6" s="247"/>
      <c r="D6" s="240"/>
      <c r="E6" s="241"/>
      <c r="G6" s="245" t="s">
        <v>554</v>
      </c>
      <c r="H6" s="246"/>
      <c r="I6" s="247"/>
      <c r="J6" s="250"/>
      <c r="K6" s="251"/>
      <c r="L6" s="251"/>
      <c r="M6" s="252"/>
    </row>
    <row r="7" spans="2:13" ht="16.5">
      <c r="B7" s="31" t="s">
        <v>410</v>
      </c>
      <c r="C7" s="32" t="s">
        <v>501</v>
      </c>
      <c r="D7" s="35" t="s">
        <v>410</v>
      </c>
      <c r="E7" s="85" t="s">
        <v>501</v>
      </c>
      <c r="G7" s="65" t="s">
        <v>428</v>
      </c>
      <c r="H7" s="32" t="s">
        <v>410</v>
      </c>
      <c r="I7" s="32" t="s">
        <v>487</v>
      </c>
      <c r="J7" s="35" t="s">
        <v>410</v>
      </c>
      <c r="K7" s="51" t="s">
        <v>552</v>
      </c>
      <c r="L7" s="36" t="s">
        <v>487</v>
      </c>
      <c r="M7" s="52" t="s">
        <v>553</v>
      </c>
    </row>
    <row r="8" spans="2:13">
      <c r="B8" s="5"/>
      <c r="C8" s="11"/>
      <c r="D8" s="86">
        <v>1</v>
      </c>
      <c r="E8" s="94">
        <v>-1.8189894E-9</v>
      </c>
      <c r="G8" s="42"/>
      <c r="H8" s="68"/>
      <c r="I8" s="68"/>
      <c r="J8" s="86">
        <v>1</v>
      </c>
      <c r="K8" s="79">
        <v>472.580885317416</v>
      </c>
      <c r="L8" s="78">
        <v>1</v>
      </c>
      <c r="M8" s="61">
        <v>472.580885317416</v>
      </c>
    </row>
    <row r="9" spans="2:13">
      <c r="B9" s="5"/>
      <c r="C9" s="11"/>
      <c r="D9" s="86">
        <v>0.98</v>
      </c>
      <c r="E9" s="60">
        <v>-97.660224999999997</v>
      </c>
      <c r="G9" s="42"/>
      <c r="H9" s="68"/>
      <c r="I9" s="68"/>
      <c r="J9" s="86">
        <v>0.92210000000000003</v>
      </c>
      <c r="K9" s="79">
        <v>472.51920048529797</v>
      </c>
      <c r="L9" s="78">
        <v>0.84450000000000003</v>
      </c>
      <c r="M9" s="61">
        <v>472.06214629179902</v>
      </c>
    </row>
    <row r="10" spans="2:13">
      <c r="B10" s="5"/>
      <c r="C10" s="11"/>
      <c r="D10" s="86">
        <v>0.96</v>
      </c>
      <c r="E10" s="61">
        <v>-195.7979</v>
      </c>
      <c r="G10" s="42"/>
      <c r="H10" s="68"/>
      <c r="I10" s="68"/>
      <c r="J10" s="86">
        <v>0.86650000000000005</v>
      </c>
      <c r="K10" s="79">
        <v>471.92253542903597</v>
      </c>
      <c r="L10" s="78">
        <v>0.7198</v>
      </c>
      <c r="M10" s="61">
        <v>470.49445303993502</v>
      </c>
    </row>
    <row r="11" spans="2:13">
      <c r="B11" s="5"/>
      <c r="C11" s="11"/>
      <c r="D11" s="86">
        <v>0.94</v>
      </c>
      <c r="E11" s="61">
        <v>-292.94574</v>
      </c>
      <c r="G11" s="42"/>
      <c r="H11" s="68"/>
      <c r="I11" s="68"/>
      <c r="J11" s="86">
        <v>0.83199999999999996</v>
      </c>
      <c r="K11" s="79">
        <v>471.20026981867397</v>
      </c>
      <c r="L11" s="78">
        <v>0.64040000000000008</v>
      </c>
      <c r="M11" s="61">
        <v>469.03279417262303</v>
      </c>
    </row>
    <row r="12" spans="2:13">
      <c r="B12" s="5"/>
      <c r="C12" s="11"/>
      <c r="D12" s="86">
        <v>0.92</v>
      </c>
      <c r="E12" s="61">
        <v>-388.00848000000002</v>
      </c>
      <c r="G12" s="42"/>
      <c r="H12" s="68"/>
      <c r="I12" s="68"/>
      <c r="J12" s="86">
        <v>0.80020000000000002</v>
      </c>
      <c r="K12" s="79">
        <v>470.22550737549801</v>
      </c>
      <c r="L12" s="78">
        <v>0.56519999999999992</v>
      </c>
      <c r="M12" s="61">
        <v>467.29918464888999</v>
      </c>
    </row>
    <row r="13" spans="2:13">
      <c r="B13" s="5"/>
      <c r="C13" s="11"/>
      <c r="D13" s="86">
        <v>0.9</v>
      </c>
      <c r="E13" s="61">
        <v>-480.14929999999998</v>
      </c>
      <c r="G13" s="42"/>
      <c r="H13" s="68"/>
      <c r="I13" s="68"/>
      <c r="J13" s="86">
        <v>0.77970000000000006</v>
      </c>
      <c r="K13" s="79">
        <v>469.41332637579001</v>
      </c>
      <c r="L13" s="78">
        <v>0.5141</v>
      </c>
      <c r="M13" s="61">
        <v>465.90547549252602</v>
      </c>
    </row>
    <row r="14" spans="2:13">
      <c r="B14" s="5"/>
      <c r="C14" s="11"/>
      <c r="D14" s="86">
        <v>0.88</v>
      </c>
      <c r="E14" s="61">
        <v>-568.71704</v>
      </c>
      <c r="G14" s="42"/>
      <c r="H14" s="68"/>
      <c r="I14" s="68"/>
      <c r="J14" s="86">
        <v>0.74880000000000002</v>
      </c>
      <c r="K14" s="79">
        <v>467.88010191231098</v>
      </c>
      <c r="L14" s="78">
        <v>0.44189999999999996</v>
      </c>
      <c r="M14" s="61">
        <v>463.58845242050501</v>
      </c>
    </row>
    <row r="15" spans="2:13">
      <c r="B15" s="5"/>
      <c r="C15" s="11"/>
      <c r="D15" s="86">
        <v>0.86</v>
      </c>
      <c r="E15" s="61">
        <v>-653.19830000000002</v>
      </c>
      <c r="G15" s="42"/>
      <c r="H15" s="68"/>
      <c r="I15" s="68"/>
      <c r="J15" s="86">
        <v>0.71700000000000008</v>
      </c>
      <c r="K15" s="79">
        <v>465.87305199133999</v>
      </c>
      <c r="L15" s="78">
        <v>0.37439999999999996</v>
      </c>
      <c r="M15" s="61">
        <v>460.97158461140299</v>
      </c>
    </row>
    <row r="16" spans="2:13">
      <c r="B16" s="5"/>
      <c r="C16" s="11"/>
      <c r="D16" s="86">
        <v>0.84</v>
      </c>
      <c r="E16" s="61">
        <v>-733.18384000000003</v>
      </c>
      <c r="G16" s="42"/>
      <c r="H16" s="68"/>
      <c r="I16" s="68"/>
      <c r="J16" s="86">
        <v>0.70110000000000006</v>
      </c>
      <c r="K16" s="79">
        <v>464.69403571625202</v>
      </c>
      <c r="L16" s="78">
        <v>0.33440000000000003</v>
      </c>
      <c r="M16" s="61">
        <v>459.16175210858398</v>
      </c>
    </row>
    <row r="17" spans="2:13">
      <c r="B17" s="5"/>
      <c r="C17" s="11"/>
      <c r="D17" s="86">
        <v>0.82000000000000006</v>
      </c>
      <c r="E17" s="61">
        <v>-808.34529999999995</v>
      </c>
      <c r="G17" s="42"/>
      <c r="H17" s="68"/>
      <c r="I17" s="68"/>
      <c r="J17" s="86">
        <v>0.66599999999999993</v>
      </c>
      <c r="K17" s="79">
        <v>461.65710448077101</v>
      </c>
      <c r="L17" s="78">
        <v>0.2853</v>
      </c>
      <c r="M17" s="61">
        <v>456.60240588706898</v>
      </c>
    </row>
    <row r="18" spans="2:13">
      <c r="B18" s="5"/>
      <c r="C18" s="11"/>
      <c r="D18" s="86">
        <v>0.8</v>
      </c>
      <c r="E18" s="61">
        <v>-878.41832999999997</v>
      </c>
      <c r="G18" s="42"/>
      <c r="H18" s="68"/>
      <c r="I18" s="68"/>
      <c r="J18" s="86">
        <v>0.64900000000000002</v>
      </c>
      <c r="K18" s="79">
        <v>459.96792577797402</v>
      </c>
      <c r="L18" s="78">
        <v>0.25280000000000002</v>
      </c>
      <c r="M18" s="61">
        <v>454.65084709626501</v>
      </c>
    </row>
    <row r="19" spans="2:13">
      <c r="B19" s="5"/>
      <c r="C19" s="11"/>
      <c r="D19" s="86">
        <v>0.78</v>
      </c>
      <c r="E19" s="61">
        <v>-943.1902</v>
      </c>
      <c r="G19" s="42"/>
      <c r="H19" s="68"/>
      <c r="I19" s="68"/>
      <c r="J19" s="86">
        <v>0.62480000000000002</v>
      </c>
      <c r="K19" s="79">
        <v>457.31933032617599</v>
      </c>
      <c r="L19" s="78">
        <v>0.22440000000000004</v>
      </c>
      <c r="M19" s="61">
        <v>452.73240467042802</v>
      </c>
    </row>
    <row r="20" spans="2:13">
      <c r="B20" s="5"/>
      <c r="C20" s="11"/>
      <c r="D20" s="86">
        <v>0.76</v>
      </c>
      <c r="E20" s="62">
        <v>-1002.4901</v>
      </c>
      <c r="G20" s="42"/>
      <c r="H20" s="68"/>
      <c r="I20" s="68"/>
      <c r="J20" s="86">
        <v>0.5857</v>
      </c>
      <c r="K20" s="79">
        <v>452.45956362359101</v>
      </c>
      <c r="L20" s="78">
        <v>0.17090000000000005</v>
      </c>
      <c r="M20" s="61">
        <v>448.386380257925</v>
      </c>
    </row>
    <row r="21" spans="2:13">
      <c r="B21" s="5"/>
      <c r="C21" s="11"/>
      <c r="D21" s="86">
        <v>0.74</v>
      </c>
      <c r="E21" s="62">
        <v>-1056.1824999999999</v>
      </c>
      <c r="G21" s="42"/>
      <c r="H21" s="68"/>
      <c r="I21" s="68"/>
      <c r="J21" s="86">
        <v>0.55430000000000001</v>
      </c>
      <c r="K21" s="79">
        <v>448.08413986033401</v>
      </c>
      <c r="L21" s="78">
        <v>0.13990000000000002</v>
      </c>
      <c r="M21" s="61">
        <v>445.242220323445</v>
      </c>
    </row>
    <row r="22" spans="2:13">
      <c r="B22" s="5"/>
      <c r="C22" s="11"/>
      <c r="D22" s="86">
        <v>0.72</v>
      </c>
      <c r="E22" s="62">
        <v>-1104.1615999999999</v>
      </c>
      <c r="G22" s="42"/>
      <c r="H22" s="68"/>
      <c r="I22" s="68"/>
      <c r="J22" s="86">
        <v>0.52829999999999999</v>
      </c>
      <c r="K22" s="79">
        <v>444.18671580005901</v>
      </c>
      <c r="L22" s="78">
        <v>0.11009999999999998</v>
      </c>
      <c r="M22" s="61">
        <v>441.54873653285</v>
      </c>
    </row>
    <row r="23" spans="2:13">
      <c r="B23" s="5"/>
      <c r="C23" s="11"/>
      <c r="D23" s="86">
        <v>0.7</v>
      </c>
      <c r="E23" s="62">
        <v>-1146.3468</v>
      </c>
      <c r="G23" s="42"/>
      <c r="H23" s="68"/>
      <c r="I23" s="68"/>
      <c r="J23" s="86">
        <v>0.51279999999999992</v>
      </c>
      <c r="K23" s="79">
        <v>441.76210350463202</v>
      </c>
      <c r="L23" s="78">
        <v>9.6300000000000052E-2</v>
      </c>
      <c r="M23" s="61">
        <v>439.52031201319602</v>
      </c>
    </row>
    <row r="24" spans="2:13">
      <c r="B24" s="5"/>
      <c r="C24" s="11"/>
      <c r="D24" s="86">
        <v>0.67999999999999994</v>
      </c>
      <c r="E24" s="62">
        <v>-1182.6799000000001</v>
      </c>
      <c r="G24" s="42"/>
      <c r="H24" s="68"/>
      <c r="I24" s="68"/>
      <c r="J24" s="86">
        <v>0.49429999999999996</v>
      </c>
      <c r="K24" s="79">
        <v>438.78424351419397</v>
      </c>
      <c r="L24" s="78">
        <v>8.2899999999999974E-2</v>
      </c>
      <c r="M24" s="61">
        <v>437.28384572493798</v>
      </c>
    </row>
    <row r="25" spans="2:13">
      <c r="B25" s="5"/>
      <c r="C25" s="11"/>
      <c r="D25" s="86">
        <v>0.65999999999999992</v>
      </c>
      <c r="E25" s="62">
        <v>-1213.1228000000001</v>
      </c>
      <c r="G25" s="42"/>
      <c r="H25" s="68"/>
      <c r="I25" s="68"/>
      <c r="J25" s="86">
        <v>0.44379999999999997</v>
      </c>
      <c r="K25" s="79">
        <v>430.31131191820799</v>
      </c>
      <c r="L25" s="78">
        <v>5.9599999999999986E-2</v>
      </c>
      <c r="M25" s="61">
        <v>432.48679045999199</v>
      </c>
    </row>
    <row r="26" spans="2:13">
      <c r="B26" s="5"/>
      <c r="C26" s="11"/>
      <c r="D26" s="86">
        <v>0.64</v>
      </c>
      <c r="E26" s="62">
        <v>-1237.6548</v>
      </c>
      <c r="G26" s="42"/>
      <c r="H26" s="68"/>
      <c r="I26" s="68"/>
      <c r="J26" s="86">
        <v>0.4022</v>
      </c>
      <c r="K26" s="79">
        <v>423.126340369785</v>
      </c>
      <c r="L26" s="78">
        <v>4.7699999999999965E-2</v>
      </c>
      <c r="M26" s="61">
        <v>429.35191331845198</v>
      </c>
    </row>
    <row r="27" spans="2:13">
      <c r="B27" s="5"/>
      <c r="C27" s="11"/>
      <c r="D27" s="86">
        <v>0.62</v>
      </c>
      <c r="E27" s="62">
        <v>-1256.2717</v>
      </c>
      <c r="G27" s="42"/>
      <c r="H27" s="68"/>
      <c r="I27" s="68"/>
      <c r="J27" s="86">
        <v>0.38590000000000002</v>
      </c>
      <c r="K27" s="79">
        <v>420.30091556812101</v>
      </c>
      <c r="L27" s="78">
        <v>4.3100000000000027E-2</v>
      </c>
      <c r="M27" s="61">
        <v>427.952554088667</v>
      </c>
    </row>
    <row r="28" spans="2:13" ht="15" thickBot="1">
      <c r="B28" s="23"/>
      <c r="C28" s="33"/>
      <c r="D28" s="86">
        <v>0.6</v>
      </c>
      <c r="E28" s="62">
        <v>-1268.9849999999999</v>
      </c>
      <c r="G28" s="42"/>
      <c r="H28" s="68"/>
      <c r="I28" s="68"/>
      <c r="J28" s="86">
        <v>0.36870000000000003</v>
      </c>
      <c r="K28" s="79">
        <v>417.32956290502199</v>
      </c>
      <c r="L28" s="78">
        <v>3.4900000000000042E-2</v>
      </c>
      <c r="M28" s="61">
        <v>425.09696904195999</v>
      </c>
    </row>
    <row r="29" spans="2:13">
      <c r="D29" s="86">
        <v>0.58000000000000007</v>
      </c>
      <c r="E29" s="62">
        <v>-1275.8208</v>
      </c>
      <c r="G29" s="42"/>
      <c r="H29" s="68"/>
      <c r="I29" s="68"/>
      <c r="J29" s="86">
        <v>0.33930000000000005</v>
      </c>
      <c r="K29" s="79">
        <v>412.30562763347098</v>
      </c>
      <c r="L29" s="78">
        <v>2.6900000000000035E-2</v>
      </c>
      <c r="M29" s="61">
        <v>421.679633398953</v>
      </c>
    </row>
    <row r="30" spans="2:13">
      <c r="D30" s="86">
        <v>0.56000000000000005</v>
      </c>
      <c r="E30" s="62">
        <v>-1276.8196</v>
      </c>
      <c r="G30" s="42"/>
      <c r="H30" s="68"/>
      <c r="I30" s="68"/>
      <c r="J30" s="86">
        <v>0.31730000000000003</v>
      </c>
      <c r="K30" s="79">
        <v>408.61866038782102</v>
      </c>
      <c r="L30" s="78">
        <v>2.090000000000003E-2</v>
      </c>
      <c r="M30" s="61">
        <v>418.47862403011601</v>
      </c>
    </row>
    <row r="31" spans="2:13">
      <c r="D31" s="86">
        <v>0.54</v>
      </c>
      <c r="E31" s="62">
        <v>-1272.0359000000001</v>
      </c>
      <c r="G31" s="42"/>
      <c r="H31" s="68"/>
      <c r="I31" s="68"/>
      <c r="J31" s="86">
        <v>0.29259999999999997</v>
      </c>
      <c r="K31" s="79">
        <v>404.582687444035</v>
      </c>
      <c r="L31" s="78">
        <v>1.0399999999999965E-2</v>
      </c>
      <c r="M31" s="61">
        <v>410.196155508804</v>
      </c>
    </row>
    <row r="32" spans="2:13">
      <c r="D32" s="86">
        <v>0.52</v>
      </c>
      <c r="E32" s="62">
        <v>-1261.5387000000001</v>
      </c>
      <c r="G32" s="42"/>
      <c r="H32" s="68"/>
      <c r="I32" s="68"/>
      <c r="J32" s="86">
        <v>0.26600000000000001</v>
      </c>
      <c r="K32" s="79">
        <v>400.39121553673499</v>
      </c>
      <c r="L32" s="78">
        <v>8.900000000000019E-3</v>
      </c>
      <c r="M32" s="61">
        <v>408.46158164321997</v>
      </c>
    </row>
    <row r="33" spans="4:13">
      <c r="D33" s="86">
        <v>0.5</v>
      </c>
      <c r="E33" s="62">
        <v>-1245.4117000000001</v>
      </c>
      <c r="G33" s="42"/>
      <c r="H33" s="68"/>
      <c r="I33" s="68"/>
      <c r="J33" s="86">
        <v>0.23950000000000005</v>
      </c>
      <c r="K33" s="79">
        <v>396.40956136915202</v>
      </c>
      <c r="L33" s="78">
        <v>6.8000000000000282E-3</v>
      </c>
      <c r="M33" s="61">
        <v>405.56192208414899</v>
      </c>
    </row>
    <row r="34" spans="4:13">
      <c r="D34" s="86">
        <v>0.48</v>
      </c>
      <c r="E34" s="62">
        <v>-1223.7544</v>
      </c>
      <c r="G34" s="42"/>
      <c r="H34" s="68"/>
      <c r="I34" s="68"/>
      <c r="J34" s="86">
        <v>0.17359999999999998</v>
      </c>
      <c r="K34" s="79">
        <v>387.55664749201702</v>
      </c>
      <c r="L34" s="78">
        <v>5.1999999999999824E-3</v>
      </c>
      <c r="M34" s="61">
        <v>402.79447094019997</v>
      </c>
    </row>
    <row r="35" spans="4:13">
      <c r="D35" s="86">
        <v>0.45999999999999996</v>
      </c>
      <c r="E35" s="62">
        <v>-1196.682</v>
      </c>
      <c r="G35" s="42"/>
      <c r="H35" s="68"/>
      <c r="I35" s="68"/>
      <c r="J35" s="86">
        <v>9.540000000000004E-2</v>
      </c>
      <c r="K35" s="79">
        <v>379.424805069184</v>
      </c>
      <c r="L35" s="78">
        <v>4.4999999999999485E-3</v>
      </c>
      <c r="M35" s="61">
        <v>401.35387682624003</v>
      </c>
    </row>
    <row r="36" spans="4:13">
      <c r="D36" s="86">
        <v>0.43999999999999995</v>
      </c>
      <c r="E36" s="62">
        <v>-1164.3279</v>
      </c>
      <c r="G36" s="42"/>
      <c r="H36" s="68"/>
      <c r="I36" s="68"/>
      <c r="J36" s="86">
        <v>6.6300000000000026E-2</v>
      </c>
      <c r="K36" s="79">
        <v>377.11424055719198</v>
      </c>
      <c r="L36" s="78">
        <v>3.3999999999999586E-3</v>
      </c>
      <c r="M36" s="61">
        <v>398.66284420602801</v>
      </c>
    </row>
    <row r="37" spans="4:13">
      <c r="D37" s="86">
        <v>0.42000000000000004</v>
      </c>
      <c r="E37" s="62">
        <v>-1126.8442</v>
      </c>
      <c r="G37" s="42"/>
      <c r="H37" s="68"/>
      <c r="I37" s="68"/>
      <c r="J37" s="86">
        <v>3.8699999999999957E-2</v>
      </c>
      <c r="K37" s="79">
        <v>375.25757394559798</v>
      </c>
      <c r="L37" s="78">
        <v>2.1999999999999797E-3</v>
      </c>
      <c r="M37" s="61">
        <v>394.75156859279798</v>
      </c>
    </row>
    <row r="38" spans="4:13" ht="15" thickBot="1">
      <c r="D38" s="86">
        <v>0.4</v>
      </c>
      <c r="E38" s="62">
        <v>-1084.4047</v>
      </c>
      <c r="G38" s="46"/>
      <c r="H38" s="69"/>
      <c r="I38" s="69"/>
      <c r="J38" s="143">
        <v>0</v>
      </c>
      <c r="K38" s="148">
        <v>373.07663722183901</v>
      </c>
      <c r="L38" s="80">
        <v>0</v>
      </c>
      <c r="M38" s="112">
        <v>373.07663722183599</v>
      </c>
    </row>
    <row r="39" spans="4:13">
      <c r="D39" s="86">
        <v>0.38</v>
      </c>
      <c r="E39" s="62">
        <v>-1037.2063000000001</v>
      </c>
    </row>
    <row r="40" spans="4:13">
      <c r="D40" s="86">
        <v>0.36</v>
      </c>
      <c r="E40" s="61">
        <v>-985.47313999999994</v>
      </c>
    </row>
    <row r="41" spans="4:13">
      <c r="D41" s="86">
        <v>0.33999999999999997</v>
      </c>
      <c r="E41" s="61">
        <v>-929.45960000000002</v>
      </c>
    </row>
    <row r="42" spans="4:13">
      <c r="D42" s="86">
        <v>0.31999999999999995</v>
      </c>
      <c r="E42" s="61">
        <v>-869.45529999999997</v>
      </c>
    </row>
    <row r="43" spans="4:13">
      <c r="D43" s="86">
        <v>0.30000000000000004</v>
      </c>
      <c r="E43" s="61">
        <v>-805.7912</v>
      </c>
    </row>
    <row r="44" spans="4:13">
      <c r="D44" s="86">
        <v>0.28000000000000003</v>
      </c>
      <c r="E44" s="61">
        <v>-738.84640000000002</v>
      </c>
    </row>
    <row r="45" spans="4:13">
      <c r="D45" s="86">
        <v>0.26</v>
      </c>
      <c r="E45" s="61">
        <v>-669.05809999999997</v>
      </c>
    </row>
    <row r="46" spans="4:13">
      <c r="D46" s="86">
        <v>0.24</v>
      </c>
      <c r="E46" s="61">
        <v>-596.93335000000002</v>
      </c>
    </row>
    <row r="47" spans="4:13">
      <c r="D47" s="86">
        <v>0.21999999999999997</v>
      </c>
      <c r="E47" s="61">
        <v>-523.06475999999998</v>
      </c>
    </row>
    <row r="48" spans="4:13">
      <c r="D48" s="86">
        <v>0.19999999999999996</v>
      </c>
      <c r="E48" s="61">
        <v>-448.15140000000002</v>
      </c>
    </row>
    <row r="49" spans="4:5">
      <c r="D49" s="86">
        <v>0.18000000000000005</v>
      </c>
      <c r="E49" s="61">
        <v>-373.02672999999999</v>
      </c>
    </row>
    <row r="50" spans="4:5">
      <c r="D50" s="86">
        <v>0.16000000000000003</v>
      </c>
      <c r="E50" s="61">
        <v>-298.69742000000002</v>
      </c>
    </row>
    <row r="51" spans="4:5">
      <c r="D51" s="86">
        <v>0.14000000000000001</v>
      </c>
      <c r="E51" s="61">
        <v>-226.39769999999999</v>
      </c>
    </row>
    <row r="52" spans="4:5">
      <c r="D52" s="86">
        <v>0.12</v>
      </c>
      <c r="E52" s="61">
        <v>-157.66898</v>
      </c>
    </row>
    <row r="53" spans="4:5">
      <c r="D53" s="86">
        <v>9.9999999999999978E-2</v>
      </c>
      <c r="E53" s="60">
        <v>-94.479060000000004</v>
      </c>
    </row>
    <row r="54" spans="4:5">
      <c r="D54" s="86">
        <v>7.999999999999996E-2</v>
      </c>
      <c r="E54" s="60">
        <v>-39.409669999999998</v>
      </c>
    </row>
    <row r="55" spans="4:5">
      <c r="D55" s="86">
        <v>6.0000000000000053E-2</v>
      </c>
      <c r="E55" s="94">
        <v>4.0339365000000003</v>
      </c>
    </row>
    <row r="56" spans="4:5">
      <c r="D56" s="86">
        <v>4.0000000000000036E-2</v>
      </c>
      <c r="E56" s="60">
        <v>30.877071000000001</v>
      </c>
    </row>
    <row r="57" spans="4:5">
      <c r="D57" s="86">
        <v>2.0000000000000018E-2</v>
      </c>
      <c r="E57" s="60">
        <v>33.626503</v>
      </c>
    </row>
    <row r="58" spans="4:5" ht="15" thickBot="1">
      <c r="D58" s="143">
        <v>0</v>
      </c>
      <c r="E58" s="144">
        <v>1.0841177000000001E-9</v>
      </c>
    </row>
  </sheetData>
  <mergeCells count="12">
    <mergeCell ref="G3:M3"/>
    <mergeCell ref="G2:M2"/>
    <mergeCell ref="G5:I5"/>
    <mergeCell ref="G6:I6"/>
    <mergeCell ref="J5:M6"/>
    <mergeCell ref="G4:M4"/>
    <mergeCell ref="B5:C5"/>
    <mergeCell ref="B6:C6"/>
    <mergeCell ref="B4:E4"/>
    <mergeCell ref="B3:E3"/>
    <mergeCell ref="B2:E2"/>
    <mergeCell ref="D5:E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57748-9F21-4DED-B47A-F78DA439828F}">
  <dimension ref="B1:W337"/>
  <sheetViews>
    <sheetView zoomScale="85" zoomScaleNormal="85" workbookViewId="0">
      <selection activeCell="B9" sqref="B9:I39"/>
    </sheetView>
  </sheetViews>
  <sheetFormatPr defaultRowHeight="14.5"/>
  <cols>
    <col min="1" max="1" width="8.7265625" style="1"/>
    <col min="2" max="9" width="17.1796875" style="1" customWidth="1"/>
    <col min="10" max="10" width="8.7265625" style="1"/>
    <col min="11" max="16" width="16.26953125" style="1" customWidth="1"/>
    <col min="17" max="17" width="8.7265625" style="1"/>
    <col min="18" max="23" width="16.26953125" style="1" customWidth="1"/>
    <col min="24" max="16384" width="8.7265625" style="1"/>
  </cols>
  <sheetData>
    <row r="1" spans="2:23" ht="15" thickBot="1"/>
    <row r="2" spans="2:23" s="4" customFormat="1">
      <c r="B2" s="227" t="s">
        <v>583</v>
      </c>
      <c r="C2" s="228"/>
      <c r="D2" s="228"/>
      <c r="E2" s="228"/>
      <c r="F2" s="228"/>
      <c r="G2" s="228"/>
      <c r="H2" s="228"/>
      <c r="I2" s="229"/>
      <c r="K2" s="227" t="s">
        <v>559</v>
      </c>
      <c r="L2" s="228"/>
      <c r="M2" s="228"/>
      <c r="N2" s="228"/>
      <c r="O2" s="228"/>
      <c r="P2" s="229"/>
      <c r="R2" s="227" t="s">
        <v>570</v>
      </c>
      <c r="S2" s="228"/>
      <c r="T2" s="228"/>
      <c r="U2" s="228"/>
      <c r="V2" s="228"/>
      <c r="W2" s="229"/>
    </row>
    <row r="3" spans="2:23" s="4" customFormat="1">
      <c r="B3" s="233" t="s">
        <v>563</v>
      </c>
      <c r="C3" s="234"/>
      <c r="D3" s="234"/>
      <c r="E3" s="234"/>
      <c r="F3" s="234"/>
      <c r="G3" s="234"/>
      <c r="H3" s="234"/>
      <c r="I3" s="235"/>
      <c r="K3" s="233" t="s">
        <v>565</v>
      </c>
      <c r="L3" s="234"/>
      <c r="M3" s="234"/>
      <c r="N3" s="234"/>
      <c r="O3" s="234"/>
      <c r="P3" s="235"/>
      <c r="R3" s="233" t="s">
        <v>571</v>
      </c>
      <c r="S3" s="234"/>
      <c r="T3" s="234"/>
      <c r="U3" s="234"/>
      <c r="V3" s="234"/>
      <c r="W3" s="235"/>
    </row>
    <row r="4" spans="2:23" s="4" customFormat="1">
      <c r="B4" s="233" t="s">
        <v>561</v>
      </c>
      <c r="C4" s="234"/>
      <c r="D4" s="234"/>
      <c r="E4" s="234"/>
      <c r="F4" s="234"/>
      <c r="G4" s="234"/>
      <c r="H4" s="234"/>
      <c r="I4" s="235"/>
      <c r="K4" s="233" t="s">
        <v>560</v>
      </c>
      <c r="L4" s="234"/>
      <c r="M4" s="234"/>
      <c r="N4" s="234"/>
      <c r="O4" s="234"/>
      <c r="P4" s="235"/>
      <c r="R4" s="233" t="s">
        <v>560</v>
      </c>
      <c r="S4" s="234"/>
      <c r="T4" s="234"/>
      <c r="U4" s="234"/>
      <c r="V4" s="234"/>
      <c r="W4" s="235"/>
    </row>
    <row r="5" spans="2:23" s="4" customFormat="1" ht="17" thickBot="1">
      <c r="B5" s="299" t="s">
        <v>562</v>
      </c>
      <c r="C5" s="300"/>
      <c r="D5" s="300"/>
      <c r="E5" s="300"/>
      <c r="F5" s="300"/>
      <c r="G5" s="300"/>
      <c r="H5" s="300"/>
      <c r="I5" s="301"/>
      <c r="K5" s="299" t="s">
        <v>569</v>
      </c>
      <c r="L5" s="300"/>
      <c r="M5" s="300"/>
      <c r="N5" s="300"/>
      <c r="O5" s="300"/>
      <c r="P5" s="301"/>
      <c r="R5" s="299" t="s">
        <v>572</v>
      </c>
      <c r="S5" s="300"/>
      <c r="T5" s="300"/>
      <c r="U5" s="300"/>
      <c r="V5" s="300"/>
      <c r="W5" s="301"/>
    </row>
    <row r="6" spans="2:23" ht="15" thickBot="1">
      <c r="B6" s="296" t="s">
        <v>397</v>
      </c>
      <c r="C6" s="297"/>
      <c r="D6" s="297"/>
      <c r="E6" s="297"/>
      <c r="F6" s="297"/>
      <c r="G6" s="297"/>
      <c r="H6" s="297"/>
      <c r="I6" s="298"/>
      <c r="K6" s="277" t="s">
        <v>408</v>
      </c>
      <c r="L6" s="278"/>
      <c r="M6" s="278"/>
      <c r="N6" s="278"/>
      <c r="O6" s="278"/>
      <c r="P6" s="279"/>
      <c r="R6" s="277" t="s">
        <v>408</v>
      </c>
      <c r="S6" s="278"/>
      <c r="T6" s="278"/>
      <c r="U6" s="278"/>
      <c r="V6" s="278"/>
      <c r="W6" s="279"/>
    </row>
    <row r="7" spans="2:23" ht="17" thickBot="1">
      <c r="B7" s="253" t="s">
        <v>564</v>
      </c>
      <c r="C7" s="255"/>
      <c r="D7" s="253" t="s">
        <v>400</v>
      </c>
      <c r="E7" s="255"/>
      <c r="F7" s="253" t="s">
        <v>402</v>
      </c>
      <c r="G7" s="255"/>
      <c r="H7" s="253" t="s">
        <v>401</v>
      </c>
      <c r="I7" s="255"/>
      <c r="K7" s="271" t="s">
        <v>566</v>
      </c>
      <c r="L7" s="273"/>
      <c r="M7" s="271" t="s">
        <v>567</v>
      </c>
      <c r="N7" s="273"/>
      <c r="O7" s="271" t="s">
        <v>568</v>
      </c>
      <c r="P7" s="273"/>
      <c r="R7" s="302" t="s">
        <v>574</v>
      </c>
      <c r="S7" s="273"/>
      <c r="T7" s="302" t="s">
        <v>573</v>
      </c>
      <c r="U7" s="273"/>
      <c r="V7" s="302" t="s">
        <v>575</v>
      </c>
      <c r="W7" s="273"/>
    </row>
    <row r="8" spans="2:23" ht="16.5">
      <c r="B8" s="31" t="s">
        <v>410</v>
      </c>
      <c r="C8" s="41" t="s">
        <v>428</v>
      </c>
      <c r="D8" s="31" t="s">
        <v>410</v>
      </c>
      <c r="E8" s="41" t="s">
        <v>428</v>
      </c>
      <c r="F8" s="31" t="s">
        <v>410</v>
      </c>
      <c r="G8" s="41" t="s">
        <v>428</v>
      </c>
      <c r="H8" s="31" t="s">
        <v>410</v>
      </c>
      <c r="I8" s="41" t="s">
        <v>428</v>
      </c>
      <c r="K8" s="35" t="s">
        <v>410</v>
      </c>
      <c r="L8" s="51" t="s">
        <v>428</v>
      </c>
      <c r="M8" s="35" t="s">
        <v>410</v>
      </c>
      <c r="N8" s="51" t="s">
        <v>428</v>
      </c>
      <c r="O8" s="35" t="s">
        <v>410</v>
      </c>
      <c r="P8" s="52" t="s">
        <v>428</v>
      </c>
      <c r="R8" s="35" t="s">
        <v>410</v>
      </c>
      <c r="S8" s="52" t="s">
        <v>428</v>
      </c>
      <c r="T8" s="35" t="s">
        <v>410</v>
      </c>
      <c r="U8" s="51" t="s">
        <v>428</v>
      </c>
      <c r="V8" s="35" t="s">
        <v>410</v>
      </c>
      <c r="W8" s="52" t="s">
        <v>428</v>
      </c>
    </row>
    <row r="9" spans="2:23">
      <c r="B9" s="5"/>
      <c r="C9" s="6"/>
      <c r="D9" s="5"/>
      <c r="E9" s="6"/>
      <c r="F9" s="5"/>
      <c r="G9" s="6"/>
      <c r="H9" s="5"/>
      <c r="I9" s="6"/>
      <c r="K9" s="89">
        <v>9.0784779999999992E-3</v>
      </c>
      <c r="L9" s="79">
        <v>250</v>
      </c>
      <c r="M9" s="89">
        <v>8.0125979999999992E-3</v>
      </c>
      <c r="N9" s="79">
        <v>250</v>
      </c>
      <c r="O9" s="89">
        <v>7.0797359999999997E-3</v>
      </c>
      <c r="P9" s="61">
        <v>250</v>
      </c>
      <c r="R9" s="88">
        <v>2.5381632000000001E-2</v>
      </c>
      <c r="S9" s="61">
        <v>250</v>
      </c>
      <c r="T9" s="89">
        <v>8.0125979999999992E-3</v>
      </c>
      <c r="U9" s="79">
        <v>250</v>
      </c>
      <c r="V9" s="89">
        <v>1.9674584999999998E-3</v>
      </c>
      <c r="W9" s="61">
        <v>250</v>
      </c>
    </row>
    <row r="10" spans="2:23">
      <c r="B10" s="5"/>
      <c r="C10" s="6"/>
      <c r="D10" s="5"/>
      <c r="E10" s="6"/>
      <c r="F10" s="5"/>
      <c r="G10" s="6"/>
      <c r="H10" s="5"/>
      <c r="I10" s="6"/>
      <c r="K10" s="89">
        <v>9.5402439999999998E-3</v>
      </c>
      <c r="L10" s="79">
        <v>251</v>
      </c>
      <c r="M10" s="89">
        <v>8.4323469999999998E-3</v>
      </c>
      <c r="N10" s="79">
        <v>251</v>
      </c>
      <c r="O10" s="89">
        <v>7.4610136999999997E-3</v>
      </c>
      <c r="P10" s="61">
        <v>251</v>
      </c>
      <c r="R10" s="88">
        <v>2.6122469999999998E-2</v>
      </c>
      <c r="S10" s="61">
        <v>251</v>
      </c>
      <c r="T10" s="89">
        <v>8.4323469999999998E-3</v>
      </c>
      <c r="U10" s="79">
        <v>251</v>
      </c>
      <c r="V10" s="89">
        <v>2.1005684999999999E-3</v>
      </c>
      <c r="W10" s="61">
        <v>251</v>
      </c>
    </row>
    <row r="11" spans="2:23">
      <c r="B11" s="5"/>
      <c r="C11" s="6"/>
      <c r="D11" s="5"/>
      <c r="E11" s="6"/>
      <c r="F11" s="5"/>
      <c r="G11" s="6"/>
      <c r="H11" s="5"/>
      <c r="I11" s="6"/>
      <c r="K11" s="89">
        <v>1.0001395E-2</v>
      </c>
      <c r="L11" s="79">
        <v>252</v>
      </c>
      <c r="M11" s="89">
        <v>8.8522199999999992E-3</v>
      </c>
      <c r="N11" s="79">
        <v>252</v>
      </c>
      <c r="O11" s="89">
        <v>7.8424110000000005E-3</v>
      </c>
      <c r="P11" s="61">
        <v>252</v>
      </c>
      <c r="R11" s="88">
        <v>2.6863425999999999E-2</v>
      </c>
      <c r="S11" s="61">
        <v>252</v>
      </c>
      <c r="T11" s="89">
        <v>8.8522199999999992E-3</v>
      </c>
      <c r="U11" s="79">
        <v>252</v>
      </c>
      <c r="V11" s="89">
        <v>2.2425741999999999E-3</v>
      </c>
      <c r="W11" s="61">
        <v>252</v>
      </c>
    </row>
    <row r="12" spans="2:23" ht="15" thickBot="1">
      <c r="B12" s="23"/>
      <c r="C12" s="26"/>
      <c r="D12" s="5"/>
      <c r="E12" s="6"/>
      <c r="F12" s="5"/>
      <c r="G12" s="6"/>
      <c r="H12" s="5"/>
      <c r="I12" s="6"/>
      <c r="K12" s="89">
        <v>1.0468364000000001E-2</v>
      </c>
      <c r="L12" s="79">
        <v>253</v>
      </c>
      <c r="M12" s="89">
        <v>9.2777239999999993E-3</v>
      </c>
      <c r="N12" s="79">
        <v>253</v>
      </c>
      <c r="O12" s="89">
        <v>8.2292259999999992E-3</v>
      </c>
      <c r="P12" s="61">
        <v>253</v>
      </c>
      <c r="R12" s="88">
        <v>2.7612108999999999E-2</v>
      </c>
      <c r="S12" s="61">
        <v>253</v>
      </c>
      <c r="T12" s="89">
        <v>9.2777239999999993E-3</v>
      </c>
      <c r="U12" s="79">
        <v>253</v>
      </c>
      <c r="V12" s="89">
        <v>2.3905768E-3</v>
      </c>
      <c r="W12" s="61">
        <v>253</v>
      </c>
    </row>
    <row r="13" spans="2:23">
      <c r="D13" s="5"/>
      <c r="E13" s="6"/>
      <c r="F13" s="5"/>
      <c r="G13" s="6"/>
      <c r="H13" s="5"/>
      <c r="I13" s="6"/>
      <c r="K13" s="89">
        <v>1.0959927E-2</v>
      </c>
      <c r="L13" s="79">
        <v>254</v>
      </c>
      <c r="M13" s="89">
        <v>9.7270399999999993E-3</v>
      </c>
      <c r="N13" s="79">
        <v>254</v>
      </c>
      <c r="O13" s="89">
        <v>8.6389729999999994E-3</v>
      </c>
      <c r="P13" s="61">
        <v>254</v>
      </c>
      <c r="R13" s="88">
        <v>2.8386209999999999E-2</v>
      </c>
      <c r="S13" s="61">
        <v>254</v>
      </c>
      <c r="T13" s="89">
        <v>9.7270399999999993E-3</v>
      </c>
      <c r="U13" s="79">
        <v>254</v>
      </c>
      <c r="V13" s="89">
        <v>2.5476221999999999E-3</v>
      </c>
      <c r="W13" s="61">
        <v>254</v>
      </c>
    </row>
    <row r="14" spans="2:23">
      <c r="D14" s="5"/>
      <c r="E14" s="6"/>
      <c r="F14" s="5"/>
      <c r="G14" s="6"/>
      <c r="H14" s="5"/>
      <c r="I14" s="6"/>
      <c r="K14" s="89">
        <v>1.1468974E-2</v>
      </c>
      <c r="L14" s="79">
        <v>255</v>
      </c>
      <c r="M14" s="89">
        <v>1.019334E-2</v>
      </c>
      <c r="N14" s="79">
        <v>255</v>
      </c>
      <c r="O14" s="89">
        <v>9.0651369999999992E-3</v>
      </c>
      <c r="P14" s="61">
        <v>255</v>
      </c>
      <c r="R14" s="88">
        <v>2.9160309999999998E-2</v>
      </c>
      <c r="S14" s="61">
        <v>255</v>
      </c>
      <c r="T14" s="89">
        <v>1.019334E-2</v>
      </c>
      <c r="U14" s="79">
        <v>255</v>
      </c>
      <c r="V14" s="89">
        <v>2.7153373000000001E-3</v>
      </c>
      <c r="W14" s="61">
        <v>255</v>
      </c>
    </row>
    <row r="15" spans="2:23" ht="15" thickBot="1">
      <c r="D15" s="5"/>
      <c r="E15" s="6"/>
      <c r="F15" s="23"/>
      <c r="G15" s="26"/>
      <c r="H15" s="5"/>
      <c r="I15" s="6"/>
      <c r="K15" s="89">
        <v>1.1989806E-2</v>
      </c>
      <c r="L15" s="79">
        <v>256</v>
      </c>
      <c r="M15" s="89">
        <v>1.0671107000000001E-2</v>
      </c>
      <c r="N15" s="79">
        <v>256</v>
      </c>
      <c r="O15" s="89">
        <v>9.5024099999999993E-3</v>
      </c>
      <c r="P15" s="61">
        <v>256</v>
      </c>
      <c r="R15" s="88">
        <v>2.9959062000000002E-2</v>
      </c>
      <c r="S15" s="61">
        <v>256</v>
      </c>
      <c r="T15" s="89">
        <v>1.0671107000000001E-2</v>
      </c>
      <c r="U15" s="79">
        <v>256</v>
      </c>
      <c r="V15" s="89">
        <v>2.8911503E-3</v>
      </c>
      <c r="W15" s="61">
        <v>256</v>
      </c>
    </row>
    <row r="16" spans="2:23" ht="15" thickBot="1">
      <c r="D16" s="5"/>
      <c r="E16" s="6"/>
      <c r="H16" s="23"/>
      <c r="I16" s="26"/>
      <c r="K16" s="89">
        <v>1.2523182000000001E-2</v>
      </c>
      <c r="L16" s="79">
        <v>257</v>
      </c>
      <c r="M16" s="89">
        <v>1.1161088E-2</v>
      </c>
      <c r="N16" s="79">
        <v>257</v>
      </c>
      <c r="O16" s="89">
        <v>9.9515249999999993E-3</v>
      </c>
      <c r="P16" s="61">
        <v>257</v>
      </c>
      <c r="R16" s="88">
        <v>3.0785333000000002E-2</v>
      </c>
      <c r="S16" s="61">
        <v>257</v>
      </c>
      <c r="T16" s="89">
        <v>1.1161088E-2</v>
      </c>
      <c r="U16" s="79">
        <v>257</v>
      </c>
      <c r="V16" s="89">
        <v>3.0749058E-3</v>
      </c>
      <c r="W16" s="61">
        <v>257</v>
      </c>
    </row>
    <row r="17" spans="4:23">
      <c r="D17" s="5"/>
      <c r="E17" s="6"/>
      <c r="K17" s="89">
        <v>1.3074987999999999E-2</v>
      </c>
      <c r="L17" s="79">
        <v>258</v>
      </c>
      <c r="M17" s="89">
        <v>1.1669042500000001E-2</v>
      </c>
      <c r="N17" s="79">
        <v>258</v>
      </c>
      <c r="O17" s="89">
        <v>1.0418103E-2</v>
      </c>
      <c r="P17" s="61">
        <v>258</v>
      </c>
      <c r="R17" s="88">
        <v>3.1611606E-2</v>
      </c>
      <c r="S17" s="61">
        <v>258</v>
      </c>
      <c r="T17" s="89">
        <v>1.1669042500000001E-2</v>
      </c>
      <c r="U17" s="79">
        <v>258</v>
      </c>
      <c r="V17" s="89">
        <v>3.2709766999999999E-3</v>
      </c>
      <c r="W17" s="61">
        <v>258</v>
      </c>
    </row>
    <row r="18" spans="4:23">
      <c r="D18" s="5"/>
      <c r="E18" s="6"/>
      <c r="K18" s="89">
        <v>1.3641288499999999E-2</v>
      </c>
      <c r="L18" s="79">
        <v>259</v>
      </c>
      <c r="M18" s="89">
        <v>1.2191156E-2</v>
      </c>
      <c r="N18" s="79">
        <v>259</v>
      </c>
      <c r="O18" s="89">
        <v>1.0898466000000001E-2</v>
      </c>
      <c r="P18" s="61">
        <v>259</v>
      </c>
      <c r="R18" s="88">
        <v>3.2437875999999997E-2</v>
      </c>
      <c r="S18" s="61">
        <v>259</v>
      </c>
      <c r="T18" s="89">
        <v>1.2191156E-2</v>
      </c>
      <c r="U18" s="79">
        <v>259</v>
      </c>
      <c r="V18" s="89">
        <v>3.4792575000000001E-3</v>
      </c>
      <c r="W18" s="61">
        <v>259</v>
      </c>
    </row>
    <row r="19" spans="4:23">
      <c r="D19" s="5"/>
      <c r="E19" s="6"/>
      <c r="K19" s="89">
        <v>1.4223609999999999E-2</v>
      </c>
      <c r="L19" s="79">
        <v>260</v>
      </c>
      <c r="M19" s="89">
        <v>1.2728936999999999E-2</v>
      </c>
      <c r="N19" s="79">
        <v>260</v>
      </c>
      <c r="O19" s="89">
        <v>1.1394107000000001E-2</v>
      </c>
      <c r="P19" s="61">
        <v>260</v>
      </c>
      <c r="R19" s="88">
        <v>3.3264145000000002E-2</v>
      </c>
      <c r="S19" s="61">
        <v>260</v>
      </c>
      <c r="T19" s="89">
        <v>1.2728936999999999E-2</v>
      </c>
      <c r="U19" s="79">
        <v>260</v>
      </c>
      <c r="V19" s="89">
        <v>3.6958654000000001E-3</v>
      </c>
      <c r="W19" s="61">
        <v>260</v>
      </c>
    </row>
    <row r="20" spans="4:23">
      <c r="D20" s="5"/>
      <c r="E20" s="6"/>
      <c r="K20" s="89">
        <v>1.4826396E-2</v>
      </c>
      <c r="L20" s="79">
        <v>261</v>
      </c>
      <c r="M20" s="89">
        <v>1.3286744E-2</v>
      </c>
      <c r="N20" s="79">
        <v>261</v>
      </c>
      <c r="O20" s="89">
        <v>1.1909292E-2</v>
      </c>
      <c r="P20" s="61">
        <v>261</v>
      </c>
      <c r="R20" s="88">
        <v>3.4090420000000003E-2</v>
      </c>
      <c r="S20" s="61">
        <v>261</v>
      </c>
      <c r="T20" s="89">
        <v>1.3286744E-2</v>
      </c>
      <c r="U20" s="79">
        <v>261</v>
      </c>
      <c r="V20" s="89">
        <v>3.9227960000000001E-3</v>
      </c>
      <c r="W20" s="61">
        <v>261</v>
      </c>
    </row>
    <row r="21" spans="4:23">
      <c r="D21" s="5"/>
      <c r="E21" s="6"/>
      <c r="K21" s="89">
        <v>1.5429181E-2</v>
      </c>
      <c r="L21" s="79">
        <v>262</v>
      </c>
      <c r="M21" s="89">
        <v>1.38445515E-2</v>
      </c>
      <c r="N21" s="79">
        <v>262</v>
      </c>
      <c r="O21" s="89">
        <v>1.2424477999999999E-2</v>
      </c>
      <c r="P21" s="61">
        <v>262</v>
      </c>
      <c r="R21" s="88">
        <v>3.4959360000000002E-2</v>
      </c>
      <c r="S21" s="61">
        <v>262</v>
      </c>
      <c r="T21" s="89">
        <v>1.38445515E-2</v>
      </c>
      <c r="U21" s="79">
        <v>262</v>
      </c>
      <c r="V21" s="89">
        <v>4.1651073999999996E-3</v>
      </c>
      <c r="W21" s="61">
        <v>262</v>
      </c>
    </row>
    <row r="22" spans="4:23">
      <c r="D22" s="5"/>
      <c r="E22" s="6"/>
      <c r="K22" s="89">
        <v>1.6055329E-2</v>
      </c>
      <c r="L22" s="79">
        <v>263</v>
      </c>
      <c r="M22" s="89">
        <v>1.4425261E-2</v>
      </c>
      <c r="N22" s="79">
        <v>263</v>
      </c>
      <c r="O22" s="89">
        <v>1.2953647E-2</v>
      </c>
      <c r="P22" s="61">
        <v>263</v>
      </c>
      <c r="R22" s="88">
        <v>3.5857208000000002E-2</v>
      </c>
      <c r="S22" s="61">
        <v>263</v>
      </c>
      <c r="T22" s="89">
        <v>1.4425261E-2</v>
      </c>
      <c r="U22" s="79">
        <v>263</v>
      </c>
      <c r="V22" s="89">
        <v>4.4178426999999998E-3</v>
      </c>
      <c r="W22" s="61">
        <v>263</v>
      </c>
    </row>
    <row r="23" spans="4:23">
      <c r="D23" s="5"/>
      <c r="E23" s="6"/>
      <c r="K23" s="89">
        <v>1.6699024E-2</v>
      </c>
      <c r="L23" s="79">
        <v>264</v>
      </c>
      <c r="M23" s="89">
        <v>1.5023170000000001E-2</v>
      </c>
      <c r="N23" s="79">
        <v>264</v>
      </c>
      <c r="O23" s="89">
        <v>1.3504789999999999E-2</v>
      </c>
      <c r="P23" s="61">
        <v>264</v>
      </c>
      <c r="R23" s="88">
        <v>3.6755055000000002E-2</v>
      </c>
      <c r="S23" s="61">
        <v>264</v>
      </c>
      <c r="T23" s="89">
        <v>1.5023170000000001E-2</v>
      </c>
      <c r="U23" s="79">
        <v>264</v>
      </c>
      <c r="V23" s="89">
        <v>4.6803139999999997E-3</v>
      </c>
      <c r="W23" s="61">
        <v>264</v>
      </c>
    </row>
    <row r="24" spans="4:23">
      <c r="D24" s="5"/>
      <c r="E24" s="6"/>
      <c r="K24" s="89">
        <v>1.7342716000000001E-2</v>
      </c>
      <c r="L24" s="79">
        <v>265</v>
      </c>
      <c r="M24" s="89">
        <v>1.5621080000000001E-2</v>
      </c>
      <c r="N24" s="79">
        <v>265</v>
      </c>
      <c r="O24" s="89">
        <v>1.4069049E-2</v>
      </c>
      <c r="P24" s="61">
        <v>265</v>
      </c>
      <c r="R24" s="88">
        <v>3.7652902000000002E-2</v>
      </c>
      <c r="S24" s="61">
        <v>265</v>
      </c>
      <c r="T24" s="89">
        <v>1.5621080000000001E-2</v>
      </c>
      <c r="U24" s="79">
        <v>265</v>
      </c>
      <c r="V24" s="89">
        <v>4.9578579999999999E-3</v>
      </c>
      <c r="W24" s="61">
        <v>265</v>
      </c>
    </row>
    <row r="25" spans="4:23" ht="15" thickBot="1">
      <c r="D25" s="23"/>
      <c r="E25" s="26"/>
      <c r="K25" s="89">
        <v>1.8019604000000002E-2</v>
      </c>
      <c r="L25" s="79">
        <v>266</v>
      </c>
      <c r="M25" s="89">
        <v>1.6251572999999998E-2</v>
      </c>
      <c r="N25" s="79">
        <v>266</v>
      </c>
      <c r="O25" s="89">
        <v>1.4649285E-2</v>
      </c>
      <c r="P25" s="61">
        <v>266</v>
      </c>
      <c r="R25" s="88">
        <v>3.8550750000000002E-2</v>
      </c>
      <c r="S25" s="61">
        <v>266</v>
      </c>
      <c r="T25" s="89">
        <v>1.6251572999999998E-2</v>
      </c>
      <c r="U25" s="79">
        <v>266</v>
      </c>
      <c r="V25" s="89">
        <v>5.251019E-3</v>
      </c>
      <c r="W25" s="61">
        <v>266</v>
      </c>
    </row>
    <row r="26" spans="4:23">
      <c r="K26" s="89">
        <v>1.8704249999999999E-2</v>
      </c>
      <c r="L26" s="79">
        <v>267</v>
      </c>
      <c r="M26" s="89">
        <v>1.6889683999999999E-2</v>
      </c>
      <c r="N26" s="79">
        <v>267</v>
      </c>
      <c r="O26" s="89">
        <v>1.52417505E-2</v>
      </c>
      <c r="P26" s="61">
        <v>267</v>
      </c>
      <c r="R26" s="88">
        <v>3.9448597000000002E-2</v>
      </c>
      <c r="S26" s="61">
        <v>267</v>
      </c>
      <c r="T26" s="89">
        <v>1.6889683999999999E-2</v>
      </c>
      <c r="U26" s="79">
        <v>267</v>
      </c>
      <c r="V26" s="89">
        <v>5.5549005000000004E-3</v>
      </c>
      <c r="W26" s="61">
        <v>267</v>
      </c>
    </row>
    <row r="27" spans="4:23">
      <c r="K27" s="89">
        <v>1.9390939999999999E-2</v>
      </c>
      <c r="L27" s="79">
        <v>268</v>
      </c>
      <c r="M27" s="89">
        <v>1.7529804E-2</v>
      </c>
      <c r="N27" s="79">
        <v>268</v>
      </c>
      <c r="O27" s="89">
        <v>1.5846450000000002E-2</v>
      </c>
      <c r="P27" s="61">
        <v>268</v>
      </c>
      <c r="R27" s="88">
        <v>4.0398530000000002E-2</v>
      </c>
      <c r="S27" s="61">
        <v>268</v>
      </c>
      <c r="T27" s="89">
        <v>1.7529804E-2</v>
      </c>
      <c r="U27" s="79">
        <v>268</v>
      </c>
      <c r="V27" s="89">
        <v>5.8705019999999997E-3</v>
      </c>
      <c r="W27" s="61">
        <v>268</v>
      </c>
    </row>
    <row r="28" spans="4:23">
      <c r="K28" s="89">
        <v>2.0116539999999999E-2</v>
      </c>
      <c r="L28" s="79">
        <v>269</v>
      </c>
      <c r="M28" s="89">
        <v>1.8208151999999998E-2</v>
      </c>
      <c r="N28" s="79">
        <v>269</v>
      </c>
      <c r="O28" s="89">
        <v>1.6469922000000001E-2</v>
      </c>
      <c r="P28" s="61">
        <v>269</v>
      </c>
      <c r="R28" s="88">
        <v>4.1368740000000001E-2</v>
      </c>
      <c r="S28" s="61">
        <v>269</v>
      </c>
      <c r="T28" s="89">
        <v>1.8208151999999998E-2</v>
      </c>
      <c r="U28" s="79">
        <v>269</v>
      </c>
      <c r="V28" s="89">
        <v>6.2045967000000004E-3</v>
      </c>
      <c r="W28" s="61">
        <v>269</v>
      </c>
    </row>
    <row r="29" spans="4:23">
      <c r="K29" s="89">
        <v>2.0842138999999999E-2</v>
      </c>
      <c r="L29" s="79">
        <v>270</v>
      </c>
      <c r="M29" s="89">
        <v>1.8886500000000001E-2</v>
      </c>
      <c r="N29" s="79">
        <v>270</v>
      </c>
      <c r="O29" s="89">
        <v>1.711325E-2</v>
      </c>
      <c r="P29" s="61">
        <v>270</v>
      </c>
      <c r="R29" s="88">
        <v>4.2338951999999999E-2</v>
      </c>
      <c r="S29" s="61">
        <v>270</v>
      </c>
      <c r="T29" s="89">
        <v>1.8886500000000001E-2</v>
      </c>
      <c r="U29" s="79">
        <v>270</v>
      </c>
      <c r="V29" s="89">
        <v>6.5521043999999997E-3</v>
      </c>
      <c r="W29" s="61">
        <v>270</v>
      </c>
    </row>
    <row r="30" spans="4:23">
      <c r="K30" s="89">
        <v>2.1576623E-2</v>
      </c>
      <c r="L30" s="79">
        <v>271</v>
      </c>
      <c r="M30" s="89">
        <v>1.9573574999999999E-2</v>
      </c>
      <c r="N30" s="79">
        <v>271</v>
      </c>
      <c r="O30" s="89">
        <v>1.7766375000000001E-2</v>
      </c>
      <c r="P30" s="61">
        <v>271</v>
      </c>
      <c r="R30" s="88">
        <v>4.3309162999999998E-2</v>
      </c>
      <c r="S30" s="61">
        <v>271</v>
      </c>
      <c r="T30" s="89">
        <v>1.9573574999999999E-2</v>
      </c>
      <c r="U30" s="79">
        <v>271</v>
      </c>
      <c r="V30" s="89">
        <v>6.9106714999999999E-3</v>
      </c>
      <c r="W30" s="61">
        <v>271</v>
      </c>
    </row>
    <row r="31" spans="4:23">
      <c r="K31" s="89">
        <v>2.2332923000000001E-2</v>
      </c>
      <c r="L31" s="79">
        <v>272</v>
      </c>
      <c r="M31" s="89">
        <v>2.0282093000000001E-2</v>
      </c>
      <c r="N31" s="79">
        <v>272</v>
      </c>
      <c r="O31" s="89">
        <v>1.8419499999999998E-2</v>
      </c>
      <c r="P31" s="61">
        <v>272</v>
      </c>
      <c r="R31" s="88">
        <v>4.4279369999999998E-2</v>
      </c>
      <c r="S31" s="61">
        <v>272</v>
      </c>
      <c r="T31" s="89">
        <v>2.0282093000000001E-2</v>
      </c>
      <c r="U31" s="79">
        <v>272</v>
      </c>
      <c r="V31" s="89">
        <v>7.2863829999999996E-3</v>
      </c>
      <c r="W31" s="61">
        <v>272</v>
      </c>
    </row>
    <row r="32" spans="4:23">
      <c r="K32" s="89">
        <v>2.3107821000000001E-2</v>
      </c>
      <c r="L32" s="79">
        <v>273</v>
      </c>
      <c r="M32" s="89">
        <v>2.1008886000000001E-2</v>
      </c>
      <c r="N32" s="79">
        <v>273</v>
      </c>
      <c r="O32" s="89">
        <v>1.9108561999999999E-2</v>
      </c>
      <c r="P32" s="61">
        <v>273</v>
      </c>
      <c r="R32" s="88">
        <v>4.5249579999999998E-2</v>
      </c>
      <c r="S32" s="61">
        <v>273</v>
      </c>
      <c r="T32" s="89">
        <v>2.1008886000000001E-2</v>
      </c>
      <c r="U32" s="79">
        <v>273</v>
      </c>
      <c r="V32" s="89">
        <v>7.6806620000000004E-3</v>
      </c>
      <c r="W32" s="61">
        <v>273</v>
      </c>
    </row>
    <row r="33" spans="11:23">
      <c r="K33" s="89">
        <v>2.3900795999999998E-2</v>
      </c>
      <c r="L33" s="79">
        <v>274</v>
      </c>
      <c r="M33" s="89">
        <v>2.1753443000000001E-2</v>
      </c>
      <c r="N33" s="79">
        <v>274</v>
      </c>
      <c r="O33" s="89">
        <v>1.9801217999999999E-2</v>
      </c>
      <c r="P33" s="61">
        <v>274</v>
      </c>
      <c r="R33" s="88">
        <v>4.6281575999999998E-2</v>
      </c>
      <c r="S33" s="61">
        <v>274</v>
      </c>
      <c r="T33" s="89">
        <v>2.1753443000000001E-2</v>
      </c>
      <c r="U33" s="79">
        <v>274</v>
      </c>
      <c r="V33" s="89">
        <v>8.087739E-3</v>
      </c>
      <c r="W33" s="61">
        <v>274</v>
      </c>
    </row>
    <row r="34" spans="11:23">
      <c r="K34" s="89">
        <v>2.4708224000000001E-2</v>
      </c>
      <c r="L34" s="79">
        <v>275</v>
      </c>
      <c r="M34" s="89">
        <v>2.2512200999999999E-2</v>
      </c>
      <c r="N34" s="79">
        <v>275</v>
      </c>
      <c r="O34" s="89">
        <v>2.0499738E-2</v>
      </c>
      <c r="P34" s="61">
        <v>275</v>
      </c>
      <c r="R34" s="88">
        <v>4.7325045000000003E-2</v>
      </c>
      <c r="S34" s="61">
        <v>275</v>
      </c>
      <c r="T34" s="89">
        <v>2.2512200999999999E-2</v>
      </c>
      <c r="U34" s="79">
        <v>275</v>
      </c>
      <c r="V34" s="89">
        <v>8.5081889999999993E-3</v>
      </c>
      <c r="W34" s="61">
        <v>275</v>
      </c>
    </row>
    <row r="35" spans="11:23">
      <c r="K35" s="89">
        <v>2.5515652999999999E-2</v>
      </c>
      <c r="L35" s="79">
        <v>276</v>
      </c>
      <c r="M35" s="89">
        <v>2.3270959000000001E-2</v>
      </c>
      <c r="N35" s="79">
        <v>276</v>
      </c>
      <c r="O35" s="89">
        <v>2.1231888000000001E-2</v>
      </c>
      <c r="P35" s="61">
        <v>276</v>
      </c>
      <c r="R35" s="88">
        <v>4.8368510000000003E-2</v>
      </c>
      <c r="S35" s="61">
        <v>276</v>
      </c>
      <c r="T35" s="89">
        <v>2.3270959000000001E-2</v>
      </c>
      <c r="U35" s="79">
        <v>276</v>
      </c>
      <c r="V35" s="89">
        <v>8.9472679999999995E-3</v>
      </c>
      <c r="W35" s="61">
        <v>276</v>
      </c>
    </row>
    <row r="36" spans="11:23">
      <c r="K36" s="89">
        <v>2.6354477000000001E-2</v>
      </c>
      <c r="L36" s="79">
        <v>277</v>
      </c>
      <c r="M36" s="89">
        <v>2.406055E-2</v>
      </c>
      <c r="N36" s="79">
        <v>277</v>
      </c>
      <c r="O36" s="89">
        <v>2.1964040000000001E-2</v>
      </c>
      <c r="P36" s="61">
        <v>277</v>
      </c>
      <c r="R36" s="88">
        <v>4.9411974999999997E-2</v>
      </c>
      <c r="S36" s="61">
        <v>277</v>
      </c>
      <c r="T36" s="89">
        <v>2.406055E-2</v>
      </c>
      <c r="U36" s="79">
        <v>277</v>
      </c>
      <c r="V36" s="89">
        <v>9.4034270000000007E-3</v>
      </c>
      <c r="W36" s="61">
        <v>277</v>
      </c>
    </row>
    <row r="37" spans="11:23">
      <c r="K37" s="89">
        <v>2.7202773999999999E-2</v>
      </c>
      <c r="L37" s="79">
        <v>278</v>
      </c>
      <c r="M37" s="89">
        <v>2.4859447E-2</v>
      </c>
      <c r="N37" s="79">
        <v>278</v>
      </c>
      <c r="O37" s="89">
        <v>2.2711486999999999E-2</v>
      </c>
      <c r="P37" s="61">
        <v>278</v>
      </c>
      <c r="R37" s="88">
        <v>5.0455439999999997E-2</v>
      </c>
      <c r="S37" s="61">
        <v>278</v>
      </c>
      <c r="T37" s="89">
        <v>2.4859447E-2</v>
      </c>
      <c r="U37" s="79">
        <v>278</v>
      </c>
      <c r="V37" s="89">
        <v>9.8712859999999999E-3</v>
      </c>
      <c r="W37" s="61">
        <v>278</v>
      </c>
    </row>
    <row r="38" spans="11:23">
      <c r="K38" s="89">
        <v>2.8051383999999999E-2</v>
      </c>
      <c r="L38" s="79">
        <v>279</v>
      </c>
      <c r="M38" s="89">
        <v>2.5658647999999999E-2</v>
      </c>
      <c r="N38" s="79">
        <v>279</v>
      </c>
      <c r="O38" s="89">
        <v>2.3483074999999999E-2</v>
      </c>
      <c r="P38" s="61">
        <v>279</v>
      </c>
      <c r="R38" s="88">
        <v>5.1498904999999998E-2</v>
      </c>
      <c r="S38" s="61">
        <v>279</v>
      </c>
      <c r="T38" s="89">
        <v>2.5658647999999999E-2</v>
      </c>
      <c r="U38" s="79">
        <v>279</v>
      </c>
      <c r="V38" s="89">
        <v>1.035752E-2</v>
      </c>
      <c r="W38" s="61">
        <v>279</v>
      </c>
    </row>
    <row r="39" spans="11:23">
      <c r="K39" s="89">
        <v>2.8940534E-2</v>
      </c>
      <c r="L39" s="79">
        <v>280</v>
      </c>
      <c r="M39" s="89">
        <v>2.6497638E-2</v>
      </c>
      <c r="N39" s="79">
        <v>280</v>
      </c>
      <c r="O39" s="89">
        <v>2.4254665000000002E-2</v>
      </c>
      <c r="P39" s="61">
        <v>280</v>
      </c>
      <c r="R39" s="88">
        <v>5.2596102999999998E-2</v>
      </c>
      <c r="S39" s="61">
        <v>280</v>
      </c>
      <c r="T39" s="89">
        <v>2.6497638E-2</v>
      </c>
      <c r="U39" s="79">
        <v>280</v>
      </c>
      <c r="V39" s="89">
        <v>1.0864198E-2</v>
      </c>
      <c r="W39" s="61">
        <v>280</v>
      </c>
    </row>
    <row r="40" spans="11:23">
      <c r="K40" s="89">
        <v>2.9829685000000002E-2</v>
      </c>
      <c r="L40" s="79">
        <v>281</v>
      </c>
      <c r="M40" s="89">
        <v>2.7336626999999999E-2</v>
      </c>
      <c r="N40" s="79">
        <v>281</v>
      </c>
      <c r="O40" s="89">
        <v>2.5044782000000002E-2</v>
      </c>
      <c r="P40" s="61">
        <v>281</v>
      </c>
      <c r="R40" s="88">
        <v>5.3695134999999998E-2</v>
      </c>
      <c r="S40" s="61">
        <v>281</v>
      </c>
      <c r="T40" s="89">
        <v>2.7336626999999999E-2</v>
      </c>
      <c r="U40" s="79">
        <v>281</v>
      </c>
      <c r="V40" s="89">
        <v>1.1385335999999999E-2</v>
      </c>
      <c r="W40" s="61">
        <v>281</v>
      </c>
    </row>
    <row r="41" spans="11:23">
      <c r="K41" s="89">
        <v>3.0728928999999999E-2</v>
      </c>
      <c r="L41" s="79">
        <v>282</v>
      </c>
      <c r="M41" s="89">
        <v>2.8185512999999999E-2</v>
      </c>
      <c r="N41" s="79">
        <v>282</v>
      </c>
      <c r="O41" s="89">
        <v>2.5850769999999999E-2</v>
      </c>
      <c r="P41" s="61">
        <v>282</v>
      </c>
      <c r="R41" s="88">
        <v>5.4795243E-2</v>
      </c>
      <c r="S41" s="61">
        <v>282</v>
      </c>
      <c r="T41" s="89">
        <v>2.8185512999999999E-2</v>
      </c>
      <c r="U41" s="79">
        <v>282</v>
      </c>
      <c r="V41" s="89">
        <v>1.1920805E-2</v>
      </c>
      <c r="W41" s="61">
        <v>282</v>
      </c>
    </row>
    <row r="42" spans="11:23">
      <c r="K42" s="89">
        <v>3.1658933E-2</v>
      </c>
      <c r="L42" s="79">
        <v>283</v>
      </c>
      <c r="M42" s="89">
        <v>2.9064558000000001E-2</v>
      </c>
      <c r="N42" s="79">
        <v>283</v>
      </c>
      <c r="O42" s="89">
        <v>2.6671568E-2</v>
      </c>
      <c r="P42" s="61">
        <v>283</v>
      </c>
      <c r="R42" s="88">
        <v>5.5931676E-2</v>
      </c>
      <c r="S42" s="61">
        <v>283</v>
      </c>
      <c r="T42" s="89">
        <v>2.9064558000000001E-2</v>
      </c>
      <c r="U42" s="79">
        <v>283</v>
      </c>
      <c r="V42" s="89">
        <v>1.2473778E-2</v>
      </c>
      <c r="W42" s="61">
        <v>283</v>
      </c>
    </row>
    <row r="43" spans="11:23">
      <c r="K43" s="89">
        <v>3.2588935999999999E-2</v>
      </c>
      <c r="L43" s="79">
        <v>284</v>
      </c>
      <c r="M43" s="89">
        <v>2.9943603999999999E-2</v>
      </c>
      <c r="N43" s="79">
        <v>284</v>
      </c>
      <c r="O43" s="89">
        <v>2.7517917999999999E-2</v>
      </c>
      <c r="P43" s="61">
        <v>284</v>
      </c>
      <c r="R43" s="88">
        <v>5.7068109999999998E-2</v>
      </c>
      <c r="S43" s="61">
        <v>284</v>
      </c>
      <c r="T43" s="89">
        <v>2.9943603999999999E-2</v>
      </c>
      <c r="U43" s="79">
        <v>284</v>
      </c>
      <c r="V43" s="89">
        <v>1.3047036999999999E-2</v>
      </c>
      <c r="W43" s="61">
        <v>284</v>
      </c>
    </row>
    <row r="44" spans="11:23">
      <c r="K44" s="89">
        <v>3.3548783999999998E-2</v>
      </c>
      <c r="L44" s="79">
        <v>285</v>
      </c>
      <c r="M44" s="89">
        <v>3.0851861000000001E-2</v>
      </c>
      <c r="N44" s="79">
        <v>285</v>
      </c>
      <c r="O44" s="89">
        <v>2.8368197000000001E-2</v>
      </c>
      <c r="P44" s="61">
        <v>285</v>
      </c>
      <c r="R44" s="88">
        <v>5.8209683999999998E-2</v>
      </c>
      <c r="S44" s="61">
        <v>285</v>
      </c>
      <c r="T44" s="89">
        <v>3.0851861000000001E-2</v>
      </c>
      <c r="U44" s="79">
        <v>285</v>
      </c>
      <c r="V44" s="89">
        <v>1.3640611E-2</v>
      </c>
      <c r="W44" s="61">
        <v>285</v>
      </c>
    </row>
    <row r="45" spans="11:23">
      <c r="K45" s="89">
        <v>3.4540128000000003E-2</v>
      </c>
      <c r="L45" s="79">
        <v>286</v>
      </c>
      <c r="M45" s="89">
        <v>3.179096E-2</v>
      </c>
      <c r="N45" s="79">
        <v>286</v>
      </c>
      <c r="O45" s="89">
        <v>2.9222647000000001E-2</v>
      </c>
      <c r="P45" s="61">
        <v>286</v>
      </c>
      <c r="R45" s="88">
        <v>5.9402805000000003E-2</v>
      </c>
      <c r="S45" s="61">
        <v>286</v>
      </c>
      <c r="T45" s="89">
        <v>3.179096E-2</v>
      </c>
      <c r="U45" s="79">
        <v>286</v>
      </c>
      <c r="V45" s="89">
        <v>1.4252341E-2</v>
      </c>
      <c r="W45" s="61">
        <v>286</v>
      </c>
    </row>
    <row r="46" spans="11:23">
      <c r="K46" s="89">
        <v>3.5531475999999999E-2</v>
      </c>
      <c r="L46" s="79">
        <v>287</v>
      </c>
      <c r="M46" s="89">
        <v>3.2730059999999998E-2</v>
      </c>
      <c r="N46" s="79">
        <v>287</v>
      </c>
      <c r="O46" s="89">
        <v>3.0112193999999998E-2</v>
      </c>
      <c r="P46" s="61">
        <v>287</v>
      </c>
      <c r="R46" s="88">
        <v>6.0595922000000003E-2</v>
      </c>
      <c r="S46" s="61">
        <v>287</v>
      </c>
      <c r="T46" s="89">
        <v>3.2730059999999998E-2</v>
      </c>
      <c r="U46" s="79">
        <v>287</v>
      </c>
      <c r="V46" s="89">
        <v>1.486407E-2</v>
      </c>
      <c r="W46" s="61">
        <v>287</v>
      </c>
    </row>
    <row r="47" spans="11:23">
      <c r="K47" s="89">
        <v>3.6522819999999998E-2</v>
      </c>
      <c r="L47" s="79">
        <v>288</v>
      </c>
      <c r="M47" s="89">
        <v>3.3669159999999997E-2</v>
      </c>
      <c r="N47" s="79">
        <v>288</v>
      </c>
      <c r="O47" s="89">
        <v>3.1001740999999999E-2</v>
      </c>
      <c r="P47" s="61">
        <v>288</v>
      </c>
      <c r="R47" s="88">
        <v>6.1789043000000002E-2</v>
      </c>
      <c r="S47" s="61">
        <v>288</v>
      </c>
      <c r="T47" s="89">
        <v>3.3669159999999997E-2</v>
      </c>
      <c r="U47" s="79">
        <v>288</v>
      </c>
      <c r="V47" s="89">
        <v>1.5510210999999999E-2</v>
      </c>
      <c r="W47" s="61">
        <v>288</v>
      </c>
    </row>
    <row r="48" spans="11:23">
      <c r="K48" s="89">
        <v>3.7514169999999999E-2</v>
      </c>
      <c r="L48" s="79">
        <v>289</v>
      </c>
      <c r="M48" s="89">
        <v>3.4608255999999997E-2</v>
      </c>
      <c r="N48" s="79">
        <v>289</v>
      </c>
      <c r="O48" s="89">
        <v>3.1904849999999998E-2</v>
      </c>
      <c r="P48" s="61">
        <v>289</v>
      </c>
      <c r="R48" s="88">
        <v>6.2982163999999993E-2</v>
      </c>
      <c r="S48" s="61">
        <v>289</v>
      </c>
      <c r="T48" s="89">
        <v>3.4608255999999997E-2</v>
      </c>
      <c r="U48" s="79">
        <v>289</v>
      </c>
      <c r="V48" s="89">
        <v>1.6169345000000002E-2</v>
      </c>
      <c r="W48" s="61">
        <v>289</v>
      </c>
    </row>
    <row r="49" spans="11:23">
      <c r="K49" s="89">
        <v>3.8505512999999998E-2</v>
      </c>
      <c r="L49" s="79">
        <v>290</v>
      </c>
      <c r="M49" s="89">
        <v>3.5547357000000002E-2</v>
      </c>
      <c r="N49" s="79">
        <v>290</v>
      </c>
      <c r="O49" s="89">
        <v>3.2833635999999999E-2</v>
      </c>
      <c r="P49" s="61">
        <v>290</v>
      </c>
      <c r="R49" s="88">
        <v>6.4175280000000001E-2</v>
      </c>
      <c r="S49" s="61">
        <v>290</v>
      </c>
      <c r="T49" s="89">
        <v>3.5547357000000002E-2</v>
      </c>
      <c r="U49" s="79">
        <v>290</v>
      </c>
      <c r="V49" s="89">
        <v>1.6828480999999999E-2</v>
      </c>
      <c r="W49" s="61">
        <v>290</v>
      </c>
    </row>
    <row r="50" spans="11:23">
      <c r="K50" s="89">
        <v>3.9576035000000002E-2</v>
      </c>
      <c r="L50" s="79">
        <v>291</v>
      </c>
      <c r="M50" s="89">
        <v>3.6563805999999997E-2</v>
      </c>
      <c r="N50" s="79">
        <v>291</v>
      </c>
      <c r="O50" s="89">
        <v>3.3762420000000001E-2</v>
      </c>
      <c r="P50" s="61">
        <v>291</v>
      </c>
      <c r="R50" s="88">
        <v>6.5384819999999996E-2</v>
      </c>
      <c r="S50" s="61">
        <v>291</v>
      </c>
      <c r="T50" s="89">
        <v>3.6563805999999997E-2</v>
      </c>
      <c r="U50" s="79">
        <v>291</v>
      </c>
      <c r="V50" s="89">
        <v>1.7533536999999998E-2</v>
      </c>
      <c r="W50" s="61">
        <v>291</v>
      </c>
    </row>
    <row r="51" spans="11:23">
      <c r="K51" s="89">
        <v>4.0649406999999999E-2</v>
      </c>
      <c r="L51" s="79">
        <v>292</v>
      </c>
      <c r="M51" s="89">
        <v>3.7583039999999998E-2</v>
      </c>
      <c r="N51" s="79">
        <v>292</v>
      </c>
      <c r="O51" s="89">
        <v>3.4714154999999997E-2</v>
      </c>
      <c r="P51" s="61">
        <v>292</v>
      </c>
      <c r="R51" s="88">
        <v>6.6654555000000004E-2</v>
      </c>
      <c r="S51" s="61">
        <v>292</v>
      </c>
      <c r="T51" s="89">
        <v>3.7583039999999998E-2</v>
      </c>
      <c r="U51" s="79">
        <v>292</v>
      </c>
      <c r="V51" s="89">
        <v>1.8240244999999999E-2</v>
      </c>
      <c r="W51" s="61">
        <v>292</v>
      </c>
    </row>
    <row r="52" spans="11:23">
      <c r="K52" s="89">
        <v>4.1722774999999997E-2</v>
      </c>
      <c r="L52" s="79">
        <v>293</v>
      </c>
      <c r="M52" s="89">
        <v>3.8602270000000001E-2</v>
      </c>
      <c r="N52" s="79">
        <v>293</v>
      </c>
      <c r="O52" s="89">
        <v>3.5682168E-2</v>
      </c>
      <c r="P52" s="61">
        <v>293</v>
      </c>
      <c r="R52" s="88">
        <v>6.7924280000000004E-2</v>
      </c>
      <c r="S52" s="61">
        <v>293</v>
      </c>
      <c r="T52" s="89">
        <v>3.8602270000000001E-2</v>
      </c>
      <c r="U52" s="79">
        <v>293</v>
      </c>
      <c r="V52" s="89">
        <v>1.8956698000000001E-2</v>
      </c>
      <c r="W52" s="61">
        <v>293</v>
      </c>
    </row>
    <row r="53" spans="11:23">
      <c r="K53" s="89">
        <v>4.2796146E-2</v>
      </c>
      <c r="L53" s="79">
        <v>294</v>
      </c>
      <c r="M53" s="89">
        <v>3.9621506000000001E-2</v>
      </c>
      <c r="N53" s="79">
        <v>294</v>
      </c>
      <c r="O53" s="89">
        <v>3.6650185000000002E-2</v>
      </c>
      <c r="P53" s="61">
        <v>294</v>
      </c>
      <c r="R53" s="88">
        <v>6.9194019999999995E-2</v>
      </c>
      <c r="S53" s="61">
        <v>294</v>
      </c>
      <c r="T53" s="89">
        <v>3.9621506000000001E-2</v>
      </c>
      <c r="U53" s="79">
        <v>294</v>
      </c>
      <c r="V53" s="89">
        <v>1.9711010000000001E-2</v>
      </c>
      <c r="W53" s="61">
        <v>294</v>
      </c>
    </row>
    <row r="54" spans="11:23">
      <c r="K54" s="89">
        <v>4.3869513999999998E-2</v>
      </c>
      <c r="L54" s="79">
        <v>295</v>
      </c>
      <c r="M54" s="89">
        <v>4.0640738000000003E-2</v>
      </c>
      <c r="N54" s="79">
        <v>295</v>
      </c>
      <c r="O54" s="89">
        <v>3.7666739999999997E-2</v>
      </c>
      <c r="P54" s="61">
        <v>295</v>
      </c>
      <c r="R54" s="88">
        <v>7.0463750000000006E-2</v>
      </c>
      <c r="S54" s="61">
        <v>295</v>
      </c>
      <c r="T54" s="89">
        <v>4.0640738000000003E-2</v>
      </c>
      <c r="U54" s="79">
        <v>295</v>
      </c>
      <c r="V54" s="89">
        <v>2.0465322000000001E-2</v>
      </c>
      <c r="W54" s="61">
        <v>295</v>
      </c>
    </row>
    <row r="55" spans="11:23">
      <c r="K55" s="89">
        <v>4.4979527999999998E-2</v>
      </c>
      <c r="L55" s="79">
        <v>296</v>
      </c>
      <c r="M55" s="89">
        <v>4.1695673000000003E-2</v>
      </c>
      <c r="N55" s="79">
        <v>296</v>
      </c>
      <c r="O55" s="89">
        <v>3.8693637000000003E-2</v>
      </c>
      <c r="P55" s="61">
        <v>296</v>
      </c>
      <c r="R55" s="88">
        <v>7.1733480000000002E-2</v>
      </c>
      <c r="S55" s="61">
        <v>296</v>
      </c>
      <c r="T55" s="89">
        <v>4.1695673000000003E-2</v>
      </c>
      <c r="U55" s="79">
        <v>296</v>
      </c>
      <c r="V55" s="89">
        <v>2.1235473000000001E-2</v>
      </c>
      <c r="W55" s="61">
        <v>296</v>
      </c>
    </row>
    <row r="56" spans="11:23">
      <c r="K56" s="89">
        <v>4.61354E-2</v>
      </c>
      <c r="L56" s="79">
        <v>297</v>
      </c>
      <c r="M56" s="89">
        <v>4.2795292999999998E-2</v>
      </c>
      <c r="N56" s="79">
        <v>297</v>
      </c>
      <c r="O56" s="89">
        <v>3.9720535000000001E-2</v>
      </c>
      <c r="P56" s="61">
        <v>297</v>
      </c>
      <c r="R56" s="88">
        <v>7.3029549999999999E-2</v>
      </c>
      <c r="S56" s="61">
        <v>297</v>
      </c>
      <c r="T56" s="89">
        <v>4.2795292999999998E-2</v>
      </c>
      <c r="U56" s="79">
        <v>297</v>
      </c>
      <c r="V56" s="89">
        <v>2.2026964999999999E-2</v>
      </c>
      <c r="W56" s="61">
        <v>297</v>
      </c>
    </row>
    <row r="57" spans="11:23">
      <c r="K57" s="89">
        <v>4.7291270000000003E-2</v>
      </c>
      <c r="L57" s="79">
        <v>298</v>
      </c>
      <c r="M57" s="89">
        <v>4.3894913000000001E-2</v>
      </c>
      <c r="N57" s="79">
        <v>298</v>
      </c>
      <c r="O57" s="89">
        <v>4.0747430000000001E-2</v>
      </c>
      <c r="P57" s="61">
        <v>298</v>
      </c>
      <c r="R57" s="88">
        <v>7.4377193999999994E-2</v>
      </c>
      <c r="S57" s="61">
        <v>298</v>
      </c>
      <c r="T57" s="89">
        <v>4.3894913000000001E-2</v>
      </c>
      <c r="U57" s="79">
        <v>298</v>
      </c>
      <c r="V57" s="89">
        <v>2.2840682000000001E-2</v>
      </c>
      <c r="W57" s="61">
        <v>298</v>
      </c>
    </row>
    <row r="58" spans="11:23">
      <c r="K58" s="89">
        <v>4.8447147000000003E-2</v>
      </c>
      <c r="L58" s="79">
        <v>299</v>
      </c>
      <c r="M58" s="89">
        <v>4.4994533000000003E-2</v>
      </c>
      <c r="N58" s="79">
        <v>299</v>
      </c>
      <c r="O58" s="89">
        <v>4.1774329999999998E-2</v>
      </c>
      <c r="P58" s="61">
        <v>299</v>
      </c>
      <c r="R58" s="88">
        <v>7.5724840000000002E-2</v>
      </c>
      <c r="S58" s="61">
        <v>299</v>
      </c>
      <c r="T58" s="89">
        <v>4.4994533000000003E-2</v>
      </c>
      <c r="U58" s="79">
        <v>299</v>
      </c>
      <c r="V58" s="89">
        <v>2.3678689999999999E-2</v>
      </c>
      <c r="W58" s="61">
        <v>299</v>
      </c>
    </row>
    <row r="59" spans="11:23">
      <c r="K59" s="89">
        <v>4.9603019999999998E-2</v>
      </c>
      <c r="L59" s="79">
        <v>300</v>
      </c>
      <c r="M59" s="89">
        <v>4.6094152999999999E-2</v>
      </c>
      <c r="N59" s="79">
        <v>300</v>
      </c>
      <c r="O59" s="89">
        <v>4.2825090000000003E-2</v>
      </c>
      <c r="P59" s="61">
        <v>300</v>
      </c>
      <c r="R59" s="88">
        <v>7.7072489999999994E-2</v>
      </c>
      <c r="S59" s="61">
        <v>300</v>
      </c>
      <c r="T59" s="89">
        <v>4.6094152999999999E-2</v>
      </c>
      <c r="U59" s="79">
        <v>300</v>
      </c>
      <c r="V59" s="89">
        <v>2.4527943E-2</v>
      </c>
      <c r="W59" s="61">
        <v>300</v>
      </c>
    </row>
    <row r="60" spans="11:23">
      <c r="K60" s="89">
        <v>5.0758890000000001E-2</v>
      </c>
      <c r="L60" s="79">
        <v>301</v>
      </c>
      <c r="M60" s="89">
        <v>4.7193773000000001E-2</v>
      </c>
      <c r="N60" s="79">
        <v>301</v>
      </c>
      <c r="O60" s="89">
        <v>4.3930687000000003E-2</v>
      </c>
      <c r="P60" s="61">
        <v>301</v>
      </c>
      <c r="R60" s="88">
        <v>7.8420130000000005E-2</v>
      </c>
      <c r="S60" s="61">
        <v>301</v>
      </c>
      <c r="T60" s="89">
        <v>4.7193773000000001E-2</v>
      </c>
      <c r="U60" s="79">
        <v>301</v>
      </c>
      <c r="V60" s="89">
        <v>2.5377195000000002E-2</v>
      </c>
      <c r="W60" s="61">
        <v>301</v>
      </c>
    </row>
    <row r="61" spans="11:23">
      <c r="K61" s="89">
        <v>5.1991562999999998E-2</v>
      </c>
      <c r="L61" s="79">
        <v>302</v>
      </c>
      <c r="M61" s="89">
        <v>4.8368019999999998E-2</v>
      </c>
      <c r="N61" s="79">
        <v>302</v>
      </c>
      <c r="O61" s="89">
        <v>4.5036286000000002E-2</v>
      </c>
      <c r="P61" s="61">
        <v>302</v>
      </c>
      <c r="R61" s="88">
        <v>7.9767779999999996E-2</v>
      </c>
      <c r="S61" s="61">
        <v>302</v>
      </c>
      <c r="T61" s="89">
        <v>4.8368019999999998E-2</v>
      </c>
      <c r="U61" s="79">
        <v>302</v>
      </c>
      <c r="V61" s="89">
        <v>2.6270054000000001E-2</v>
      </c>
      <c r="W61" s="61">
        <v>302</v>
      </c>
    </row>
    <row r="62" spans="11:23">
      <c r="K62" s="89">
        <v>5.3230643000000001E-2</v>
      </c>
      <c r="L62" s="79">
        <v>303</v>
      </c>
      <c r="M62" s="89">
        <v>4.9548500000000002E-2</v>
      </c>
      <c r="N62" s="79">
        <v>303</v>
      </c>
      <c r="O62" s="89">
        <v>4.6141885000000001E-2</v>
      </c>
      <c r="P62" s="61">
        <v>303</v>
      </c>
      <c r="R62" s="88">
        <v>8.1152020000000005E-2</v>
      </c>
      <c r="S62" s="61">
        <v>303</v>
      </c>
      <c r="T62" s="89">
        <v>4.9548500000000002E-2</v>
      </c>
      <c r="U62" s="79">
        <v>303</v>
      </c>
      <c r="V62" s="89">
        <v>2.7166551000000001E-2</v>
      </c>
      <c r="W62" s="61">
        <v>303</v>
      </c>
    </row>
    <row r="63" spans="11:23">
      <c r="K63" s="89">
        <v>5.4469722999999998E-2</v>
      </c>
      <c r="L63" s="79">
        <v>304</v>
      </c>
      <c r="M63" s="89">
        <v>5.0728977000000001E-2</v>
      </c>
      <c r="N63" s="79">
        <v>304</v>
      </c>
      <c r="O63" s="89">
        <v>4.7247480000000001E-2</v>
      </c>
      <c r="P63" s="61">
        <v>304</v>
      </c>
      <c r="R63" s="88">
        <v>8.2578935000000006E-2</v>
      </c>
      <c r="S63" s="61">
        <v>304</v>
      </c>
      <c r="T63" s="89">
        <v>5.0728977000000001E-2</v>
      </c>
      <c r="U63" s="79">
        <v>304</v>
      </c>
      <c r="V63" s="89">
        <v>2.8070692000000001E-2</v>
      </c>
      <c r="W63" s="61">
        <v>304</v>
      </c>
    </row>
    <row r="64" spans="11:23">
      <c r="K64" s="89">
        <v>5.5708803000000001E-2</v>
      </c>
      <c r="L64" s="79">
        <v>305</v>
      </c>
      <c r="M64" s="89">
        <v>5.1909454000000001E-2</v>
      </c>
      <c r="N64" s="79">
        <v>305</v>
      </c>
      <c r="O64" s="89">
        <v>4.835308E-2</v>
      </c>
      <c r="P64" s="61">
        <v>305</v>
      </c>
      <c r="R64" s="88">
        <v>8.4005855000000004E-2</v>
      </c>
      <c r="S64" s="61">
        <v>305</v>
      </c>
      <c r="T64" s="89">
        <v>5.1909454000000001E-2</v>
      </c>
      <c r="U64" s="79">
        <v>305</v>
      </c>
      <c r="V64" s="89">
        <v>2.9014261E-2</v>
      </c>
      <c r="W64" s="61">
        <v>305</v>
      </c>
    </row>
    <row r="65" spans="11:23">
      <c r="K65" s="89">
        <v>5.6947882999999998E-2</v>
      </c>
      <c r="L65" s="79">
        <v>306</v>
      </c>
      <c r="M65" s="89">
        <v>5.308993E-2</v>
      </c>
      <c r="N65" s="79">
        <v>306</v>
      </c>
      <c r="O65" s="89">
        <v>4.9520544999999999E-2</v>
      </c>
      <c r="P65" s="61">
        <v>306</v>
      </c>
      <c r="R65" s="88">
        <v>8.5432775000000002E-2</v>
      </c>
      <c r="S65" s="61">
        <v>306</v>
      </c>
      <c r="T65" s="89">
        <v>5.308993E-2</v>
      </c>
      <c r="U65" s="79">
        <v>306</v>
      </c>
      <c r="V65" s="89">
        <v>2.9957830000000001E-2</v>
      </c>
      <c r="W65" s="61">
        <v>306</v>
      </c>
    </row>
    <row r="66" spans="11:23">
      <c r="K66" s="89">
        <v>5.8237883999999997E-2</v>
      </c>
      <c r="L66" s="79">
        <v>307</v>
      </c>
      <c r="M66" s="89">
        <v>5.4294936000000002E-2</v>
      </c>
      <c r="N66" s="79">
        <v>307</v>
      </c>
      <c r="O66" s="89">
        <v>5.0705247000000002E-2</v>
      </c>
      <c r="P66" s="61">
        <v>307</v>
      </c>
      <c r="R66" s="88">
        <v>8.6859696E-2</v>
      </c>
      <c r="S66" s="61">
        <v>307</v>
      </c>
      <c r="T66" s="89">
        <v>5.4294936000000002E-2</v>
      </c>
      <c r="U66" s="79">
        <v>307</v>
      </c>
      <c r="V66" s="89">
        <v>3.0920248000000001E-2</v>
      </c>
      <c r="W66" s="61">
        <v>307</v>
      </c>
    </row>
    <row r="67" spans="11:23">
      <c r="K67" s="89">
        <v>5.9603687000000002E-2</v>
      </c>
      <c r="L67" s="79">
        <v>308</v>
      </c>
      <c r="M67" s="89">
        <v>5.5536460000000003E-2</v>
      </c>
      <c r="N67" s="79">
        <v>308</v>
      </c>
      <c r="O67" s="89">
        <v>5.1889949999999997E-2</v>
      </c>
      <c r="P67" s="61">
        <v>308</v>
      </c>
      <c r="R67" s="88">
        <v>8.8286615999999998E-2</v>
      </c>
      <c r="S67" s="61">
        <v>308</v>
      </c>
      <c r="T67" s="89">
        <v>5.5536460000000003E-2</v>
      </c>
      <c r="U67" s="79">
        <v>308</v>
      </c>
      <c r="V67" s="89">
        <v>3.1910725000000001E-2</v>
      </c>
      <c r="W67" s="61">
        <v>308</v>
      </c>
    </row>
    <row r="68" spans="11:23">
      <c r="K68" s="89">
        <v>6.0969490000000001E-2</v>
      </c>
      <c r="L68" s="79">
        <v>309</v>
      </c>
      <c r="M68" s="89">
        <v>5.6777988000000001E-2</v>
      </c>
      <c r="N68" s="79">
        <v>309</v>
      </c>
      <c r="O68" s="89">
        <v>5.3074650000000001E-2</v>
      </c>
      <c r="P68" s="61">
        <v>309</v>
      </c>
      <c r="R68" s="88">
        <v>8.9784749999999997E-2</v>
      </c>
      <c r="S68" s="61">
        <v>309</v>
      </c>
      <c r="T68" s="89">
        <v>5.6777988000000001E-2</v>
      </c>
      <c r="U68" s="79">
        <v>309</v>
      </c>
      <c r="V68" s="89">
        <v>3.2901199999999999E-2</v>
      </c>
      <c r="W68" s="61">
        <v>309</v>
      </c>
    </row>
    <row r="69" spans="11:23">
      <c r="K69" s="89">
        <v>6.2335296999999998E-2</v>
      </c>
      <c r="L69" s="79">
        <v>310</v>
      </c>
      <c r="M69" s="89">
        <v>5.8045779999999998E-2</v>
      </c>
      <c r="N69" s="79">
        <v>310</v>
      </c>
      <c r="O69" s="89">
        <v>5.4259351999999997E-2</v>
      </c>
      <c r="P69" s="61">
        <v>310</v>
      </c>
      <c r="R69" s="88">
        <v>9.1333344999999996E-2</v>
      </c>
      <c r="S69" s="61">
        <v>310</v>
      </c>
      <c r="T69" s="89">
        <v>5.8045779999999998E-2</v>
      </c>
      <c r="U69" s="79">
        <v>310</v>
      </c>
      <c r="V69" s="89">
        <v>3.3936622999999999E-2</v>
      </c>
      <c r="W69" s="61">
        <v>310</v>
      </c>
    </row>
    <row r="70" spans="11:23">
      <c r="K70" s="89">
        <v>6.3701099999999997E-2</v>
      </c>
      <c r="L70" s="79">
        <v>311</v>
      </c>
      <c r="M70" s="89">
        <v>5.9328264999999998E-2</v>
      </c>
      <c r="N70" s="79">
        <v>311</v>
      </c>
      <c r="O70" s="89">
        <v>5.5464853000000001E-2</v>
      </c>
      <c r="P70" s="61">
        <v>311</v>
      </c>
      <c r="R70" s="88">
        <v>9.2881939999999996E-2</v>
      </c>
      <c r="S70" s="61">
        <v>311</v>
      </c>
      <c r="T70" s="89">
        <v>5.9328264999999998E-2</v>
      </c>
      <c r="U70" s="79">
        <v>311</v>
      </c>
      <c r="V70" s="89">
        <v>3.4997189999999997E-2</v>
      </c>
      <c r="W70" s="61">
        <v>311</v>
      </c>
    </row>
    <row r="71" spans="11:23">
      <c r="K71" s="89">
        <v>6.5066903999999995E-2</v>
      </c>
      <c r="L71" s="79">
        <v>312</v>
      </c>
      <c r="M71" s="89">
        <v>6.0610753000000003E-2</v>
      </c>
      <c r="N71" s="79">
        <v>312</v>
      </c>
      <c r="O71" s="89">
        <v>5.6729250000000002E-2</v>
      </c>
      <c r="P71" s="61">
        <v>312</v>
      </c>
      <c r="R71" s="88">
        <v>9.4430535999999995E-2</v>
      </c>
      <c r="S71" s="61">
        <v>312</v>
      </c>
      <c r="T71" s="89">
        <v>6.0610753000000003E-2</v>
      </c>
      <c r="U71" s="79">
        <v>312</v>
      </c>
      <c r="V71" s="89">
        <v>3.6057760000000001E-2</v>
      </c>
      <c r="W71" s="61">
        <v>312</v>
      </c>
    </row>
    <row r="72" spans="11:23">
      <c r="K72" s="89">
        <v>6.6432710000000006E-2</v>
      </c>
      <c r="L72" s="79">
        <v>313</v>
      </c>
      <c r="M72" s="89">
        <v>6.1947750000000003E-2</v>
      </c>
      <c r="N72" s="79">
        <v>313</v>
      </c>
      <c r="O72" s="89">
        <v>5.7993647000000002E-2</v>
      </c>
      <c r="P72" s="61">
        <v>313</v>
      </c>
      <c r="R72" s="88">
        <v>9.5979129999999996E-2</v>
      </c>
      <c r="S72" s="61">
        <v>313</v>
      </c>
      <c r="T72" s="89">
        <v>6.1947750000000003E-2</v>
      </c>
      <c r="U72" s="79">
        <v>313</v>
      </c>
      <c r="V72" s="89">
        <v>3.7118327E-2</v>
      </c>
      <c r="W72" s="61">
        <v>313</v>
      </c>
    </row>
    <row r="73" spans="11:23">
      <c r="K73" s="89">
        <v>6.7798510000000006E-2</v>
      </c>
      <c r="L73" s="79">
        <v>314</v>
      </c>
      <c r="M73" s="89">
        <v>6.3292139999999997E-2</v>
      </c>
      <c r="N73" s="79">
        <v>314</v>
      </c>
      <c r="O73" s="89">
        <v>5.9258044000000003E-2</v>
      </c>
      <c r="P73" s="61">
        <v>314</v>
      </c>
      <c r="R73" s="88">
        <v>9.7527730000000007E-2</v>
      </c>
      <c r="S73" s="61">
        <v>314</v>
      </c>
      <c r="T73" s="89">
        <v>6.3292139999999997E-2</v>
      </c>
      <c r="U73" s="79">
        <v>314</v>
      </c>
      <c r="V73" s="89">
        <v>3.8178894999999997E-2</v>
      </c>
      <c r="W73" s="61">
        <v>314</v>
      </c>
    </row>
    <row r="74" spans="11:23">
      <c r="K74" s="89">
        <v>6.9164320000000001E-2</v>
      </c>
      <c r="L74" s="79">
        <v>315</v>
      </c>
      <c r="M74" s="89">
        <v>6.4636529999999998E-2</v>
      </c>
      <c r="N74" s="79">
        <v>315</v>
      </c>
      <c r="O74" s="89">
        <v>6.0522439999999997E-2</v>
      </c>
      <c r="P74" s="61">
        <v>315</v>
      </c>
      <c r="R74" s="88">
        <v>9.9076319999999996E-2</v>
      </c>
      <c r="S74" s="61">
        <v>315</v>
      </c>
      <c r="T74" s="89">
        <v>6.4636529999999998E-2</v>
      </c>
      <c r="U74" s="79">
        <v>315</v>
      </c>
      <c r="V74" s="89">
        <v>3.9250649999999998E-2</v>
      </c>
      <c r="W74" s="61">
        <v>315</v>
      </c>
    </row>
    <row r="75" spans="11:23">
      <c r="K75" s="89">
        <v>7.0530124E-2</v>
      </c>
      <c r="L75" s="79">
        <v>316</v>
      </c>
      <c r="M75" s="89">
        <v>6.5980919999999998E-2</v>
      </c>
      <c r="N75" s="79">
        <v>316</v>
      </c>
      <c r="O75" s="89">
        <v>6.1786837999999997E-2</v>
      </c>
      <c r="P75" s="61">
        <v>316</v>
      </c>
      <c r="R75" s="88">
        <v>0.10062492000000001</v>
      </c>
      <c r="S75" s="61">
        <v>316</v>
      </c>
      <c r="T75" s="89">
        <v>6.5980919999999998E-2</v>
      </c>
      <c r="U75" s="79">
        <v>316</v>
      </c>
      <c r="V75" s="89">
        <v>4.0404387E-2</v>
      </c>
      <c r="W75" s="61">
        <v>316</v>
      </c>
    </row>
    <row r="76" spans="11:23">
      <c r="K76" s="89">
        <v>7.1895929999999997E-2</v>
      </c>
      <c r="L76" s="79">
        <v>317</v>
      </c>
      <c r="M76" s="89">
        <v>6.7325309999999999E-2</v>
      </c>
      <c r="N76" s="79">
        <v>317</v>
      </c>
      <c r="O76" s="89">
        <v>6.3140840000000004E-2</v>
      </c>
      <c r="P76" s="61">
        <v>317</v>
      </c>
      <c r="R76" s="88">
        <v>0.10217351500000001</v>
      </c>
      <c r="S76" s="61">
        <v>317</v>
      </c>
      <c r="T76" s="89">
        <v>6.7325309999999999E-2</v>
      </c>
      <c r="U76" s="79">
        <v>317</v>
      </c>
      <c r="V76" s="89">
        <v>4.1558119999999997E-2</v>
      </c>
      <c r="W76" s="61">
        <v>317</v>
      </c>
    </row>
    <row r="77" spans="11:23">
      <c r="K77" s="89">
        <v>7.3323910000000006E-2</v>
      </c>
      <c r="L77" s="79">
        <v>318</v>
      </c>
      <c r="M77" s="89">
        <v>6.8699679999999999E-2</v>
      </c>
      <c r="N77" s="79">
        <v>318</v>
      </c>
      <c r="O77" s="89">
        <v>6.4526364000000003E-2</v>
      </c>
      <c r="P77" s="61">
        <v>318</v>
      </c>
      <c r="R77" s="88">
        <v>0.10372211000000001</v>
      </c>
      <c r="S77" s="61">
        <v>318</v>
      </c>
      <c r="T77" s="89">
        <v>6.8699679999999999E-2</v>
      </c>
      <c r="U77" s="79">
        <v>318</v>
      </c>
      <c r="V77" s="89">
        <v>4.2711857999999998E-2</v>
      </c>
      <c r="W77" s="61">
        <v>318</v>
      </c>
    </row>
    <row r="78" spans="11:23">
      <c r="K78" s="89">
        <v>7.4862680000000001E-2</v>
      </c>
      <c r="L78" s="79">
        <v>319</v>
      </c>
      <c r="M78" s="89">
        <v>7.0127460000000003E-2</v>
      </c>
      <c r="N78" s="79">
        <v>319</v>
      </c>
      <c r="O78" s="89">
        <v>6.5911880000000006E-2</v>
      </c>
      <c r="P78" s="61">
        <v>319</v>
      </c>
      <c r="R78" s="88">
        <v>0.10527070600000001</v>
      </c>
      <c r="S78" s="61">
        <v>319</v>
      </c>
      <c r="T78" s="89">
        <v>7.0127460000000003E-2</v>
      </c>
      <c r="U78" s="79">
        <v>319</v>
      </c>
      <c r="V78" s="89">
        <v>4.3865595E-2</v>
      </c>
      <c r="W78" s="61">
        <v>319</v>
      </c>
    </row>
    <row r="79" spans="11:23">
      <c r="K79" s="89">
        <v>7.6401449999999996E-2</v>
      </c>
      <c r="L79" s="79">
        <v>320</v>
      </c>
      <c r="M79" s="89">
        <v>7.1555240000000006E-2</v>
      </c>
      <c r="N79" s="79">
        <v>320</v>
      </c>
      <c r="O79" s="89">
        <v>6.7297399999999993E-2</v>
      </c>
      <c r="P79" s="61">
        <v>320</v>
      </c>
      <c r="R79" s="88">
        <v>0.10681930000000001</v>
      </c>
      <c r="S79" s="61">
        <v>320</v>
      </c>
      <c r="T79" s="89">
        <v>7.1555240000000006E-2</v>
      </c>
      <c r="U79" s="79">
        <v>320</v>
      </c>
      <c r="V79" s="89">
        <v>4.5019330000000003E-2</v>
      </c>
      <c r="W79" s="61">
        <v>320</v>
      </c>
    </row>
    <row r="80" spans="11:23">
      <c r="K80" s="89">
        <v>7.7940226000000001E-2</v>
      </c>
      <c r="L80" s="79">
        <v>321</v>
      </c>
      <c r="M80" s="89">
        <v>7.2983019999999996E-2</v>
      </c>
      <c r="N80" s="79">
        <v>321</v>
      </c>
      <c r="O80" s="89">
        <v>6.8682919999999995E-2</v>
      </c>
      <c r="P80" s="61">
        <v>321</v>
      </c>
      <c r="R80" s="88">
        <v>0.10850672</v>
      </c>
      <c r="S80" s="61">
        <v>321</v>
      </c>
      <c r="T80" s="89">
        <v>7.2983019999999996E-2</v>
      </c>
      <c r="U80" s="79">
        <v>321</v>
      </c>
      <c r="V80" s="89">
        <v>4.6228822000000003E-2</v>
      </c>
      <c r="W80" s="61">
        <v>321</v>
      </c>
    </row>
    <row r="81" spans="11:23">
      <c r="K81" s="89">
        <v>7.9478993999999997E-2</v>
      </c>
      <c r="L81" s="79">
        <v>322</v>
      </c>
      <c r="M81" s="89">
        <v>7.4410799999999999E-2</v>
      </c>
      <c r="N81" s="79">
        <v>322</v>
      </c>
      <c r="O81" s="89">
        <v>7.0068439999999996E-2</v>
      </c>
      <c r="P81" s="61">
        <v>322</v>
      </c>
      <c r="R81" s="88">
        <v>0.11022206</v>
      </c>
      <c r="S81" s="61">
        <v>322</v>
      </c>
      <c r="T81" s="89">
        <v>7.4410799999999999E-2</v>
      </c>
      <c r="U81" s="79">
        <v>322</v>
      </c>
      <c r="V81" s="89">
        <v>4.7475660000000003E-2</v>
      </c>
      <c r="W81" s="61">
        <v>322</v>
      </c>
    </row>
    <row r="82" spans="11:23">
      <c r="K82" s="89">
        <v>8.1017759999999994E-2</v>
      </c>
      <c r="L82" s="79">
        <v>323</v>
      </c>
      <c r="M82" s="89">
        <v>7.5838580000000003E-2</v>
      </c>
      <c r="N82" s="79">
        <v>323</v>
      </c>
      <c r="O82" s="89">
        <v>7.1453959999999997E-2</v>
      </c>
      <c r="P82" s="61">
        <v>323</v>
      </c>
      <c r="R82" s="88">
        <v>0.11193739599999999</v>
      </c>
      <c r="S82" s="61">
        <v>323</v>
      </c>
      <c r="T82" s="89">
        <v>7.5838580000000003E-2</v>
      </c>
      <c r="U82" s="79">
        <v>323</v>
      </c>
      <c r="V82" s="89">
        <v>4.872249E-2</v>
      </c>
      <c r="W82" s="61">
        <v>323</v>
      </c>
    </row>
    <row r="83" spans="11:23">
      <c r="K83" s="89">
        <v>8.2556530000000003E-2</v>
      </c>
      <c r="L83" s="79">
        <v>324</v>
      </c>
      <c r="M83" s="89">
        <v>7.7337230000000007E-2</v>
      </c>
      <c r="N83" s="79">
        <v>324</v>
      </c>
      <c r="O83" s="89">
        <v>7.2839476E-2</v>
      </c>
      <c r="P83" s="61">
        <v>324</v>
      </c>
      <c r="R83" s="88">
        <v>0.113652736</v>
      </c>
      <c r="S83" s="61">
        <v>324</v>
      </c>
      <c r="T83" s="89">
        <v>7.7337230000000007E-2</v>
      </c>
      <c r="U83" s="79">
        <v>324</v>
      </c>
      <c r="V83" s="89">
        <v>4.9969327000000001E-2</v>
      </c>
      <c r="W83" s="61">
        <v>324</v>
      </c>
    </row>
    <row r="84" spans="11:23">
      <c r="K84" s="89">
        <v>8.4095299999999998E-2</v>
      </c>
      <c r="L84" s="79">
        <v>325</v>
      </c>
      <c r="M84" s="89">
        <v>7.8849530000000001E-2</v>
      </c>
      <c r="N84" s="79">
        <v>325</v>
      </c>
      <c r="O84" s="89">
        <v>7.4224990000000005E-2</v>
      </c>
      <c r="P84" s="61">
        <v>325</v>
      </c>
      <c r="R84" s="88">
        <v>0.11536807</v>
      </c>
      <c r="S84" s="61">
        <v>325</v>
      </c>
      <c r="T84" s="89">
        <v>7.8849530000000001E-2</v>
      </c>
      <c r="U84" s="79">
        <v>325</v>
      </c>
      <c r="V84" s="89">
        <v>5.1216159999999997E-2</v>
      </c>
      <c r="W84" s="61">
        <v>325</v>
      </c>
    </row>
    <row r="85" spans="11:23">
      <c r="K85" s="89">
        <v>8.5634070000000007E-2</v>
      </c>
      <c r="L85" s="79">
        <v>326</v>
      </c>
      <c r="M85" s="89">
        <v>8.0361836000000006E-2</v>
      </c>
      <c r="N85" s="79">
        <v>326</v>
      </c>
      <c r="O85" s="89">
        <v>7.5610520000000001E-2</v>
      </c>
      <c r="P85" s="61">
        <v>326</v>
      </c>
      <c r="R85" s="88">
        <v>0.11708341</v>
      </c>
      <c r="S85" s="61">
        <v>326</v>
      </c>
      <c r="T85" s="89">
        <v>8.0361836000000006E-2</v>
      </c>
      <c r="U85" s="79">
        <v>326</v>
      </c>
      <c r="V85" s="89">
        <v>5.2470256E-2</v>
      </c>
      <c r="W85" s="61">
        <v>326</v>
      </c>
    </row>
    <row r="86" spans="11:23">
      <c r="K86" s="89">
        <v>8.7172840000000001E-2</v>
      </c>
      <c r="L86" s="79">
        <v>327</v>
      </c>
      <c r="M86" s="89">
        <v>8.1874139999999998E-2</v>
      </c>
      <c r="N86" s="79">
        <v>327</v>
      </c>
      <c r="O86" s="89">
        <v>7.6996036000000004E-2</v>
      </c>
      <c r="P86" s="61">
        <v>327</v>
      </c>
      <c r="R86" s="88">
        <v>0.11879874999999999</v>
      </c>
      <c r="S86" s="61">
        <v>327</v>
      </c>
      <c r="T86" s="89">
        <v>8.1874139999999998E-2</v>
      </c>
      <c r="U86" s="79">
        <v>327</v>
      </c>
      <c r="V86" s="89">
        <v>5.3810440000000001E-2</v>
      </c>
      <c r="W86" s="61">
        <v>327</v>
      </c>
    </row>
    <row r="87" spans="11:23">
      <c r="K87" s="89">
        <v>8.8711609999999996E-2</v>
      </c>
      <c r="L87" s="79">
        <v>328</v>
      </c>
      <c r="M87" s="89">
        <v>8.3386440000000006E-2</v>
      </c>
      <c r="N87" s="79">
        <v>328</v>
      </c>
      <c r="O87" s="89">
        <v>7.8496434000000004E-2</v>
      </c>
      <c r="P87" s="61">
        <v>328</v>
      </c>
      <c r="R87" s="88">
        <v>0.12051409</v>
      </c>
      <c r="S87" s="61">
        <v>328</v>
      </c>
      <c r="T87" s="89">
        <v>8.3386440000000006E-2</v>
      </c>
      <c r="U87" s="79">
        <v>328</v>
      </c>
      <c r="V87" s="89">
        <v>5.5150628E-2</v>
      </c>
      <c r="W87" s="61">
        <v>328</v>
      </c>
    </row>
    <row r="88" spans="11:23">
      <c r="K88" s="89">
        <v>9.0307004999999996E-2</v>
      </c>
      <c r="L88" s="79">
        <v>329</v>
      </c>
      <c r="M88" s="89">
        <v>8.492595E-2</v>
      </c>
      <c r="N88" s="79">
        <v>329</v>
      </c>
      <c r="O88" s="89">
        <v>8.0046660000000006E-2</v>
      </c>
      <c r="P88" s="61">
        <v>329</v>
      </c>
      <c r="R88" s="88">
        <v>0.12222942000000001</v>
      </c>
      <c r="S88" s="61">
        <v>329</v>
      </c>
      <c r="T88" s="89">
        <v>8.492595E-2</v>
      </c>
      <c r="U88" s="79">
        <v>329</v>
      </c>
      <c r="V88" s="89">
        <v>5.6490815999999999E-2</v>
      </c>
      <c r="W88" s="61">
        <v>329</v>
      </c>
    </row>
    <row r="89" spans="11:23">
      <c r="K89" s="89">
        <v>9.2024304000000001E-2</v>
      </c>
      <c r="L89" s="79">
        <v>330</v>
      </c>
      <c r="M89" s="89">
        <v>8.6523995000000006E-2</v>
      </c>
      <c r="N89" s="79">
        <v>330</v>
      </c>
      <c r="O89" s="89">
        <v>8.1596890000000005E-2</v>
      </c>
      <c r="P89" s="61">
        <v>330</v>
      </c>
      <c r="R89" s="88">
        <v>0.12394476</v>
      </c>
      <c r="S89" s="61">
        <v>330</v>
      </c>
      <c r="T89" s="89">
        <v>8.6523995000000006E-2</v>
      </c>
      <c r="U89" s="79">
        <v>330</v>
      </c>
      <c r="V89" s="89">
        <v>5.7831003999999998E-2</v>
      </c>
      <c r="W89" s="61">
        <v>330</v>
      </c>
    </row>
    <row r="90" spans="11:23">
      <c r="K90" s="89">
        <v>9.3741595999999996E-2</v>
      </c>
      <c r="L90" s="79">
        <v>331</v>
      </c>
      <c r="M90" s="89">
        <v>8.8122039999999999E-2</v>
      </c>
      <c r="N90" s="79">
        <v>331</v>
      </c>
      <c r="O90" s="89">
        <v>8.3147115999999993E-2</v>
      </c>
      <c r="P90" s="61">
        <v>331</v>
      </c>
      <c r="R90" s="88">
        <v>0.12566009</v>
      </c>
      <c r="S90" s="61">
        <v>331</v>
      </c>
      <c r="T90" s="89">
        <v>8.8122039999999999E-2</v>
      </c>
      <c r="U90" s="79">
        <v>331</v>
      </c>
      <c r="V90" s="89">
        <v>5.9171191999999997E-2</v>
      </c>
      <c r="W90" s="61">
        <v>331</v>
      </c>
    </row>
    <row r="91" spans="11:23">
      <c r="K91" s="89">
        <v>9.5458895000000002E-2</v>
      </c>
      <c r="L91" s="79">
        <v>332</v>
      </c>
      <c r="M91" s="89">
        <v>8.9720090000000002E-2</v>
      </c>
      <c r="N91" s="79">
        <v>332</v>
      </c>
      <c r="O91" s="89">
        <v>8.4697339999999996E-2</v>
      </c>
      <c r="P91" s="61">
        <v>332</v>
      </c>
      <c r="R91" s="88">
        <v>0.12738912999999999</v>
      </c>
      <c r="S91" s="61">
        <v>332</v>
      </c>
      <c r="T91" s="89">
        <v>8.9720090000000002E-2</v>
      </c>
      <c r="U91" s="79">
        <v>332</v>
      </c>
      <c r="V91" s="89">
        <v>6.0550537000000001E-2</v>
      </c>
      <c r="W91" s="61">
        <v>332</v>
      </c>
    </row>
    <row r="92" spans="11:23">
      <c r="K92" s="89">
        <v>9.7176189999999996E-2</v>
      </c>
      <c r="L92" s="79">
        <v>333</v>
      </c>
      <c r="M92" s="89">
        <v>9.1318140000000006E-2</v>
      </c>
      <c r="N92" s="79">
        <v>333</v>
      </c>
      <c r="O92" s="89">
        <v>8.6247569999999996E-2</v>
      </c>
      <c r="P92" s="61">
        <v>333</v>
      </c>
      <c r="R92" s="88">
        <v>0.12927612999999999</v>
      </c>
      <c r="S92" s="61">
        <v>333</v>
      </c>
      <c r="T92" s="89">
        <v>9.1318140000000006E-2</v>
      </c>
      <c r="U92" s="79">
        <v>333</v>
      </c>
      <c r="V92" s="89">
        <v>6.1961066000000002E-2</v>
      </c>
      <c r="W92" s="61">
        <v>333</v>
      </c>
    </row>
    <row r="93" spans="11:23">
      <c r="K93" s="89">
        <v>9.8893486000000003E-2</v>
      </c>
      <c r="L93" s="79">
        <v>334</v>
      </c>
      <c r="M93" s="89">
        <v>9.2916189999999996E-2</v>
      </c>
      <c r="N93" s="79">
        <v>334</v>
      </c>
      <c r="O93" s="89">
        <v>8.7797799999999995E-2</v>
      </c>
      <c r="P93" s="61">
        <v>334</v>
      </c>
      <c r="R93" s="88">
        <v>0.13116314000000001</v>
      </c>
      <c r="S93" s="61">
        <v>334</v>
      </c>
      <c r="T93" s="89">
        <v>9.2916189999999996E-2</v>
      </c>
      <c r="U93" s="79">
        <v>334</v>
      </c>
      <c r="V93" s="89">
        <v>6.33716E-2</v>
      </c>
      <c r="W93" s="61">
        <v>334</v>
      </c>
    </row>
    <row r="94" spans="11:23">
      <c r="K94" s="89">
        <v>0.10061078</v>
      </c>
      <c r="L94" s="79">
        <v>335</v>
      </c>
      <c r="M94" s="89">
        <v>9.4618655999999995E-2</v>
      </c>
      <c r="N94" s="79">
        <v>335</v>
      </c>
      <c r="O94" s="89">
        <v>8.9348025999999997E-2</v>
      </c>
      <c r="P94" s="61">
        <v>335</v>
      </c>
      <c r="R94" s="88">
        <v>0.13305012999999999</v>
      </c>
      <c r="S94" s="61">
        <v>335</v>
      </c>
      <c r="T94" s="89">
        <v>9.4618655999999995E-2</v>
      </c>
      <c r="U94" s="79">
        <v>335</v>
      </c>
      <c r="V94" s="89">
        <v>6.4819660000000001E-2</v>
      </c>
      <c r="W94" s="61">
        <v>335</v>
      </c>
    </row>
    <row r="95" spans="11:23">
      <c r="K95" s="89">
        <v>0.10232808</v>
      </c>
      <c r="L95" s="79">
        <v>336</v>
      </c>
      <c r="M95" s="89">
        <v>9.6347875999999999E-2</v>
      </c>
      <c r="N95" s="79">
        <v>336</v>
      </c>
      <c r="O95" s="89">
        <v>9.089825E-2</v>
      </c>
      <c r="P95" s="61">
        <v>336</v>
      </c>
      <c r="R95" s="88">
        <v>0.13493711999999999</v>
      </c>
      <c r="S95" s="61">
        <v>336</v>
      </c>
      <c r="T95" s="89">
        <v>9.6347875999999999E-2</v>
      </c>
      <c r="U95" s="79">
        <v>336</v>
      </c>
      <c r="V95" s="89">
        <v>6.6277329999999995E-2</v>
      </c>
      <c r="W95" s="61">
        <v>336</v>
      </c>
    </row>
    <row r="96" spans="11:23">
      <c r="K96" s="89">
        <v>0.10404537</v>
      </c>
      <c r="L96" s="79">
        <v>337</v>
      </c>
      <c r="M96" s="89">
        <v>9.8077096000000002E-2</v>
      </c>
      <c r="N96" s="79">
        <v>337</v>
      </c>
      <c r="O96" s="89">
        <v>9.244848E-2</v>
      </c>
      <c r="P96" s="61">
        <v>337</v>
      </c>
      <c r="R96" s="88">
        <v>0.13682411999999999</v>
      </c>
      <c r="S96" s="61">
        <v>337</v>
      </c>
      <c r="T96" s="89">
        <v>9.8077096000000002E-2</v>
      </c>
      <c r="U96" s="79">
        <v>337</v>
      </c>
      <c r="V96" s="89">
        <v>6.7737530000000004E-2</v>
      </c>
      <c r="W96" s="61">
        <v>337</v>
      </c>
    </row>
    <row r="97" spans="11:23">
      <c r="K97" s="89">
        <v>0.10576267</v>
      </c>
      <c r="L97" s="79">
        <v>338</v>
      </c>
      <c r="M97" s="89">
        <v>9.9806316000000006E-2</v>
      </c>
      <c r="N97" s="79">
        <v>338</v>
      </c>
      <c r="O97" s="89">
        <v>9.3998714999999997E-2</v>
      </c>
      <c r="P97" s="61">
        <v>338</v>
      </c>
      <c r="R97" s="88">
        <v>0.13871111</v>
      </c>
      <c r="S97" s="61">
        <v>338</v>
      </c>
      <c r="T97" s="89">
        <v>9.9806316000000006E-2</v>
      </c>
      <c r="U97" s="79">
        <v>338</v>
      </c>
      <c r="V97" s="89">
        <v>6.9266369999999994E-2</v>
      </c>
      <c r="W97" s="61">
        <v>338</v>
      </c>
    </row>
    <row r="98" spans="11:23">
      <c r="K98" s="89">
        <v>0.10747996</v>
      </c>
      <c r="L98" s="79">
        <v>339</v>
      </c>
      <c r="M98" s="89">
        <v>0.10153553999999999</v>
      </c>
      <c r="N98" s="79">
        <v>339</v>
      </c>
      <c r="O98" s="89">
        <v>9.5659670000000002E-2</v>
      </c>
      <c r="P98" s="61">
        <v>339</v>
      </c>
      <c r="R98" s="88">
        <v>0.1405981</v>
      </c>
      <c r="S98" s="61">
        <v>339</v>
      </c>
      <c r="T98" s="89">
        <v>0.10153553999999999</v>
      </c>
      <c r="U98" s="79">
        <v>339</v>
      </c>
      <c r="V98" s="89">
        <v>7.0795220000000006E-2</v>
      </c>
      <c r="W98" s="61">
        <v>339</v>
      </c>
    </row>
    <row r="99" spans="11:23">
      <c r="K99" s="89">
        <v>0.10924796000000001</v>
      </c>
      <c r="L99" s="79">
        <v>340</v>
      </c>
      <c r="M99" s="89">
        <v>0.10326476</v>
      </c>
      <c r="N99" s="79">
        <v>340</v>
      </c>
      <c r="O99" s="89">
        <v>9.7378919999999994E-2</v>
      </c>
      <c r="P99" s="61">
        <v>340</v>
      </c>
      <c r="R99" s="88">
        <v>0.1424851</v>
      </c>
      <c r="S99" s="61">
        <v>340</v>
      </c>
      <c r="T99" s="89">
        <v>0.10326476</v>
      </c>
      <c r="U99" s="79">
        <v>340</v>
      </c>
      <c r="V99" s="89">
        <v>7.2324070000000004E-2</v>
      </c>
      <c r="W99" s="61">
        <v>340</v>
      </c>
    </row>
    <row r="100" spans="11:23">
      <c r="K100" s="89">
        <v>0.1111497</v>
      </c>
      <c r="L100" s="79">
        <v>341</v>
      </c>
      <c r="M100" s="89">
        <v>0.10499398</v>
      </c>
      <c r="N100" s="79">
        <v>341</v>
      </c>
      <c r="O100" s="89">
        <v>9.9098160000000005E-2</v>
      </c>
      <c r="P100" s="61">
        <v>341</v>
      </c>
      <c r="R100" s="88">
        <v>0.14437209000000001</v>
      </c>
      <c r="S100" s="61">
        <v>341</v>
      </c>
      <c r="T100" s="89">
        <v>0.10499398</v>
      </c>
      <c r="U100" s="79">
        <v>341</v>
      </c>
      <c r="V100" s="89">
        <v>7.3852909999999994E-2</v>
      </c>
      <c r="W100" s="61">
        <v>341</v>
      </c>
    </row>
    <row r="101" spans="11:23">
      <c r="K101" s="89">
        <v>0.113051444</v>
      </c>
      <c r="L101" s="79">
        <v>342</v>
      </c>
      <c r="M101" s="89">
        <v>0.1067232</v>
      </c>
      <c r="N101" s="79">
        <v>342</v>
      </c>
      <c r="O101" s="89">
        <v>0.100817405</v>
      </c>
      <c r="P101" s="61">
        <v>342</v>
      </c>
      <c r="R101" s="88">
        <v>0.14625908000000001</v>
      </c>
      <c r="S101" s="61">
        <v>342</v>
      </c>
      <c r="T101" s="89">
        <v>0.1067232</v>
      </c>
      <c r="U101" s="79">
        <v>342</v>
      </c>
      <c r="V101" s="89">
        <v>7.5381760000000006E-2</v>
      </c>
      <c r="W101" s="61">
        <v>342</v>
      </c>
    </row>
    <row r="102" spans="11:23">
      <c r="K102" s="89">
        <v>0.11495318</v>
      </c>
      <c r="L102" s="79">
        <v>343</v>
      </c>
      <c r="M102" s="89">
        <v>0.10845241999999999</v>
      </c>
      <c r="N102" s="79">
        <v>343</v>
      </c>
      <c r="O102" s="89">
        <v>0.10253664999999999</v>
      </c>
      <c r="P102" s="61">
        <v>343</v>
      </c>
      <c r="R102" s="88">
        <v>0.14814608000000001</v>
      </c>
      <c r="S102" s="61">
        <v>343</v>
      </c>
      <c r="T102" s="89">
        <v>0.10845241999999999</v>
      </c>
      <c r="U102" s="79">
        <v>343</v>
      </c>
      <c r="V102" s="89">
        <v>7.6959879999999994E-2</v>
      </c>
      <c r="W102" s="61">
        <v>343</v>
      </c>
    </row>
    <row r="103" spans="11:23">
      <c r="K103" s="89">
        <v>0.11685493</v>
      </c>
      <c r="L103" s="79">
        <v>344</v>
      </c>
      <c r="M103" s="89">
        <v>0.11018164</v>
      </c>
      <c r="N103" s="79">
        <v>344</v>
      </c>
      <c r="O103" s="89">
        <v>0.10425589</v>
      </c>
      <c r="P103" s="61">
        <v>344</v>
      </c>
      <c r="R103" s="88">
        <v>0.15009052000000001</v>
      </c>
      <c r="S103" s="61">
        <v>344</v>
      </c>
      <c r="T103" s="89">
        <v>0.11018164</v>
      </c>
      <c r="U103" s="79">
        <v>344</v>
      </c>
      <c r="V103" s="89">
        <v>7.8584514999999994E-2</v>
      </c>
      <c r="W103" s="61">
        <v>344</v>
      </c>
    </row>
    <row r="104" spans="11:23">
      <c r="K104" s="89">
        <v>0.11875666999999999</v>
      </c>
      <c r="L104" s="79">
        <v>345</v>
      </c>
      <c r="M104" s="89">
        <v>0.11191086</v>
      </c>
      <c r="N104" s="79">
        <v>345</v>
      </c>
      <c r="O104" s="89">
        <v>0.105975136</v>
      </c>
      <c r="P104" s="61">
        <v>345</v>
      </c>
      <c r="R104" s="88">
        <v>0.15215312</v>
      </c>
      <c r="S104" s="61">
        <v>345</v>
      </c>
      <c r="T104" s="89">
        <v>0.11191086</v>
      </c>
      <c r="U104" s="79">
        <v>345</v>
      </c>
      <c r="V104" s="89">
        <v>8.0209160000000002E-2</v>
      </c>
      <c r="W104" s="61">
        <v>345</v>
      </c>
    </row>
    <row r="105" spans="11:23">
      <c r="K105" s="89">
        <v>0.12065840999999999</v>
      </c>
      <c r="L105" s="79">
        <v>346</v>
      </c>
      <c r="M105" s="89">
        <v>0.11377511</v>
      </c>
      <c r="N105" s="79">
        <v>346</v>
      </c>
      <c r="O105" s="89">
        <v>0.10769438000000001</v>
      </c>
      <c r="P105" s="61">
        <v>346</v>
      </c>
      <c r="R105" s="88">
        <v>0.15421572</v>
      </c>
      <c r="S105" s="61">
        <v>346</v>
      </c>
      <c r="T105" s="89">
        <v>0.11377511</v>
      </c>
      <c r="U105" s="79">
        <v>346</v>
      </c>
      <c r="V105" s="89">
        <v>8.1833795000000001E-2</v>
      </c>
      <c r="W105" s="61">
        <v>346</v>
      </c>
    </row>
    <row r="106" spans="11:23">
      <c r="K106" s="89">
        <v>0.12256015000000001</v>
      </c>
      <c r="L106" s="79">
        <v>347</v>
      </c>
      <c r="M106" s="89">
        <v>0.11568349</v>
      </c>
      <c r="N106" s="79">
        <v>347</v>
      </c>
      <c r="O106" s="89">
        <v>0.109413624</v>
      </c>
      <c r="P106" s="61">
        <v>347</v>
      </c>
      <c r="R106" s="88">
        <v>0.15627832999999999</v>
      </c>
      <c r="S106" s="61">
        <v>347</v>
      </c>
      <c r="T106" s="89">
        <v>0.11568349</v>
      </c>
      <c r="U106" s="79">
        <v>347</v>
      </c>
      <c r="V106" s="89">
        <v>8.3458439999999995E-2</v>
      </c>
      <c r="W106" s="61">
        <v>347</v>
      </c>
    </row>
    <row r="107" spans="11:23">
      <c r="K107" s="89">
        <v>0.1244619</v>
      </c>
      <c r="L107" s="79">
        <v>348</v>
      </c>
      <c r="M107" s="89">
        <v>0.11759187</v>
      </c>
      <c r="N107" s="79">
        <v>348</v>
      </c>
      <c r="O107" s="89">
        <v>0.11113286999999999</v>
      </c>
      <c r="P107" s="61">
        <v>348</v>
      </c>
      <c r="R107" s="88">
        <v>0.15834092999999999</v>
      </c>
      <c r="S107" s="61">
        <v>348</v>
      </c>
      <c r="T107" s="89">
        <v>0.11759187</v>
      </c>
      <c r="U107" s="79">
        <v>348</v>
      </c>
      <c r="V107" s="89">
        <v>8.5083080000000005E-2</v>
      </c>
      <c r="W107" s="61">
        <v>348</v>
      </c>
    </row>
    <row r="108" spans="11:23">
      <c r="K108" s="89">
        <v>0.12636364</v>
      </c>
      <c r="L108" s="79">
        <v>349</v>
      </c>
      <c r="M108" s="89">
        <v>0.11950026</v>
      </c>
      <c r="N108" s="79">
        <v>349</v>
      </c>
      <c r="O108" s="89">
        <v>0.11285211000000001</v>
      </c>
      <c r="P108" s="61">
        <v>349</v>
      </c>
      <c r="R108" s="88">
        <v>0.16040351999999999</v>
      </c>
      <c r="S108" s="61">
        <v>349</v>
      </c>
      <c r="T108" s="89">
        <v>0.11950026</v>
      </c>
      <c r="U108" s="79">
        <v>349</v>
      </c>
      <c r="V108" s="89">
        <v>8.6804069999999997E-2</v>
      </c>
      <c r="W108" s="61">
        <v>349</v>
      </c>
    </row>
    <row r="109" spans="11:23">
      <c r="K109" s="89">
        <v>0.12826538000000001</v>
      </c>
      <c r="L109" s="79">
        <v>350</v>
      </c>
      <c r="M109" s="89">
        <v>0.121408634</v>
      </c>
      <c r="N109" s="79">
        <v>350</v>
      </c>
      <c r="O109" s="89">
        <v>0.11467761</v>
      </c>
      <c r="P109" s="61">
        <v>350</v>
      </c>
      <c r="R109" s="88">
        <v>0.16246611999999999</v>
      </c>
      <c r="S109" s="61">
        <v>350</v>
      </c>
      <c r="T109" s="89">
        <v>0.121408634</v>
      </c>
      <c r="U109" s="79">
        <v>350</v>
      </c>
      <c r="V109" s="89">
        <v>8.8525729999999997E-2</v>
      </c>
      <c r="W109" s="61">
        <v>350</v>
      </c>
    </row>
    <row r="110" spans="11:23">
      <c r="K110" s="89">
        <v>0.13023406000000001</v>
      </c>
      <c r="L110" s="79">
        <v>351</v>
      </c>
      <c r="M110" s="89">
        <v>0.12331702</v>
      </c>
      <c r="N110" s="79">
        <v>351</v>
      </c>
      <c r="O110" s="89">
        <v>0.11657023</v>
      </c>
      <c r="P110" s="61">
        <v>351</v>
      </c>
      <c r="R110" s="88">
        <v>0.16452873000000001</v>
      </c>
      <c r="S110" s="61">
        <v>351</v>
      </c>
      <c r="T110" s="89">
        <v>0.12331702</v>
      </c>
      <c r="U110" s="79">
        <v>351</v>
      </c>
      <c r="V110" s="89">
        <v>9.0247384999999999E-2</v>
      </c>
      <c r="W110" s="61">
        <v>351</v>
      </c>
    </row>
    <row r="111" spans="11:23">
      <c r="K111" s="89">
        <v>0.13242361999999999</v>
      </c>
      <c r="L111" s="79">
        <v>352</v>
      </c>
      <c r="M111" s="89">
        <v>0.12522539999999999</v>
      </c>
      <c r="N111" s="79">
        <v>352</v>
      </c>
      <c r="O111" s="89">
        <v>0.118462846</v>
      </c>
      <c r="P111" s="61">
        <v>352</v>
      </c>
      <c r="R111" s="88">
        <v>0.16659133000000001</v>
      </c>
      <c r="S111" s="61">
        <v>352</v>
      </c>
      <c r="T111" s="89">
        <v>0.12522539999999999</v>
      </c>
      <c r="U111" s="79">
        <v>352</v>
      </c>
      <c r="V111" s="89">
        <v>9.1969040000000002E-2</v>
      </c>
      <c r="W111" s="61">
        <v>352</v>
      </c>
    </row>
    <row r="112" spans="11:23">
      <c r="K112" s="89">
        <v>0.13461318999999999</v>
      </c>
      <c r="L112" s="79">
        <v>353</v>
      </c>
      <c r="M112" s="89">
        <v>0.12713377000000001</v>
      </c>
      <c r="N112" s="79">
        <v>353</v>
      </c>
      <c r="O112" s="89">
        <v>0.12035546499999999</v>
      </c>
      <c r="P112" s="61">
        <v>353</v>
      </c>
      <c r="R112" s="88">
        <v>0.16865394</v>
      </c>
      <c r="S112" s="61">
        <v>353</v>
      </c>
      <c r="T112" s="89">
        <v>0.12713377000000001</v>
      </c>
      <c r="U112" s="79">
        <v>353</v>
      </c>
      <c r="V112" s="89">
        <v>9.3690700000000002E-2</v>
      </c>
      <c r="W112" s="61">
        <v>353</v>
      </c>
    </row>
    <row r="113" spans="11:23">
      <c r="K113" s="89">
        <v>0.13680275</v>
      </c>
      <c r="L113" s="79">
        <v>354</v>
      </c>
      <c r="M113" s="89">
        <v>0.12904215999999999</v>
      </c>
      <c r="N113" s="79">
        <v>354</v>
      </c>
      <c r="O113" s="89">
        <v>0.12224808</v>
      </c>
      <c r="P113" s="61">
        <v>354</v>
      </c>
      <c r="R113" s="88">
        <v>0.17071652000000001</v>
      </c>
      <c r="S113" s="61">
        <v>354</v>
      </c>
      <c r="T113" s="89">
        <v>0.12904215999999999</v>
      </c>
      <c r="U113" s="79">
        <v>354</v>
      </c>
      <c r="V113" s="89">
        <v>9.5458779999999993E-2</v>
      </c>
      <c r="W113" s="61">
        <v>354</v>
      </c>
    </row>
    <row r="114" spans="11:23">
      <c r="K114" s="89">
        <v>0.13899231000000001</v>
      </c>
      <c r="L114" s="79">
        <v>355</v>
      </c>
      <c r="M114" s="89">
        <v>0.13095054</v>
      </c>
      <c r="N114" s="79">
        <v>355</v>
      </c>
      <c r="O114" s="89">
        <v>0.12414070000000001</v>
      </c>
      <c r="P114" s="61">
        <v>355</v>
      </c>
      <c r="R114" s="88">
        <v>0.17277913</v>
      </c>
      <c r="S114" s="61">
        <v>355</v>
      </c>
      <c r="T114" s="89">
        <v>0.13095054</v>
      </c>
      <c r="U114" s="79">
        <v>355</v>
      </c>
      <c r="V114" s="89">
        <v>9.7278799999999999E-2</v>
      </c>
      <c r="W114" s="61">
        <v>355</v>
      </c>
    </row>
    <row r="115" spans="11:23">
      <c r="K115" s="89">
        <v>0.14118186999999999</v>
      </c>
      <c r="L115" s="79">
        <v>356</v>
      </c>
      <c r="M115" s="89">
        <v>0.13285891999999999</v>
      </c>
      <c r="N115" s="79">
        <v>356</v>
      </c>
      <c r="O115" s="89">
        <v>0.12603332</v>
      </c>
      <c r="P115" s="61">
        <v>356</v>
      </c>
      <c r="R115" s="88">
        <v>0.17499556999999999</v>
      </c>
      <c r="S115" s="61">
        <v>356</v>
      </c>
      <c r="T115" s="89">
        <v>0.13285891999999999</v>
      </c>
      <c r="U115" s="79">
        <v>356</v>
      </c>
      <c r="V115" s="89">
        <v>9.9098824000000002E-2</v>
      </c>
      <c r="W115" s="61">
        <v>356</v>
      </c>
    </row>
    <row r="116" spans="11:23">
      <c r="K116" s="89">
        <v>0.14337142999999999</v>
      </c>
      <c r="L116" s="79">
        <v>357</v>
      </c>
      <c r="M116" s="89">
        <v>0.13489815999999999</v>
      </c>
      <c r="N116" s="79">
        <v>357</v>
      </c>
      <c r="O116" s="89">
        <v>0.12792595000000001</v>
      </c>
      <c r="P116" s="61">
        <v>357</v>
      </c>
      <c r="R116" s="88">
        <v>0.17732602</v>
      </c>
      <c r="S116" s="61">
        <v>357</v>
      </c>
      <c r="T116" s="89">
        <v>0.13489815999999999</v>
      </c>
      <c r="U116" s="79">
        <v>357</v>
      </c>
      <c r="V116" s="89">
        <v>0.10091884</v>
      </c>
      <c r="W116" s="61">
        <v>357</v>
      </c>
    </row>
    <row r="117" spans="11:23">
      <c r="K117" s="89">
        <v>0.145561</v>
      </c>
      <c r="L117" s="79">
        <v>358</v>
      </c>
      <c r="M117" s="89">
        <v>0.13699047</v>
      </c>
      <c r="N117" s="79">
        <v>358</v>
      </c>
      <c r="O117" s="89">
        <v>0.12981856</v>
      </c>
      <c r="P117" s="61">
        <v>358</v>
      </c>
      <c r="R117" s="88">
        <v>0.17965645999999999</v>
      </c>
      <c r="S117" s="61">
        <v>358</v>
      </c>
      <c r="T117" s="89">
        <v>0.13699047</v>
      </c>
      <c r="U117" s="79">
        <v>358</v>
      </c>
      <c r="V117" s="89">
        <v>0.10273886</v>
      </c>
      <c r="W117" s="61">
        <v>358</v>
      </c>
    </row>
    <row r="118" spans="11:23">
      <c r="K118" s="89">
        <v>0.14775056</v>
      </c>
      <c r="L118" s="79">
        <v>359</v>
      </c>
      <c r="M118" s="89">
        <v>0.13908279000000001</v>
      </c>
      <c r="N118" s="79">
        <v>359</v>
      </c>
      <c r="O118" s="89">
        <v>0.13171118000000001</v>
      </c>
      <c r="P118" s="61">
        <v>359</v>
      </c>
      <c r="R118" s="88">
        <v>0.18198690000000001</v>
      </c>
      <c r="S118" s="61">
        <v>359</v>
      </c>
      <c r="T118" s="89">
        <v>0.13908279000000001</v>
      </c>
      <c r="U118" s="79">
        <v>359</v>
      </c>
      <c r="V118" s="89">
        <v>0.10455888000000001</v>
      </c>
      <c r="W118" s="61">
        <v>359</v>
      </c>
    </row>
    <row r="119" spans="11:23">
      <c r="K119" s="89">
        <v>0.14994012000000001</v>
      </c>
      <c r="L119" s="79">
        <v>360</v>
      </c>
      <c r="M119" s="89">
        <v>0.1411751</v>
      </c>
      <c r="N119" s="79">
        <v>360</v>
      </c>
      <c r="O119" s="89">
        <v>0.13360379999999999</v>
      </c>
      <c r="P119" s="61">
        <v>360</v>
      </c>
      <c r="R119" s="88">
        <v>0.18431734999999999</v>
      </c>
      <c r="S119" s="61">
        <v>360</v>
      </c>
      <c r="T119" s="89">
        <v>0.1411751</v>
      </c>
      <c r="U119" s="79">
        <v>360</v>
      </c>
      <c r="V119" s="89">
        <v>0.1065219</v>
      </c>
      <c r="W119" s="61">
        <v>360</v>
      </c>
    </row>
    <row r="120" spans="11:23">
      <c r="K120" s="89">
        <v>0.15212967999999999</v>
      </c>
      <c r="L120" s="79">
        <v>361</v>
      </c>
      <c r="M120" s="89">
        <v>0.14326742000000001</v>
      </c>
      <c r="N120" s="79">
        <v>361</v>
      </c>
      <c r="O120" s="89">
        <v>0.13564905999999999</v>
      </c>
      <c r="P120" s="61">
        <v>361</v>
      </c>
      <c r="R120" s="88">
        <v>0.18664779000000001</v>
      </c>
      <c r="S120" s="61">
        <v>361</v>
      </c>
      <c r="T120" s="89">
        <v>0.14326742000000001</v>
      </c>
      <c r="U120" s="79">
        <v>361</v>
      </c>
      <c r="V120" s="89">
        <v>0.10849231500000001</v>
      </c>
      <c r="W120" s="61">
        <v>361</v>
      </c>
    </row>
    <row r="121" spans="11:23">
      <c r="K121" s="89">
        <v>0.15431924</v>
      </c>
      <c r="L121" s="79">
        <v>362</v>
      </c>
      <c r="M121" s="89">
        <v>0.14535973999999999</v>
      </c>
      <c r="N121" s="79">
        <v>362</v>
      </c>
      <c r="O121" s="89">
        <v>0.13780919999999999</v>
      </c>
      <c r="P121" s="61">
        <v>362</v>
      </c>
      <c r="R121" s="88">
        <v>0.18897822</v>
      </c>
      <c r="S121" s="61">
        <v>362</v>
      </c>
      <c r="T121" s="89">
        <v>0.14535973999999999</v>
      </c>
      <c r="U121" s="79">
        <v>362</v>
      </c>
      <c r="V121" s="89">
        <v>0.110462725</v>
      </c>
      <c r="W121" s="61">
        <v>362</v>
      </c>
    </row>
    <row r="122" spans="11:23">
      <c r="K122" s="89">
        <v>0.1565088</v>
      </c>
      <c r="L122" s="79">
        <v>363</v>
      </c>
      <c r="M122" s="89">
        <v>0.14745206</v>
      </c>
      <c r="N122" s="79">
        <v>363</v>
      </c>
      <c r="O122" s="89">
        <v>0.13996934999999999</v>
      </c>
      <c r="P122" s="61">
        <v>363</v>
      </c>
      <c r="R122" s="88">
        <v>0.19130868000000001</v>
      </c>
      <c r="S122" s="61">
        <v>363</v>
      </c>
      <c r="T122" s="89">
        <v>0.14745206</v>
      </c>
      <c r="U122" s="79">
        <v>363</v>
      </c>
      <c r="V122" s="89">
        <v>0.11243314</v>
      </c>
      <c r="W122" s="61">
        <v>363</v>
      </c>
    </row>
    <row r="123" spans="11:23">
      <c r="K123" s="89">
        <v>0.15869837000000001</v>
      </c>
      <c r="L123" s="79">
        <v>364</v>
      </c>
      <c r="M123" s="89">
        <v>0.14954437000000001</v>
      </c>
      <c r="N123" s="79">
        <v>364</v>
      </c>
      <c r="O123" s="89">
        <v>0.14212949999999999</v>
      </c>
      <c r="P123" s="61">
        <v>364</v>
      </c>
      <c r="R123" s="88">
        <v>0.19363911</v>
      </c>
      <c r="S123" s="61">
        <v>364</v>
      </c>
      <c r="T123" s="89">
        <v>0.14954437000000001</v>
      </c>
      <c r="U123" s="79">
        <v>364</v>
      </c>
      <c r="V123" s="89">
        <v>0.11440356</v>
      </c>
      <c r="W123" s="61">
        <v>364</v>
      </c>
    </row>
    <row r="124" spans="11:23">
      <c r="K124" s="89">
        <v>0.16088793000000001</v>
      </c>
      <c r="L124" s="79">
        <v>365</v>
      </c>
      <c r="M124" s="89">
        <v>0.15163668999999999</v>
      </c>
      <c r="N124" s="79">
        <v>365</v>
      </c>
      <c r="O124" s="89">
        <v>0.14428964</v>
      </c>
      <c r="P124" s="61">
        <v>365</v>
      </c>
      <c r="R124" s="88">
        <v>0.19596957000000001</v>
      </c>
      <c r="S124" s="61">
        <v>365</v>
      </c>
      <c r="T124" s="89">
        <v>0.15163668999999999</v>
      </c>
      <c r="U124" s="79">
        <v>365</v>
      </c>
      <c r="V124" s="89">
        <v>0.11637396999999999</v>
      </c>
      <c r="W124" s="61">
        <v>365</v>
      </c>
    </row>
    <row r="125" spans="11:23">
      <c r="K125" s="89">
        <v>0.16307748999999999</v>
      </c>
      <c r="L125" s="79">
        <v>366</v>
      </c>
      <c r="M125" s="89">
        <v>0.153729</v>
      </c>
      <c r="N125" s="79">
        <v>366</v>
      </c>
      <c r="O125" s="89">
        <v>0.14644979999999999</v>
      </c>
      <c r="P125" s="61">
        <v>366</v>
      </c>
      <c r="R125" s="88">
        <v>0.1983</v>
      </c>
      <c r="S125" s="61">
        <v>366</v>
      </c>
      <c r="T125" s="89">
        <v>0.153729</v>
      </c>
      <c r="U125" s="79">
        <v>366</v>
      </c>
      <c r="V125" s="89">
        <v>0.11834438999999999</v>
      </c>
      <c r="W125" s="61">
        <v>366</v>
      </c>
    </row>
    <row r="126" spans="11:23">
      <c r="K126" s="89">
        <v>0.16526705</v>
      </c>
      <c r="L126" s="79">
        <v>367</v>
      </c>
      <c r="M126" s="89">
        <v>0.15582132000000001</v>
      </c>
      <c r="N126" s="79">
        <v>367</v>
      </c>
      <c r="O126" s="89">
        <v>0.14860994999999999</v>
      </c>
      <c r="P126" s="61">
        <v>367</v>
      </c>
      <c r="R126" s="88">
        <v>0.20063043999999999</v>
      </c>
      <c r="S126" s="61">
        <v>367</v>
      </c>
      <c r="T126" s="89">
        <v>0.15582132000000001</v>
      </c>
      <c r="U126" s="79">
        <v>367</v>
      </c>
      <c r="V126" s="89">
        <v>0.12031480999999999</v>
      </c>
      <c r="W126" s="61">
        <v>367</v>
      </c>
    </row>
    <row r="127" spans="11:23">
      <c r="K127" s="89">
        <v>0.16745661000000001</v>
      </c>
      <c r="L127" s="79">
        <v>368</v>
      </c>
      <c r="M127" s="89">
        <v>0.15803939</v>
      </c>
      <c r="N127" s="79">
        <v>368</v>
      </c>
      <c r="O127" s="89">
        <v>0.15077009999999999</v>
      </c>
      <c r="P127" s="61">
        <v>368</v>
      </c>
      <c r="R127" s="88">
        <v>0.2029609</v>
      </c>
      <c r="S127" s="61">
        <v>368</v>
      </c>
      <c r="T127" s="89">
        <v>0.15803939</v>
      </c>
      <c r="U127" s="79">
        <v>368</v>
      </c>
      <c r="V127" s="89">
        <v>0.122285224</v>
      </c>
      <c r="W127" s="61">
        <v>368</v>
      </c>
    </row>
    <row r="128" spans="11:23">
      <c r="K128" s="89">
        <v>0.16964617000000001</v>
      </c>
      <c r="L128" s="79">
        <v>369</v>
      </c>
      <c r="M128" s="89">
        <v>0.16031966</v>
      </c>
      <c r="N128" s="79">
        <v>369</v>
      </c>
      <c r="O128" s="89">
        <v>0.15293024</v>
      </c>
      <c r="P128" s="61">
        <v>369</v>
      </c>
      <c r="R128" s="88">
        <v>0.20529132999999999</v>
      </c>
      <c r="S128" s="61">
        <v>369</v>
      </c>
      <c r="T128" s="89">
        <v>0.16031966</v>
      </c>
      <c r="U128" s="79">
        <v>369</v>
      </c>
      <c r="V128" s="89">
        <v>0.124255635</v>
      </c>
      <c r="W128" s="61">
        <v>369</v>
      </c>
    </row>
    <row r="129" spans="11:23">
      <c r="K129" s="89">
        <v>0.17183573999999999</v>
      </c>
      <c r="L129" s="79">
        <v>370</v>
      </c>
      <c r="M129" s="89">
        <v>0.16259989999999999</v>
      </c>
      <c r="N129" s="79">
        <v>370</v>
      </c>
      <c r="O129" s="89">
        <v>0.15509038999999999</v>
      </c>
      <c r="P129" s="61">
        <v>370</v>
      </c>
      <c r="R129" s="88">
        <v>0.20762177000000001</v>
      </c>
      <c r="S129" s="61">
        <v>370</v>
      </c>
      <c r="T129" s="89">
        <v>0.16259989999999999</v>
      </c>
      <c r="U129" s="79">
        <v>370</v>
      </c>
      <c r="V129" s="89">
        <v>0.12622605000000001</v>
      </c>
      <c r="W129" s="61">
        <v>370</v>
      </c>
    </row>
    <row r="130" spans="11:23">
      <c r="K130" s="89">
        <v>0.17402529999999999</v>
      </c>
      <c r="L130" s="79">
        <v>371</v>
      </c>
      <c r="M130" s="89">
        <v>0.16488016999999999</v>
      </c>
      <c r="N130" s="79">
        <v>371</v>
      </c>
      <c r="O130" s="89">
        <v>0.15725053999999999</v>
      </c>
      <c r="P130" s="61">
        <v>371</v>
      </c>
      <c r="R130" s="88">
        <v>0.20995221999999999</v>
      </c>
      <c r="S130" s="61">
        <v>371</v>
      </c>
      <c r="T130" s="89">
        <v>0.16488016999999999</v>
      </c>
      <c r="U130" s="79">
        <v>371</v>
      </c>
      <c r="V130" s="89">
        <v>0.12838300999999999</v>
      </c>
      <c r="W130" s="61">
        <v>371</v>
      </c>
    </row>
    <row r="131" spans="11:23">
      <c r="K131" s="89">
        <v>0.17621487</v>
      </c>
      <c r="L131" s="79">
        <v>372</v>
      </c>
      <c r="M131" s="89">
        <v>0.16716043999999999</v>
      </c>
      <c r="N131" s="79">
        <v>372</v>
      </c>
      <c r="O131" s="89">
        <v>0.15941068999999999</v>
      </c>
      <c r="P131" s="61">
        <v>372</v>
      </c>
      <c r="R131" s="88">
        <v>0.21228266000000001</v>
      </c>
      <c r="S131" s="61">
        <v>372</v>
      </c>
      <c r="T131" s="89">
        <v>0.16716043999999999</v>
      </c>
      <c r="U131" s="79">
        <v>372</v>
      </c>
      <c r="V131" s="89">
        <v>0.13055874000000001</v>
      </c>
      <c r="W131" s="61">
        <v>372</v>
      </c>
    </row>
    <row r="132" spans="11:23">
      <c r="K132" s="89">
        <v>0.17844093</v>
      </c>
      <c r="L132" s="79">
        <v>373</v>
      </c>
      <c r="M132" s="89">
        <v>0.16944069</v>
      </c>
      <c r="N132" s="79">
        <v>373</v>
      </c>
      <c r="O132" s="89">
        <v>0.16157083</v>
      </c>
      <c r="P132" s="61">
        <v>373</v>
      </c>
      <c r="R132" s="88">
        <v>0.21461311</v>
      </c>
      <c r="S132" s="61">
        <v>373</v>
      </c>
      <c r="T132" s="89">
        <v>0.16944069</v>
      </c>
      <c r="U132" s="79">
        <v>373</v>
      </c>
      <c r="V132" s="89">
        <v>0.13273447999999999</v>
      </c>
      <c r="W132" s="61">
        <v>373</v>
      </c>
    </row>
    <row r="133" spans="11:23">
      <c r="K133" s="89">
        <v>0.18087721000000001</v>
      </c>
      <c r="L133" s="79">
        <v>374</v>
      </c>
      <c r="M133" s="89">
        <v>0.17172095000000001</v>
      </c>
      <c r="N133" s="79">
        <v>374</v>
      </c>
      <c r="O133" s="89">
        <v>0.16373098</v>
      </c>
      <c r="P133" s="61">
        <v>374</v>
      </c>
      <c r="R133" s="88">
        <v>0.21694355000000001</v>
      </c>
      <c r="S133" s="61">
        <v>374</v>
      </c>
      <c r="T133" s="89">
        <v>0.17172095000000001</v>
      </c>
      <c r="U133" s="79">
        <v>374</v>
      </c>
      <c r="V133" s="89">
        <v>0.13491022999999999</v>
      </c>
      <c r="W133" s="61">
        <v>374</v>
      </c>
    </row>
    <row r="134" spans="11:23">
      <c r="K134" s="89">
        <v>0.18331347000000001</v>
      </c>
      <c r="L134" s="79">
        <v>375</v>
      </c>
      <c r="M134" s="89">
        <v>0.17400122000000001</v>
      </c>
      <c r="N134" s="79">
        <v>375</v>
      </c>
      <c r="O134" s="89">
        <v>0.16589113</v>
      </c>
      <c r="P134" s="61">
        <v>375</v>
      </c>
      <c r="R134" s="88">
        <v>0.21927398000000001</v>
      </c>
      <c r="S134" s="61">
        <v>375</v>
      </c>
      <c r="T134" s="89">
        <v>0.17400122000000001</v>
      </c>
      <c r="U134" s="79">
        <v>375</v>
      </c>
      <c r="V134" s="89">
        <v>0.13708596000000001</v>
      </c>
      <c r="W134" s="61">
        <v>375</v>
      </c>
    </row>
    <row r="135" spans="11:23">
      <c r="K135" s="89">
        <v>0.18574974999999999</v>
      </c>
      <c r="L135" s="79">
        <v>376</v>
      </c>
      <c r="M135" s="89">
        <v>0.17628147</v>
      </c>
      <c r="N135" s="79">
        <v>376</v>
      </c>
      <c r="O135" s="89">
        <v>0.16805128999999999</v>
      </c>
      <c r="P135" s="61">
        <v>376</v>
      </c>
      <c r="R135" s="88">
        <v>0.22160444000000001</v>
      </c>
      <c r="S135" s="61">
        <v>376</v>
      </c>
      <c r="T135" s="89">
        <v>0.17628147</v>
      </c>
      <c r="U135" s="79">
        <v>376</v>
      </c>
      <c r="V135" s="89">
        <v>0.13926169999999999</v>
      </c>
      <c r="W135" s="61">
        <v>376</v>
      </c>
    </row>
    <row r="136" spans="11:23">
      <c r="K136" s="89">
        <v>0.18818603</v>
      </c>
      <c r="L136" s="79">
        <v>377</v>
      </c>
      <c r="M136" s="89">
        <v>0.17856173</v>
      </c>
      <c r="N136" s="79">
        <v>377</v>
      </c>
      <c r="O136" s="89">
        <v>0.17021143</v>
      </c>
      <c r="P136" s="61">
        <v>377</v>
      </c>
      <c r="R136" s="88">
        <v>0.22393487000000001</v>
      </c>
      <c r="S136" s="61">
        <v>377</v>
      </c>
      <c r="T136" s="89">
        <v>0.17856173</v>
      </c>
      <c r="U136" s="79">
        <v>377</v>
      </c>
      <c r="V136" s="89">
        <v>0.14143744</v>
      </c>
      <c r="W136" s="61">
        <v>377</v>
      </c>
    </row>
    <row r="137" spans="11:23">
      <c r="K137" s="89">
        <v>0.19062229999999999</v>
      </c>
      <c r="L137" s="79">
        <v>378</v>
      </c>
      <c r="M137" s="89">
        <v>0.180842</v>
      </c>
      <c r="N137" s="79">
        <v>378</v>
      </c>
      <c r="O137" s="89">
        <v>0.17237158</v>
      </c>
      <c r="P137" s="61">
        <v>378</v>
      </c>
      <c r="R137" s="88">
        <v>0.22626532999999999</v>
      </c>
      <c r="S137" s="61">
        <v>378</v>
      </c>
      <c r="T137" s="89">
        <v>0.180842</v>
      </c>
      <c r="U137" s="79">
        <v>378</v>
      </c>
      <c r="V137" s="89">
        <v>0.14361317000000001</v>
      </c>
      <c r="W137" s="61">
        <v>378</v>
      </c>
    </row>
    <row r="138" spans="11:23">
      <c r="K138" s="89">
        <v>0.19312156999999999</v>
      </c>
      <c r="L138" s="79">
        <v>379</v>
      </c>
      <c r="M138" s="89">
        <v>0.18330224000000001</v>
      </c>
      <c r="N138" s="79">
        <v>379</v>
      </c>
      <c r="O138" s="89">
        <v>0.17453173</v>
      </c>
      <c r="P138" s="61">
        <v>379</v>
      </c>
      <c r="R138" s="88">
        <v>0.22861118999999999</v>
      </c>
      <c r="S138" s="61">
        <v>379</v>
      </c>
      <c r="T138" s="89">
        <v>0.18330224000000001</v>
      </c>
      <c r="U138" s="79">
        <v>379</v>
      </c>
      <c r="V138" s="89">
        <v>0.14578890999999999</v>
      </c>
      <c r="W138" s="61">
        <v>379</v>
      </c>
    </row>
    <row r="139" spans="11:23">
      <c r="K139" s="89">
        <v>0.19565832999999999</v>
      </c>
      <c r="L139" s="79">
        <v>380</v>
      </c>
      <c r="M139" s="89">
        <v>0.18586965</v>
      </c>
      <c r="N139" s="79">
        <v>380</v>
      </c>
      <c r="O139" s="89">
        <v>0.17669187</v>
      </c>
      <c r="P139" s="61">
        <v>380</v>
      </c>
      <c r="R139" s="88">
        <v>0.23116544</v>
      </c>
      <c r="S139" s="61">
        <v>380</v>
      </c>
      <c r="T139" s="89">
        <v>0.18586965</v>
      </c>
      <c r="U139" s="79">
        <v>380</v>
      </c>
      <c r="V139" s="89">
        <v>0.14796466</v>
      </c>
      <c r="W139" s="61">
        <v>380</v>
      </c>
    </row>
    <row r="140" spans="11:23">
      <c r="K140" s="89">
        <v>0.19819510000000001</v>
      </c>
      <c r="L140" s="79">
        <v>381</v>
      </c>
      <c r="M140" s="89">
        <v>0.18843705999999999</v>
      </c>
      <c r="N140" s="79">
        <v>381</v>
      </c>
      <c r="O140" s="89">
        <v>0.17885202</v>
      </c>
      <c r="P140" s="61">
        <v>381</v>
      </c>
      <c r="R140" s="88">
        <v>0.23371969000000001</v>
      </c>
      <c r="S140" s="61">
        <v>381</v>
      </c>
      <c r="T140" s="89">
        <v>0.18843705999999999</v>
      </c>
      <c r="U140" s="79">
        <v>381</v>
      </c>
      <c r="V140" s="89">
        <v>0.15014039000000001</v>
      </c>
      <c r="W140" s="61">
        <v>381</v>
      </c>
    </row>
    <row r="141" spans="11:23">
      <c r="K141" s="89">
        <v>0.20073186000000001</v>
      </c>
      <c r="L141" s="79">
        <v>382</v>
      </c>
      <c r="M141" s="89">
        <v>0.19100448</v>
      </c>
      <c r="N141" s="79">
        <v>382</v>
      </c>
      <c r="O141" s="89">
        <v>0.18101217</v>
      </c>
      <c r="P141" s="61">
        <v>382</v>
      </c>
      <c r="R141" s="88">
        <v>0.23627393999999999</v>
      </c>
      <c r="S141" s="61">
        <v>382</v>
      </c>
      <c r="T141" s="89">
        <v>0.19100448</v>
      </c>
      <c r="U141" s="79">
        <v>382</v>
      </c>
      <c r="V141" s="89">
        <v>0.15249866000000001</v>
      </c>
      <c r="W141" s="61">
        <v>382</v>
      </c>
    </row>
    <row r="142" spans="11:23">
      <c r="K142" s="89">
        <v>0.20326863000000001</v>
      </c>
      <c r="L142" s="79">
        <v>383</v>
      </c>
      <c r="M142" s="89">
        <v>0.19357189999999999</v>
      </c>
      <c r="N142" s="79">
        <v>383</v>
      </c>
      <c r="O142" s="89">
        <v>0.18328257000000001</v>
      </c>
      <c r="P142" s="61">
        <v>383</v>
      </c>
      <c r="R142" s="88">
        <v>0.23882819999999999</v>
      </c>
      <c r="S142" s="61">
        <v>383</v>
      </c>
      <c r="T142" s="89">
        <v>0.19357189999999999</v>
      </c>
      <c r="U142" s="79">
        <v>383</v>
      </c>
      <c r="V142" s="89">
        <v>0.15488513000000001</v>
      </c>
      <c r="W142" s="61">
        <v>383</v>
      </c>
    </row>
    <row r="143" spans="11:23">
      <c r="K143" s="89">
        <v>0.20582143999999999</v>
      </c>
      <c r="L143" s="79">
        <v>384</v>
      </c>
      <c r="M143" s="89">
        <v>0.19613929999999999</v>
      </c>
      <c r="N143" s="79">
        <v>384</v>
      </c>
      <c r="O143" s="89">
        <v>0.18566963</v>
      </c>
      <c r="P143" s="61">
        <v>384</v>
      </c>
      <c r="R143" s="88">
        <v>0.24138245</v>
      </c>
      <c r="S143" s="61">
        <v>384</v>
      </c>
      <c r="T143" s="89">
        <v>0.19613929999999999</v>
      </c>
      <c r="U143" s="79">
        <v>384</v>
      </c>
      <c r="V143" s="89">
        <v>0.15727160000000001</v>
      </c>
      <c r="W143" s="61">
        <v>384</v>
      </c>
    </row>
    <row r="144" spans="11:23">
      <c r="K144" s="89">
        <v>0.2085101</v>
      </c>
      <c r="L144" s="79">
        <v>385</v>
      </c>
      <c r="M144" s="89">
        <v>0.19870672</v>
      </c>
      <c r="N144" s="79">
        <v>385</v>
      </c>
      <c r="O144" s="89">
        <v>0.18805669</v>
      </c>
      <c r="P144" s="61">
        <v>385</v>
      </c>
      <c r="R144" s="88">
        <v>0.24395381999999999</v>
      </c>
      <c r="S144" s="61">
        <v>385</v>
      </c>
      <c r="T144" s="89">
        <v>0.19870672</v>
      </c>
      <c r="U144" s="79">
        <v>385</v>
      </c>
      <c r="V144" s="89">
        <v>0.15965805999999999</v>
      </c>
      <c r="W144" s="61">
        <v>385</v>
      </c>
    </row>
    <row r="145" spans="11:23">
      <c r="K145" s="89">
        <v>0.21119878</v>
      </c>
      <c r="L145" s="79">
        <v>386</v>
      </c>
      <c r="M145" s="89">
        <v>0.20127413999999999</v>
      </c>
      <c r="N145" s="79">
        <v>386</v>
      </c>
      <c r="O145" s="89">
        <v>0.19044374999999999</v>
      </c>
      <c r="P145" s="61">
        <v>386</v>
      </c>
      <c r="R145" s="88">
        <v>0.24659700000000001</v>
      </c>
      <c r="S145" s="61">
        <v>386</v>
      </c>
      <c r="T145" s="89">
        <v>0.20127413999999999</v>
      </c>
      <c r="U145" s="79">
        <v>386</v>
      </c>
      <c r="V145" s="89">
        <v>0.16204452999999999</v>
      </c>
      <c r="W145" s="61">
        <v>386</v>
      </c>
    </row>
    <row r="146" spans="11:23">
      <c r="K146" s="89">
        <v>0.21388745000000001</v>
      </c>
      <c r="L146" s="79">
        <v>387</v>
      </c>
      <c r="M146" s="89">
        <v>0.20384155000000001</v>
      </c>
      <c r="N146" s="79">
        <v>387</v>
      </c>
      <c r="O146" s="89">
        <v>0.19283082000000001</v>
      </c>
      <c r="P146" s="61">
        <v>387</v>
      </c>
      <c r="R146" s="88">
        <v>0.24924017000000001</v>
      </c>
      <c r="S146" s="61">
        <v>387</v>
      </c>
      <c r="T146" s="89">
        <v>0.20384155000000001</v>
      </c>
      <c r="U146" s="79">
        <v>387</v>
      </c>
      <c r="V146" s="89">
        <v>0.16443099999999999</v>
      </c>
      <c r="W146" s="61">
        <v>387</v>
      </c>
    </row>
    <row r="147" spans="11:23">
      <c r="K147" s="89">
        <v>0.21657610999999999</v>
      </c>
      <c r="L147" s="79">
        <v>388</v>
      </c>
      <c r="M147" s="89">
        <v>0.20640896</v>
      </c>
      <c r="N147" s="79">
        <v>388</v>
      </c>
      <c r="O147" s="89">
        <v>0.19521785999999999</v>
      </c>
      <c r="P147" s="61">
        <v>388</v>
      </c>
      <c r="R147" s="88">
        <v>0.25188336</v>
      </c>
      <c r="S147" s="61">
        <v>388</v>
      </c>
      <c r="T147" s="89">
        <v>0.20640896</v>
      </c>
      <c r="U147" s="79">
        <v>388</v>
      </c>
      <c r="V147" s="89">
        <v>0.16681747</v>
      </c>
      <c r="W147" s="61">
        <v>388</v>
      </c>
    </row>
    <row r="148" spans="11:23">
      <c r="K148" s="89">
        <v>0.21926478999999999</v>
      </c>
      <c r="L148" s="79">
        <v>389</v>
      </c>
      <c r="M148" s="89">
        <v>0.20897639000000001</v>
      </c>
      <c r="N148" s="79">
        <v>389</v>
      </c>
      <c r="O148" s="89">
        <v>0.19769326000000001</v>
      </c>
      <c r="P148" s="61">
        <v>389</v>
      </c>
      <c r="R148" s="88">
        <v>0.25452652999999997</v>
      </c>
      <c r="S148" s="61">
        <v>389</v>
      </c>
      <c r="T148" s="89">
        <v>0.20897639000000001</v>
      </c>
      <c r="U148" s="79">
        <v>389</v>
      </c>
      <c r="V148" s="89">
        <v>0.16920394</v>
      </c>
      <c r="W148" s="61">
        <v>389</v>
      </c>
    </row>
    <row r="149" spans="11:23">
      <c r="K149" s="89">
        <v>0.22195347000000001</v>
      </c>
      <c r="L149" s="79">
        <v>390</v>
      </c>
      <c r="M149" s="89">
        <v>0.2115438</v>
      </c>
      <c r="N149" s="79">
        <v>390</v>
      </c>
      <c r="O149" s="89">
        <v>0.20017187</v>
      </c>
      <c r="P149" s="61">
        <v>390</v>
      </c>
      <c r="R149" s="88">
        <v>0.2571697</v>
      </c>
      <c r="S149" s="61">
        <v>390</v>
      </c>
      <c r="T149" s="89">
        <v>0.2115438</v>
      </c>
      <c r="U149" s="79">
        <v>390</v>
      </c>
      <c r="V149" s="89">
        <v>0.1715904</v>
      </c>
      <c r="W149" s="61">
        <v>390</v>
      </c>
    </row>
    <row r="150" spans="11:23">
      <c r="K150" s="89">
        <v>0.22464213</v>
      </c>
      <c r="L150" s="79">
        <v>391</v>
      </c>
      <c r="M150" s="89">
        <v>0.21411121</v>
      </c>
      <c r="N150" s="79">
        <v>391</v>
      </c>
      <c r="O150" s="89">
        <v>0.20265048999999999</v>
      </c>
      <c r="P150" s="61">
        <v>391</v>
      </c>
      <c r="R150" s="88">
        <v>0.25985464000000003</v>
      </c>
      <c r="S150" s="61">
        <v>391</v>
      </c>
      <c r="T150" s="89">
        <v>0.21411121</v>
      </c>
      <c r="U150" s="79">
        <v>391</v>
      </c>
      <c r="V150" s="89">
        <v>0.17397687000000001</v>
      </c>
      <c r="W150" s="61">
        <v>391</v>
      </c>
    </row>
    <row r="151" spans="11:23">
      <c r="K151" s="89">
        <v>0.2273308</v>
      </c>
      <c r="L151" s="79">
        <v>392</v>
      </c>
      <c r="M151" s="89">
        <v>0.21667861999999999</v>
      </c>
      <c r="N151" s="79">
        <v>392</v>
      </c>
      <c r="O151" s="89">
        <v>0.20512910000000001</v>
      </c>
      <c r="P151" s="61">
        <v>392</v>
      </c>
      <c r="R151" s="88">
        <v>0.26262986999999999</v>
      </c>
      <c r="S151" s="61">
        <v>392</v>
      </c>
      <c r="T151" s="89">
        <v>0.21667861999999999</v>
      </c>
      <c r="U151" s="79">
        <v>392</v>
      </c>
      <c r="V151" s="89">
        <v>0.17636333000000001</v>
      </c>
      <c r="W151" s="61">
        <v>392</v>
      </c>
    </row>
    <row r="152" spans="11:23">
      <c r="K152" s="89">
        <v>0.23001948</v>
      </c>
      <c r="L152" s="79">
        <v>393</v>
      </c>
      <c r="M152" s="89">
        <v>0.21924604</v>
      </c>
      <c r="N152" s="79">
        <v>393</v>
      </c>
      <c r="O152" s="89">
        <v>0.20760772</v>
      </c>
      <c r="P152" s="61">
        <v>393</v>
      </c>
      <c r="R152" s="88">
        <v>0.2654051</v>
      </c>
      <c r="S152" s="61">
        <v>393</v>
      </c>
      <c r="T152" s="89">
        <v>0.21924604</v>
      </c>
      <c r="U152" s="79">
        <v>393</v>
      </c>
      <c r="V152" s="89">
        <v>0.17892723999999999</v>
      </c>
      <c r="W152" s="61">
        <v>393</v>
      </c>
    </row>
    <row r="153" spans="11:23">
      <c r="K153" s="89">
        <v>0.23270814000000001</v>
      </c>
      <c r="L153" s="79">
        <v>394</v>
      </c>
      <c r="M153" s="89">
        <v>0.22181345999999999</v>
      </c>
      <c r="N153" s="79">
        <v>394</v>
      </c>
      <c r="O153" s="89">
        <v>0.21014732</v>
      </c>
      <c r="P153" s="61">
        <v>394</v>
      </c>
      <c r="R153" s="88">
        <v>0.26818034000000002</v>
      </c>
      <c r="S153" s="61">
        <v>394</v>
      </c>
      <c r="T153" s="89">
        <v>0.22181345999999999</v>
      </c>
      <c r="U153" s="79">
        <v>394</v>
      </c>
      <c r="V153" s="89">
        <v>0.18152906999999999</v>
      </c>
      <c r="W153" s="61">
        <v>394</v>
      </c>
    </row>
    <row r="154" spans="11:23">
      <c r="K154" s="89">
        <v>0.23540971999999999</v>
      </c>
      <c r="L154" s="79">
        <v>395</v>
      </c>
      <c r="M154" s="89">
        <v>0.22438087000000001</v>
      </c>
      <c r="N154" s="79">
        <v>395</v>
      </c>
      <c r="O154" s="89">
        <v>0.21276345999999999</v>
      </c>
      <c r="P154" s="61">
        <v>395</v>
      </c>
      <c r="R154" s="88">
        <v>0.27095555999999998</v>
      </c>
      <c r="S154" s="61">
        <v>395</v>
      </c>
      <c r="T154" s="89">
        <v>0.22438087000000001</v>
      </c>
      <c r="U154" s="79">
        <v>395</v>
      </c>
      <c r="V154" s="89">
        <v>0.18413092</v>
      </c>
      <c r="W154" s="61">
        <v>395</v>
      </c>
    </row>
    <row r="155" spans="11:23">
      <c r="K155" s="89">
        <v>0.23830211000000001</v>
      </c>
      <c r="L155" s="79">
        <v>396</v>
      </c>
      <c r="M155" s="89">
        <v>0.22694829</v>
      </c>
      <c r="N155" s="79">
        <v>396</v>
      </c>
      <c r="O155" s="89">
        <v>0.21537957999999999</v>
      </c>
      <c r="P155" s="61">
        <v>396</v>
      </c>
      <c r="R155" s="88">
        <v>0.27373078000000001</v>
      </c>
      <c r="S155" s="61">
        <v>396</v>
      </c>
      <c r="T155" s="89">
        <v>0.22694829</v>
      </c>
      <c r="U155" s="79">
        <v>396</v>
      </c>
      <c r="V155" s="89">
        <v>0.18673275</v>
      </c>
      <c r="W155" s="61">
        <v>396</v>
      </c>
    </row>
    <row r="156" spans="11:23">
      <c r="K156" s="89">
        <v>0.24119450000000001</v>
      </c>
      <c r="L156" s="79">
        <v>397</v>
      </c>
      <c r="M156" s="89">
        <v>0.22951569999999999</v>
      </c>
      <c r="N156" s="79">
        <v>397</v>
      </c>
      <c r="O156" s="89">
        <v>0.21799572</v>
      </c>
      <c r="P156" s="61">
        <v>397</v>
      </c>
      <c r="R156" s="88">
        <v>0.27650599999999997</v>
      </c>
      <c r="S156" s="61">
        <v>397</v>
      </c>
      <c r="T156" s="89">
        <v>0.22951569999999999</v>
      </c>
      <c r="U156" s="79">
        <v>397</v>
      </c>
      <c r="V156" s="89">
        <v>0.18933459</v>
      </c>
      <c r="W156" s="61">
        <v>397</v>
      </c>
    </row>
    <row r="157" spans="11:23">
      <c r="K157" s="89">
        <v>0.24408689</v>
      </c>
      <c r="L157" s="79">
        <v>398</v>
      </c>
      <c r="M157" s="89">
        <v>0.23208311000000001</v>
      </c>
      <c r="N157" s="79">
        <v>398</v>
      </c>
      <c r="O157" s="89">
        <v>0.22061184</v>
      </c>
      <c r="P157" s="61">
        <v>398</v>
      </c>
      <c r="R157" s="88">
        <v>0.27928125999999998</v>
      </c>
      <c r="S157" s="61">
        <v>398</v>
      </c>
      <c r="T157" s="89">
        <v>0.23208311000000001</v>
      </c>
      <c r="U157" s="79">
        <v>398</v>
      </c>
      <c r="V157" s="89">
        <v>0.19193642</v>
      </c>
      <c r="W157" s="61">
        <v>398</v>
      </c>
    </row>
    <row r="158" spans="11:23">
      <c r="K158" s="89">
        <v>0.24697928</v>
      </c>
      <c r="L158" s="79">
        <v>399</v>
      </c>
      <c r="M158" s="89">
        <v>0.23465053999999999</v>
      </c>
      <c r="N158" s="79">
        <v>399</v>
      </c>
      <c r="O158" s="89">
        <v>0.22322797999999999</v>
      </c>
      <c r="P158" s="61">
        <v>399</v>
      </c>
      <c r="R158" s="88">
        <v>0.28205648</v>
      </c>
      <c r="S158" s="61">
        <v>399</v>
      </c>
      <c r="T158" s="89">
        <v>0.23465053999999999</v>
      </c>
      <c r="U158" s="79">
        <v>399</v>
      </c>
      <c r="V158" s="89">
        <v>0.19453825</v>
      </c>
      <c r="W158" s="61">
        <v>399</v>
      </c>
    </row>
    <row r="159" spans="11:23">
      <c r="K159" s="89">
        <v>0.24987166999999999</v>
      </c>
      <c r="L159" s="79">
        <v>400</v>
      </c>
      <c r="M159" s="89">
        <v>0.23721795000000001</v>
      </c>
      <c r="N159" s="79">
        <v>400</v>
      </c>
      <c r="O159" s="89">
        <v>0.22584409999999999</v>
      </c>
      <c r="P159" s="61">
        <v>400</v>
      </c>
      <c r="R159" s="88">
        <v>0.28483170000000002</v>
      </c>
      <c r="S159" s="61">
        <v>400</v>
      </c>
      <c r="T159" s="89">
        <v>0.23721795000000001</v>
      </c>
      <c r="U159" s="79">
        <v>400</v>
      </c>
      <c r="V159" s="89">
        <v>0.19714010000000001</v>
      </c>
      <c r="W159" s="61">
        <v>400</v>
      </c>
    </row>
    <row r="160" spans="11:23">
      <c r="K160" s="89">
        <v>0.25276408</v>
      </c>
      <c r="L160" s="79">
        <v>401</v>
      </c>
      <c r="M160" s="89">
        <v>0.23991607000000001</v>
      </c>
      <c r="N160" s="79">
        <v>401</v>
      </c>
      <c r="O160" s="89">
        <v>0.22846024000000001</v>
      </c>
      <c r="P160" s="61">
        <v>401</v>
      </c>
      <c r="R160" s="88">
        <v>0.28760694999999997</v>
      </c>
      <c r="S160" s="61">
        <v>401</v>
      </c>
      <c r="T160" s="89">
        <v>0.23991607000000001</v>
      </c>
      <c r="U160" s="79">
        <v>401</v>
      </c>
      <c r="V160" s="89">
        <v>0.19974193000000001</v>
      </c>
      <c r="W160" s="61">
        <v>401</v>
      </c>
    </row>
    <row r="161" spans="11:23">
      <c r="K161" s="89">
        <v>0.25565644999999998</v>
      </c>
      <c r="L161" s="79">
        <v>402</v>
      </c>
      <c r="M161" s="89">
        <v>0.24272458</v>
      </c>
      <c r="N161" s="79">
        <v>402</v>
      </c>
      <c r="O161" s="89">
        <v>0.23107636000000001</v>
      </c>
      <c r="P161" s="61">
        <v>402</v>
      </c>
      <c r="R161" s="88">
        <v>0.29038217999999999</v>
      </c>
      <c r="S161" s="61">
        <v>402</v>
      </c>
      <c r="T161" s="89">
        <v>0.24272458</v>
      </c>
      <c r="U161" s="79">
        <v>402</v>
      </c>
      <c r="V161" s="89">
        <v>0.20234376000000001</v>
      </c>
      <c r="W161" s="61">
        <v>402</v>
      </c>
    </row>
    <row r="162" spans="11:23">
      <c r="K162" s="89">
        <v>0.25854885999999999</v>
      </c>
      <c r="L162" s="79">
        <v>403</v>
      </c>
      <c r="M162" s="89">
        <v>0.2455331</v>
      </c>
      <c r="N162" s="79">
        <v>403</v>
      </c>
      <c r="O162" s="89">
        <v>0.2336925</v>
      </c>
      <c r="P162" s="61">
        <v>403</v>
      </c>
      <c r="R162" s="88">
        <v>0.29325497</v>
      </c>
      <c r="S162" s="61">
        <v>403</v>
      </c>
      <c r="T162" s="89">
        <v>0.2455331</v>
      </c>
      <c r="U162" s="79">
        <v>403</v>
      </c>
      <c r="V162" s="89">
        <v>0.20494560000000001</v>
      </c>
      <c r="W162" s="61">
        <v>403</v>
      </c>
    </row>
    <row r="163" spans="11:23">
      <c r="K163" s="89">
        <v>0.26144126000000001</v>
      </c>
      <c r="L163" s="79">
        <v>404</v>
      </c>
      <c r="M163" s="89">
        <v>0.24834159</v>
      </c>
      <c r="N163" s="79">
        <v>404</v>
      </c>
      <c r="O163" s="89">
        <v>0.23630862</v>
      </c>
      <c r="P163" s="61">
        <v>404</v>
      </c>
      <c r="R163" s="88">
        <v>0.29620340000000001</v>
      </c>
      <c r="S163" s="61">
        <v>404</v>
      </c>
      <c r="T163" s="89">
        <v>0.24834159</v>
      </c>
      <c r="U163" s="79">
        <v>404</v>
      </c>
      <c r="V163" s="89">
        <v>0.20767552</v>
      </c>
      <c r="W163" s="61">
        <v>404</v>
      </c>
    </row>
    <row r="164" spans="11:23">
      <c r="K164" s="89">
        <v>0.26433363999999998</v>
      </c>
      <c r="L164" s="79">
        <v>405</v>
      </c>
      <c r="M164" s="89">
        <v>0.25115009999999999</v>
      </c>
      <c r="N164" s="79">
        <v>405</v>
      </c>
      <c r="O164" s="89">
        <v>0.23899815999999999</v>
      </c>
      <c r="P164" s="61">
        <v>405</v>
      </c>
      <c r="R164" s="88">
        <v>0.29915180000000002</v>
      </c>
      <c r="S164" s="61">
        <v>405</v>
      </c>
      <c r="T164" s="89">
        <v>0.25115009999999999</v>
      </c>
      <c r="U164" s="79">
        <v>405</v>
      </c>
      <c r="V164" s="89">
        <v>0.21044123000000001</v>
      </c>
      <c r="W164" s="61">
        <v>405</v>
      </c>
    </row>
    <row r="165" spans="11:23">
      <c r="K165" s="89">
        <v>0.26723033000000002</v>
      </c>
      <c r="L165" s="79">
        <v>406</v>
      </c>
      <c r="M165" s="89">
        <v>0.25396064000000002</v>
      </c>
      <c r="N165" s="79">
        <v>406</v>
      </c>
      <c r="O165" s="89">
        <v>0.24179724</v>
      </c>
      <c r="P165" s="61">
        <v>406</v>
      </c>
      <c r="R165" s="88">
        <v>0.30210019999999999</v>
      </c>
      <c r="S165" s="61">
        <v>406</v>
      </c>
      <c r="T165" s="89">
        <v>0.25396064000000002</v>
      </c>
      <c r="U165" s="79">
        <v>406</v>
      </c>
      <c r="V165" s="89">
        <v>0.21320696</v>
      </c>
      <c r="W165" s="61">
        <v>406</v>
      </c>
    </row>
    <row r="166" spans="11:23">
      <c r="K166" s="89">
        <v>0.27032694000000002</v>
      </c>
      <c r="L166" s="79">
        <v>407</v>
      </c>
      <c r="M166" s="89">
        <v>0.25686562000000002</v>
      </c>
      <c r="N166" s="79">
        <v>407</v>
      </c>
      <c r="O166" s="89">
        <v>0.24459629999999999</v>
      </c>
      <c r="P166" s="61">
        <v>407</v>
      </c>
      <c r="R166" s="88">
        <v>0.3050486</v>
      </c>
      <c r="S166" s="61">
        <v>407</v>
      </c>
      <c r="T166" s="89">
        <v>0.25686562000000002</v>
      </c>
      <c r="U166" s="79">
        <v>407</v>
      </c>
      <c r="V166" s="89">
        <v>0.21597268</v>
      </c>
      <c r="W166" s="61">
        <v>407</v>
      </c>
    </row>
    <row r="167" spans="11:23">
      <c r="K167" s="89">
        <v>0.27342355000000002</v>
      </c>
      <c r="L167" s="79">
        <v>408</v>
      </c>
      <c r="M167" s="89">
        <v>0.25977060000000002</v>
      </c>
      <c r="N167" s="79">
        <v>408</v>
      </c>
      <c r="O167" s="89">
        <v>0.24739538</v>
      </c>
      <c r="P167" s="61">
        <v>408</v>
      </c>
      <c r="R167" s="88">
        <v>0.30799702000000001</v>
      </c>
      <c r="S167" s="61">
        <v>408</v>
      </c>
      <c r="T167" s="89">
        <v>0.25977060000000002</v>
      </c>
      <c r="U167" s="79">
        <v>408</v>
      </c>
      <c r="V167" s="89">
        <v>0.21873839</v>
      </c>
      <c r="W167" s="61">
        <v>408</v>
      </c>
    </row>
    <row r="168" spans="11:23">
      <c r="K168" s="89">
        <v>0.27652016000000001</v>
      </c>
      <c r="L168" s="79">
        <v>409</v>
      </c>
      <c r="M168" s="89">
        <v>0.26267558000000002</v>
      </c>
      <c r="N168" s="79">
        <v>409</v>
      </c>
      <c r="O168" s="89">
        <v>0.25019446000000001</v>
      </c>
      <c r="P168" s="61">
        <v>409</v>
      </c>
      <c r="R168" s="88">
        <v>0.31094541999999997</v>
      </c>
      <c r="S168" s="61">
        <v>409</v>
      </c>
      <c r="T168" s="89">
        <v>0.26267558000000002</v>
      </c>
      <c r="U168" s="79">
        <v>409</v>
      </c>
      <c r="V168" s="89">
        <v>0.22153281999999999</v>
      </c>
      <c r="W168" s="61">
        <v>409</v>
      </c>
    </row>
    <row r="169" spans="11:23">
      <c r="K169" s="89">
        <v>0.27961677000000001</v>
      </c>
      <c r="L169" s="79">
        <v>410</v>
      </c>
      <c r="M169" s="89">
        <v>0.26558056000000002</v>
      </c>
      <c r="N169" s="79">
        <v>410</v>
      </c>
      <c r="O169" s="89">
        <v>0.25299352000000003</v>
      </c>
      <c r="P169" s="61">
        <v>410</v>
      </c>
      <c r="R169" s="88">
        <v>0.31389381999999999</v>
      </c>
      <c r="S169" s="61">
        <v>410</v>
      </c>
      <c r="T169" s="89">
        <v>0.26558056000000002</v>
      </c>
      <c r="U169" s="79">
        <v>410</v>
      </c>
      <c r="V169" s="89">
        <v>0.22440879</v>
      </c>
      <c r="W169" s="61">
        <v>410</v>
      </c>
    </row>
    <row r="170" spans="11:23">
      <c r="K170" s="89">
        <v>0.28271338000000001</v>
      </c>
      <c r="L170" s="79">
        <v>411</v>
      </c>
      <c r="M170" s="89">
        <v>0.26848555000000002</v>
      </c>
      <c r="N170" s="79">
        <v>411</v>
      </c>
      <c r="O170" s="89">
        <v>0.25579259999999998</v>
      </c>
      <c r="P170" s="61">
        <v>411</v>
      </c>
      <c r="R170" s="88">
        <v>0.31684225999999999</v>
      </c>
      <c r="S170" s="61">
        <v>411</v>
      </c>
      <c r="T170" s="89">
        <v>0.26848555000000002</v>
      </c>
      <c r="U170" s="79">
        <v>411</v>
      </c>
      <c r="V170" s="89">
        <v>0.22728477</v>
      </c>
      <c r="W170" s="61">
        <v>411</v>
      </c>
    </row>
    <row r="171" spans="11:23">
      <c r="K171" s="89">
        <v>0.28581000000000001</v>
      </c>
      <c r="L171" s="79">
        <v>412</v>
      </c>
      <c r="M171" s="89">
        <v>0.27146265000000003</v>
      </c>
      <c r="N171" s="79">
        <v>412</v>
      </c>
      <c r="O171" s="89">
        <v>0.25859165000000001</v>
      </c>
      <c r="P171" s="61">
        <v>412</v>
      </c>
      <c r="R171" s="88">
        <v>0.31979066</v>
      </c>
      <c r="S171" s="61">
        <v>412</v>
      </c>
      <c r="T171" s="89">
        <v>0.27146265000000003</v>
      </c>
      <c r="U171" s="79">
        <v>412</v>
      </c>
      <c r="V171" s="89">
        <v>0.23016074</v>
      </c>
      <c r="W171" s="61">
        <v>412</v>
      </c>
    </row>
    <row r="172" spans="11:23">
      <c r="K172" s="89">
        <v>0.28890660000000001</v>
      </c>
      <c r="L172" s="79">
        <v>413</v>
      </c>
      <c r="M172" s="89">
        <v>0.27451189999999998</v>
      </c>
      <c r="N172" s="79">
        <v>413</v>
      </c>
      <c r="O172" s="89">
        <v>0.26139075000000001</v>
      </c>
      <c r="P172" s="61">
        <v>413</v>
      </c>
      <c r="R172" s="88">
        <v>0.32273906000000002</v>
      </c>
      <c r="S172" s="61">
        <v>413</v>
      </c>
      <c r="T172" s="89">
        <v>0.27451189999999998</v>
      </c>
      <c r="U172" s="79">
        <v>413</v>
      </c>
      <c r="V172" s="89">
        <v>0.23303673</v>
      </c>
      <c r="W172" s="61">
        <v>413</v>
      </c>
    </row>
    <row r="173" spans="11:23">
      <c r="K173" s="89">
        <v>0.29200324</v>
      </c>
      <c r="L173" s="79">
        <v>414</v>
      </c>
      <c r="M173" s="89">
        <v>0.27756120000000001</v>
      </c>
      <c r="N173" s="79">
        <v>414</v>
      </c>
      <c r="O173" s="89">
        <v>0.26418979999999997</v>
      </c>
      <c r="P173" s="61">
        <v>414</v>
      </c>
      <c r="R173" s="88">
        <v>0.32568746999999998</v>
      </c>
      <c r="S173" s="61">
        <v>414</v>
      </c>
      <c r="T173" s="89">
        <v>0.27756120000000001</v>
      </c>
      <c r="U173" s="79">
        <v>414</v>
      </c>
      <c r="V173" s="89">
        <v>0.2359127</v>
      </c>
      <c r="W173" s="61">
        <v>414</v>
      </c>
    </row>
    <row r="174" spans="11:23">
      <c r="K174" s="89">
        <v>0.29509985</v>
      </c>
      <c r="L174" s="79">
        <v>415</v>
      </c>
      <c r="M174" s="89">
        <v>0.28061047</v>
      </c>
      <c r="N174" s="79">
        <v>415</v>
      </c>
      <c r="O174" s="89">
        <v>0.26698886999999999</v>
      </c>
      <c r="P174" s="61">
        <v>415</v>
      </c>
      <c r="R174" s="88">
        <v>0.32877299999999998</v>
      </c>
      <c r="S174" s="61">
        <v>415</v>
      </c>
      <c r="T174" s="89">
        <v>0.28061047</v>
      </c>
      <c r="U174" s="79">
        <v>415</v>
      </c>
      <c r="V174" s="89">
        <v>0.23891180000000001</v>
      </c>
      <c r="W174" s="61">
        <v>415</v>
      </c>
    </row>
    <row r="175" spans="11:23">
      <c r="K175" s="89">
        <v>0.29819646</v>
      </c>
      <c r="L175" s="79">
        <v>416</v>
      </c>
      <c r="M175" s="89">
        <v>0.28365973</v>
      </c>
      <c r="N175" s="79">
        <v>416</v>
      </c>
      <c r="O175" s="89">
        <v>0.26985313999999999</v>
      </c>
      <c r="P175" s="61">
        <v>416</v>
      </c>
      <c r="R175" s="88">
        <v>0.33189049999999998</v>
      </c>
      <c r="S175" s="61">
        <v>416</v>
      </c>
      <c r="T175" s="89">
        <v>0.28365973</v>
      </c>
      <c r="U175" s="79">
        <v>416</v>
      </c>
      <c r="V175" s="89">
        <v>0.24195431000000001</v>
      </c>
      <c r="W175" s="61">
        <v>416</v>
      </c>
    </row>
    <row r="176" spans="11:23">
      <c r="K176" s="89">
        <v>0.30129307999999999</v>
      </c>
      <c r="L176" s="79">
        <v>417</v>
      </c>
      <c r="M176" s="89">
        <v>0.28670899999999999</v>
      </c>
      <c r="N176" s="79">
        <v>417</v>
      </c>
      <c r="O176" s="89">
        <v>0.27283384999999999</v>
      </c>
      <c r="P176" s="61">
        <v>417</v>
      </c>
      <c r="R176" s="88">
        <v>0.33500799999999997</v>
      </c>
      <c r="S176" s="61">
        <v>417</v>
      </c>
      <c r="T176" s="89">
        <v>0.28670899999999999</v>
      </c>
      <c r="U176" s="79">
        <v>417</v>
      </c>
      <c r="V176" s="89">
        <v>0.24499684999999999</v>
      </c>
      <c r="W176" s="61">
        <v>417</v>
      </c>
    </row>
    <row r="177" spans="11:23">
      <c r="K177" s="89">
        <v>0.30458940000000001</v>
      </c>
      <c r="L177" s="79">
        <v>418</v>
      </c>
      <c r="M177" s="89">
        <v>0.28975826999999998</v>
      </c>
      <c r="N177" s="79">
        <v>418</v>
      </c>
      <c r="O177" s="89">
        <v>0.27581453</v>
      </c>
      <c r="P177" s="61">
        <v>418</v>
      </c>
      <c r="R177" s="88">
        <v>0.33812553000000001</v>
      </c>
      <c r="S177" s="61">
        <v>418</v>
      </c>
      <c r="T177" s="89">
        <v>0.28975826999999998</v>
      </c>
      <c r="U177" s="79">
        <v>418</v>
      </c>
      <c r="V177" s="89">
        <v>0.24803935999999999</v>
      </c>
      <c r="W177" s="61">
        <v>418</v>
      </c>
    </row>
    <row r="178" spans="11:23">
      <c r="K178" s="89">
        <v>0.30789006000000002</v>
      </c>
      <c r="L178" s="79">
        <v>419</v>
      </c>
      <c r="M178" s="89">
        <v>0.29280755000000003</v>
      </c>
      <c r="N178" s="79">
        <v>419</v>
      </c>
      <c r="O178" s="89">
        <v>0.27879524</v>
      </c>
      <c r="P178" s="61">
        <v>419</v>
      </c>
      <c r="R178" s="88">
        <v>0.34124303</v>
      </c>
      <c r="S178" s="61">
        <v>419</v>
      </c>
      <c r="T178" s="89">
        <v>0.29280755000000003</v>
      </c>
      <c r="U178" s="79">
        <v>419</v>
      </c>
      <c r="V178" s="89">
        <v>0.25108187999999998</v>
      </c>
      <c r="W178" s="61">
        <v>419</v>
      </c>
    </row>
    <row r="179" spans="11:23">
      <c r="K179" s="89">
        <v>0.31119069999999999</v>
      </c>
      <c r="L179" s="79">
        <v>420</v>
      </c>
      <c r="M179" s="89">
        <v>0.29585679999999998</v>
      </c>
      <c r="N179" s="79">
        <v>420</v>
      </c>
      <c r="O179" s="89">
        <v>0.28177592000000001</v>
      </c>
      <c r="P179" s="61">
        <v>420</v>
      </c>
      <c r="R179" s="88">
        <v>0.34436055999999998</v>
      </c>
      <c r="S179" s="61">
        <v>420</v>
      </c>
      <c r="T179" s="89">
        <v>0.29585679999999998</v>
      </c>
      <c r="U179" s="79">
        <v>420</v>
      </c>
      <c r="V179" s="89">
        <v>0.25412439999999997</v>
      </c>
      <c r="W179" s="61">
        <v>420</v>
      </c>
    </row>
    <row r="180" spans="11:23">
      <c r="K180" s="89">
        <v>0.31449136</v>
      </c>
      <c r="L180" s="79">
        <v>421</v>
      </c>
      <c r="M180" s="89">
        <v>0.29890610000000001</v>
      </c>
      <c r="N180" s="79">
        <v>421</v>
      </c>
      <c r="O180" s="89">
        <v>0.28475663000000001</v>
      </c>
      <c r="P180" s="61">
        <v>421</v>
      </c>
      <c r="R180" s="88">
        <v>0.34747805999999998</v>
      </c>
      <c r="S180" s="61">
        <v>421</v>
      </c>
      <c r="T180" s="89">
        <v>0.29890610000000001</v>
      </c>
      <c r="U180" s="79">
        <v>421</v>
      </c>
      <c r="V180" s="89">
        <v>0.25716692000000002</v>
      </c>
      <c r="W180" s="61">
        <v>421</v>
      </c>
    </row>
    <row r="181" spans="11:23">
      <c r="K181" s="89">
        <v>0.31779203</v>
      </c>
      <c r="L181" s="79">
        <v>422</v>
      </c>
      <c r="M181" s="89">
        <v>0.30195534000000002</v>
      </c>
      <c r="N181" s="79">
        <v>422</v>
      </c>
      <c r="O181" s="89">
        <v>0.28773734000000001</v>
      </c>
      <c r="P181" s="61">
        <v>422</v>
      </c>
      <c r="R181" s="88">
        <v>0.35059555999999997</v>
      </c>
      <c r="S181" s="61">
        <v>422</v>
      </c>
      <c r="T181" s="89">
        <v>0.30195534000000002</v>
      </c>
      <c r="U181" s="79">
        <v>422</v>
      </c>
      <c r="V181" s="89">
        <v>0.26020947</v>
      </c>
      <c r="W181" s="61">
        <v>422</v>
      </c>
    </row>
    <row r="182" spans="11:23">
      <c r="K182" s="89">
        <v>0.32109270000000001</v>
      </c>
      <c r="L182" s="79">
        <v>423</v>
      </c>
      <c r="M182" s="89">
        <v>0.30509219999999998</v>
      </c>
      <c r="N182" s="79">
        <v>423</v>
      </c>
      <c r="O182" s="89">
        <v>0.29071802000000002</v>
      </c>
      <c r="P182" s="61">
        <v>423</v>
      </c>
      <c r="R182" s="88">
        <v>0.3537131</v>
      </c>
      <c r="S182" s="61">
        <v>423</v>
      </c>
      <c r="T182" s="89">
        <v>0.30509219999999998</v>
      </c>
      <c r="U182" s="79">
        <v>423</v>
      </c>
      <c r="V182" s="89">
        <v>0.26325199999999999</v>
      </c>
      <c r="W182" s="61">
        <v>423</v>
      </c>
    </row>
    <row r="183" spans="11:23">
      <c r="K183" s="89">
        <v>0.32439332999999998</v>
      </c>
      <c r="L183" s="79">
        <v>424</v>
      </c>
      <c r="M183" s="89">
        <v>0.30833285999999999</v>
      </c>
      <c r="N183" s="79">
        <v>424</v>
      </c>
      <c r="O183" s="89">
        <v>0.29369873000000002</v>
      </c>
      <c r="P183" s="61">
        <v>424</v>
      </c>
      <c r="R183" s="88">
        <v>0.3568306</v>
      </c>
      <c r="S183" s="61">
        <v>424</v>
      </c>
      <c r="T183" s="89">
        <v>0.30833285999999999</v>
      </c>
      <c r="U183" s="79">
        <v>424</v>
      </c>
      <c r="V183" s="89">
        <v>0.26629449999999999</v>
      </c>
      <c r="W183" s="61">
        <v>424</v>
      </c>
    </row>
    <row r="184" spans="11:23">
      <c r="K184" s="89">
        <v>0.32769399999999999</v>
      </c>
      <c r="L184" s="79">
        <v>425</v>
      </c>
      <c r="M184" s="89">
        <v>0.3115735</v>
      </c>
      <c r="N184" s="79">
        <v>425</v>
      </c>
      <c r="O184" s="89">
        <v>0.29667939999999998</v>
      </c>
      <c r="P184" s="61">
        <v>425</v>
      </c>
      <c r="R184" s="88">
        <v>0.35994812999999998</v>
      </c>
      <c r="S184" s="61">
        <v>425</v>
      </c>
      <c r="T184" s="89">
        <v>0.3115735</v>
      </c>
      <c r="U184" s="79">
        <v>425</v>
      </c>
      <c r="V184" s="89">
        <v>0.26933702999999998</v>
      </c>
      <c r="W184" s="61">
        <v>425</v>
      </c>
    </row>
    <row r="185" spans="11:23">
      <c r="K185" s="89">
        <v>0.33099466999999999</v>
      </c>
      <c r="L185" s="79">
        <v>426</v>
      </c>
      <c r="M185" s="89">
        <v>0.31481418</v>
      </c>
      <c r="N185" s="79">
        <v>426</v>
      </c>
      <c r="O185" s="89">
        <v>0.29966011999999997</v>
      </c>
      <c r="P185" s="61">
        <v>426</v>
      </c>
      <c r="R185" s="88">
        <v>0.36307519999999999</v>
      </c>
      <c r="S185" s="61">
        <v>426</v>
      </c>
      <c r="T185" s="89">
        <v>0.31481418</v>
      </c>
      <c r="U185" s="79">
        <v>426</v>
      </c>
      <c r="V185" s="89">
        <v>0.27253539999999998</v>
      </c>
      <c r="W185" s="61">
        <v>426</v>
      </c>
    </row>
    <row r="186" spans="11:23">
      <c r="K186" s="89">
        <v>0.33429530000000002</v>
      </c>
      <c r="L186" s="79">
        <v>427</v>
      </c>
      <c r="M186" s="89">
        <v>0.31805485</v>
      </c>
      <c r="N186" s="79">
        <v>427</v>
      </c>
      <c r="O186" s="89">
        <v>0.30269772</v>
      </c>
      <c r="P186" s="61">
        <v>427</v>
      </c>
      <c r="R186" s="88">
        <v>0.36635764999999998</v>
      </c>
      <c r="S186" s="61">
        <v>427</v>
      </c>
      <c r="T186" s="89">
        <v>0.31805485</v>
      </c>
      <c r="U186" s="79">
        <v>427</v>
      </c>
      <c r="V186" s="89">
        <v>0.27580157</v>
      </c>
      <c r="W186" s="61">
        <v>427</v>
      </c>
    </row>
    <row r="187" spans="11:23">
      <c r="K187" s="89">
        <v>0.33759597000000002</v>
      </c>
      <c r="L187" s="79">
        <v>428</v>
      </c>
      <c r="M187" s="89">
        <v>0.32129550000000001</v>
      </c>
      <c r="N187" s="79">
        <v>428</v>
      </c>
      <c r="O187" s="89">
        <v>0.30585814</v>
      </c>
      <c r="P187" s="61">
        <v>428</v>
      </c>
      <c r="R187" s="88">
        <v>0.36964007999999998</v>
      </c>
      <c r="S187" s="61">
        <v>428</v>
      </c>
      <c r="T187" s="89">
        <v>0.32129550000000001</v>
      </c>
      <c r="U187" s="79">
        <v>428</v>
      </c>
      <c r="V187" s="89">
        <v>0.27906772000000002</v>
      </c>
      <c r="W187" s="61">
        <v>428</v>
      </c>
    </row>
    <row r="188" spans="11:23">
      <c r="K188" s="89">
        <v>0.34103974999999997</v>
      </c>
      <c r="L188" s="79">
        <v>429</v>
      </c>
      <c r="M188" s="89">
        <v>0.32453617000000001</v>
      </c>
      <c r="N188" s="79">
        <v>429</v>
      </c>
      <c r="O188" s="89">
        <v>0.30901855</v>
      </c>
      <c r="P188" s="61">
        <v>429</v>
      </c>
      <c r="R188" s="88">
        <v>0.37292254000000002</v>
      </c>
      <c r="S188" s="61">
        <v>429</v>
      </c>
      <c r="T188" s="89">
        <v>0.32453617000000001</v>
      </c>
      <c r="U188" s="79">
        <v>429</v>
      </c>
      <c r="V188" s="89">
        <v>0.28233387999999998</v>
      </c>
      <c r="W188" s="61">
        <v>429</v>
      </c>
    </row>
    <row r="189" spans="11:23">
      <c r="K189" s="89">
        <v>0.34449323999999998</v>
      </c>
      <c r="L189" s="79">
        <v>430</v>
      </c>
      <c r="M189" s="89">
        <v>0.32777685000000001</v>
      </c>
      <c r="N189" s="79">
        <v>430</v>
      </c>
      <c r="O189" s="89">
        <v>0.31217897</v>
      </c>
      <c r="P189" s="61">
        <v>430</v>
      </c>
      <c r="R189" s="88">
        <v>0.37620500000000001</v>
      </c>
      <c r="S189" s="61">
        <v>430</v>
      </c>
      <c r="T189" s="89">
        <v>0.32777685000000001</v>
      </c>
      <c r="U189" s="79">
        <v>430</v>
      </c>
      <c r="V189" s="89">
        <v>0.28560004</v>
      </c>
      <c r="W189" s="61">
        <v>430</v>
      </c>
    </row>
    <row r="190" spans="11:23">
      <c r="K190" s="89">
        <v>0.34794672999999998</v>
      </c>
      <c r="L190" s="79">
        <v>431</v>
      </c>
      <c r="M190" s="89">
        <v>0.33101750000000002</v>
      </c>
      <c r="N190" s="79">
        <v>431</v>
      </c>
      <c r="O190" s="89">
        <v>0.31533939999999999</v>
      </c>
      <c r="P190" s="61">
        <v>431</v>
      </c>
      <c r="R190" s="88">
        <v>0.37948743000000001</v>
      </c>
      <c r="S190" s="61">
        <v>431</v>
      </c>
      <c r="T190" s="89">
        <v>0.33101750000000002</v>
      </c>
      <c r="U190" s="79">
        <v>431</v>
      </c>
      <c r="V190" s="89">
        <v>0.28886620000000002</v>
      </c>
      <c r="W190" s="61">
        <v>431</v>
      </c>
    </row>
    <row r="191" spans="11:23">
      <c r="K191" s="89">
        <v>0.35140026000000002</v>
      </c>
      <c r="L191" s="79">
        <v>432</v>
      </c>
      <c r="M191" s="89">
        <v>0.33425817000000002</v>
      </c>
      <c r="N191" s="79">
        <v>432</v>
      </c>
      <c r="O191" s="89">
        <v>0.3184998</v>
      </c>
      <c r="P191" s="61">
        <v>432</v>
      </c>
      <c r="R191" s="88">
        <v>0.38276988000000001</v>
      </c>
      <c r="S191" s="61">
        <v>432</v>
      </c>
      <c r="T191" s="89">
        <v>0.33425817000000002</v>
      </c>
      <c r="U191" s="79">
        <v>432</v>
      </c>
      <c r="V191" s="89">
        <v>0.29213234999999999</v>
      </c>
      <c r="W191" s="61">
        <v>432</v>
      </c>
    </row>
    <row r="192" spans="11:23">
      <c r="K192" s="89">
        <v>0.35485375000000002</v>
      </c>
      <c r="L192" s="79">
        <v>433</v>
      </c>
      <c r="M192" s="89">
        <v>0.33749884000000002</v>
      </c>
      <c r="N192" s="79">
        <v>433</v>
      </c>
      <c r="O192" s="89">
        <v>0.32166022</v>
      </c>
      <c r="P192" s="61">
        <v>433</v>
      </c>
      <c r="R192" s="88">
        <v>0.38605230000000001</v>
      </c>
      <c r="S192" s="61">
        <v>433</v>
      </c>
      <c r="T192" s="89">
        <v>0.33749884000000002</v>
      </c>
      <c r="U192" s="79">
        <v>433</v>
      </c>
      <c r="V192" s="89">
        <v>0.29539850000000001</v>
      </c>
      <c r="W192" s="61">
        <v>433</v>
      </c>
    </row>
    <row r="193" spans="11:23">
      <c r="K193" s="89">
        <v>0.35834953000000003</v>
      </c>
      <c r="L193" s="79">
        <v>434</v>
      </c>
      <c r="M193" s="89">
        <v>0.34081850000000002</v>
      </c>
      <c r="N193" s="79">
        <v>434</v>
      </c>
      <c r="O193" s="89">
        <v>0.32482063999999999</v>
      </c>
      <c r="P193" s="61">
        <v>434</v>
      </c>
      <c r="R193" s="88">
        <v>0.38933477</v>
      </c>
      <c r="S193" s="61">
        <v>434</v>
      </c>
      <c r="T193" s="89">
        <v>0.34081850000000002</v>
      </c>
      <c r="U193" s="79">
        <v>434</v>
      </c>
      <c r="V193" s="89">
        <v>0.29866470000000001</v>
      </c>
      <c r="W193" s="61">
        <v>434</v>
      </c>
    </row>
    <row r="194" spans="11:23">
      <c r="K194" s="89">
        <v>0.36190495</v>
      </c>
      <c r="L194" s="79">
        <v>435</v>
      </c>
      <c r="M194" s="89">
        <v>0.34424937</v>
      </c>
      <c r="N194" s="79">
        <v>435</v>
      </c>
      <c r="O194" s="89">
        <v>0.32798105</v>
      </c>
      <c r="P194" s="61">
        <v>435</v>
      </c>
      <c r="R194" s="88">
        <v>0.39261722999999998</v>
      </c>
      <c r="S194" s="61">
        <v>435</v>
      </c>
      <c r="T194" s="89">
        <v>0.34424937</v>
      </c>
      <c r="U194" s="79">
        <v>435</v>
      </c>
      <c r="V194" s="89">
        <v>0.30193083999999998</v>
      </c>
      <c r="W194" s="61">
        <v>435</v>
      </c>
    </row>
    <row r="195" spans="11:23">
      <c r="K195" s="89">
        <v>0.36546033999999999</v>
      </c>
      <c r="L195" s="79">
        <v>436</v>
      </c>
      <c r="M195" s="89">
        <v>0.34768027000000001</v>
      </c>
      <c r="N195" s="79">
        <v>436</v>
      </c>
      <c r="O195" s="89">
        <v>0.33114146999999999</v>
      </c>
      <c r="P195" s="61">
        <v>436</v>
      </c>
      <c r="R195" s="88">
        <v>0.39589964999999999</v>
      </c>
      <c r="S195" s="61">
        <v>436</v>
      </c>
      <c r="T195" s="89">
        <v>0.34768027000000001</v>
      </c>
      <c r="U195" s="79">
        <v>436</v>
      </c>
      <c r="V195" s="89">
        <v>0.305197</v>
      </c>
      <c r="W195" s="61">
        <v>436</v>
      </c>
    </row>
    <row r="196" spans="11:23">
      <c r="K196" s="89">
        <v>0.36901571999999999</v>
      </c>
      <c r="L196" s="79">
        <v>437</v>
      </c>
      <c r="M196" s="89">
        <v>0.35111113999999999</v>
      </c>
      <c r="N196" s="79">
        <v>437</v>
      </c>
      <c r="O196" s="89">
        <v>0.33430189999999999</v>
      </c>
      <c r="P196" s="61">
        <v>437</v>
      </c>
      <c r="R196" s="88">
        <v>0.39918209999999998</v>
      </c>
      <c r="S196" s="61">
        <v>437</v>
      </c>
      <c r="T196" s="89">
        <v>0.35111113999999999</v>
      </c>
      <c r="U196" s="79">
        <v>437</v>
      </c>
      <c r="V196" s="89">
        <v>0.30861070000000002</v>
      </c>
      <c r="W196" s="61">
        <v>437</v>
      </c>
    </row>
    <row r="197" spans="11:23">
      <c r="K197" s="89">
        <v>0.37257114000000002</v>
      </c>
      <c r="L197" s="79">
        <v>438</v>
      </c>
      <c r="M197" s="89">
        <v>0.35454205</v>
      </c>
      <c r="N197" s="79">
        <v>438</v>
      </c>
      <c r="O197" s="89">
        <v>0.33753526</v>
      </c>
      <c r="P197" s="61">
        <v>438</v>
      </c>
      <c r="R197" s="88">
        <v>0.40250160000000001</v>
      </c>
      <c r="S197" s="61">
        <v>438</v>
      </c>
      <c r="T197" s="89">
        <v>0.35454205</v>
      </c>
      <c r="U197" s="79">
        <v>438</v>
      </c>
      <c r="V197" s="89">
        <v>0.3121023</v>
      </c>
      <c r="W197" s="61">
        <v>438</v>
      </c>
    </row>
    <row r="198" spans="11:23">
      <c r="K198" s="89">
        <v>0.37612653000000001</v>
      </c>
      <c r="L198" s="79">
        <v>439</v>
      </c>
      <c r="M198" s="89">
        <v>0.35797295000000001</v>
      </c>
      <c r="N198" s="79">
        <v>439</v>
      </c>
      <c r="O198" s="89">
        <v>0.34096164000000001</v>
      </c>
      <c r="P198" s="61">
        <v>439</v>
      </c>
      <c r="R198" s="88">
        <v>0.40590546</v>
      </c>
      <c r="S198" s="61">
        <v>439</v>
      </c>
      <c r="T198" s="89">
        <v>0.35797295000000001</v>
      </c>
      <c r="U198" s="79">
        <v>439</v>
      </c>
      <c r="V198" s="89">
        <v>0.31559387</v>
      </c>
      <c r="W198" s="61">
        <v>439</v>
      </c>
    </row>
    <row r="199" spans="11:23">
      <c r="K199" s="89">
        <v>0.37981897999999997</v>
      </c>
      <c r="L199" s="79">
        <v>440</v>
      </c>
      <c r="M199" s="89">
        <v>0.36140381999999999</v>
      </c>
      <c r="N199" s="79">
        <v>440</v>
      </c>
      <c r="O199" s="89">
        <v>0.34438800000000003</v>
      </c>
      <c r="P199" s="61">
        <v>440</v>
      </c>
      <c r="R199" s="88">
        <v>0.40930933000000003</v>
      </c>
      <c r="S199" s="61">
        <v>440</v>
      </c>
      <c r="T199" s="89">
        <v>0.36140381999999999</v>
      </c>
      <c r="U199" s="79">
        <v>440</v>
      </c>
      <c r="V199" s="89">
        <v>0.31908542000000001</v>
      </c>
      <c r="W199" s="61">
        <v>440</v>
      </c>
    </row>
    <row r="200" spans="11:23">
      <c r="K200" s="89">
        <v>0.38352770000000003</v>
      </c>
      <c r="L200" s="79">
        <v>441</v>
      </c>
      <c r="M200" s="89">
        <v>0.36483473</v>
      </c>
      <c r="N200" s="79">
        <v>441</v>
      </c>
      <c r="O200" s="89">
        <v>0.34781434999999999</v>
      </c>
      <c r="P200" s="61">
        <v>441</v>
      </c>
      <c r="R200" s="88">
        <v>0.41271317000000002</v>
      </c>
      <c r="S200" s="61">
        <v>441</v>
      </c>
      <c r="T200" s="89">
        <v>0.36483473</v>
      </c>
      <c r="U200" s="79">
        <v>441</v>
      </c>
      <c r="V200" s="89">
        <v>0.322577</v>
      </c>
      <c r="W200" s="61">
        <v>441</v>
      </c>
    </row>
    <row r="201" spans="11:23">
      <c r="K201" s="89">
        <v>0.38723639999999998</v>
      </c>
      <c r="L201" s="79">
        <v>442</v>
      </c>
      <c r="M201" s="89">
        <v>0.36826560000000003</v>
      </c>
      <c r="N201" s="79">
        <v>442</v>
      </c>
      <c r="O201" s="89">
        <v>0.35124072000000001</v>
      </c>
      <c r="P201" s="61">
        <v>442</v>
      </c>
      <c r="R201" s="88">
        <v>0.41611703999999999</v>
      </c>
      <c r="S201" s="61">
        <v>442</v>
      </c>
      <c r="T201" s="89">
        <v>0.36826560000000003</v>
      </c>
      <c r="U201" s="79">
        <v>442</v>
      </c>
      <c r="V201" s="89">
        <v>0.32606858</v>
      </c>
      <c r="W201" s="61">
        <v>442</v>
      </c>
    </row>
    <row r="202" spans="11:23">
      <c r="K202" s="89">
        <v>0.39094508</v>
      </c>
      <c r="L202" s="79">
        <v>443</v>
      </c>
      <c r="M202" s="89">
        <v>0.37169649999999999</v>
      </c>
      <c r="N202" s="79">
        <v>443</v>
      </c>
      <c r="O202" s="89">
        <v>0.35466710000000001</v>
      </c>
      <c r="P202" s="61">
        <v>443</v>
      </c>
      <c r="R202" s="88">
        <v>0.41952087999999998</v>
      </c>
      <c r="S202" s="61">
        <v>443</v>
      </c>
      <c r="T202" s="89">
        <v>0.37169649999999999</v>
      </c>
      <c r="U202" s="79">
        <v>443</v>
      </c>
      <c r="V202" s="89">
        <v>0.32956013000000001</v>
      </c>
      <c r="W202" s="61">
        <v>443</v>
      </c>
    </row>
    <row r="203" spans="11:23">
      <c r="K203" s="89">
        <v>0.39465377000000001</v>
      </c>
      <c r="L203" s="79">
        <v>444</v>
      </c>
      <c r="M203" s="89">
        <v>0.3751274</v>
      </c>
      <c r="N203" s="79">
        <v>444</v>
      </c>
      <c r="O203" s="89">
        <v>0.35809347000000002</v>
      </c>
      <c r="P203" s="61">
        <v>444</v>
      </c>
      <c r="R203" s="88">
        <v>0.42295906</v>
      </c>
      <c r="S203" s="61">
        <v>444</v>
      </c>
      <c r="T203" s="89">
        <v>0.3751274</v>
      </c>
      <c r="U203" s="79">
        <v>444</v>
      </c>
      <c r="V203" s="89">
        <v>0.33305170000000001</v>
      </c>
      <c r="W203" s="61">
        <v>444</v>
      </c>
    </row>
    <row r="204" spans="11:23">
      <c r="K204" s="89">
        <v>0.39836250000000001</v>
      </c>
      <c r="L204" s="79">
        <v>445</v>
      </c>
      <c r="M204" s="89">
        <v>0.37862906000000002</v>
      </c>
      <c r="N204" s="79">
        <v>445</v>
      </c>
      <c r="O204" s="89">
        <v>0.36151983999999998</v>
      </c>
      <c r="P204" s="61">
        <v>445</v>
      </c>
      <c r="R204" s="88">
        <v>0.42644294999999999</v>
      </c>
      <c r="S204" s="61">
        <v>445</v>
      </c>
      <c r="T204" s="89">
        <v>0.37862906000000002</v>
      </c>
      <c r="U204" s="79">
        <v>445</v>
      </c>
      <c r="V204" s="89">
        <v>0.33654329999999999</v>
      </c>
      <c r="W204" s="61">
        <v>445</v>
      </c>
    </row>
    <row r="205" spans="11:23">
      <c r="K205" s="89">
        <v>0.40207117999999997</v>
      </c>
      <c r="L205" s="79">
        <v>446</v>
      </c>
      <c r="M205" s="89">
        <v>0.38224970000000003</v>
      </c>
      <c r="N205" s="79">
        <v>446</v>
      </c>
      <c r="O205" s="89">
        <v>0.36494621999999999</v>
      </c>
      <c r="P205" s="61">
        <v>446</v>
      </c>
      <c r="R205" s="88">
        <v>0.42992683999999998</v>
      </c>
      <c r="S205" s="61">
        <v>446</v>
      </c>
      <c r="T205" s="89">
        <v>0.38224970000000003</v>
      </c>
      <c r="U205" s="79">
        <v>446</v>
      </c>
      <c r="V205" s="89">
        <v>0.34003484</v>
      </c>
      <c r="W205" s="61">
        <v>446</v>
      </c>
    </row>
    <row r="206" spans="11:23">
      <c r="K206" s="89">
        <v>0.40577986999999999</v>
      </c>
      <c r="L206" s="79">
        <v>447</v>
      </c>
      <c r="M206" s="89">
        <v>0.38587037000000002</v>
      </c>
      <c r="N206" s="79">
        <v>447</v>
      </c>
      <c r="O206" s="89">
        <v>0.36837256000000002</v>
      </c>
      <c r="P206" s="61">
        <v>447</v>
      </c>
      <c r="R206" s="88">
        <v>0.43341073000000002</v>
      </c>
      <c r="S206" s="61">
        <v>447</v>
      </c>
      <c r="T206" s="89">
        <v>0.38587037000000002</v>
      </c>
      <c r="U206" s="79">
        <v>447</v>
      </c>
      <c r="V206" s="89">
        <v>0.34352642</v>
      </c>
      <c r="W206" s="61">
        <v>447</v>
      </c>
    </row>
    <row r="207" spans="11:23">
      <c r="K207" s="89">
        <v>0.40948856</v>
      </c>
      <c r="L207" s="79">
        <v>448</v>
      </c>
      <c r="M207" s="89">
        <v>0.38949102000000002</v>
      </c>
      <c r="N207" s="79">
        <v>448</v>
      </c>
      <c r="O207" s="89">
        <v>0.37179893000000003</v>
      </c>
      <c r="P207" s="61">
        <v>448</v>
      </c>
      <c r="R207" s="88">
        <v>0.43689463000000001</v>
      </c>
      <c r="S207" s="61">
        <v>448</v>
      </c>
      <c r="T207" s="89">
        <v>0.38949102000000002</v>
      </c>
      <c r="U207" s="79">
        <v>448</v>
      </c>
      <c r="V207" s="89">
        <v>0.34715748000000002</v>
      </c>
      <c r="W207" s="61">
        <v>448</v>
      </c>
    </row>
    <row r="208" spans="11:23">
      <c r="K208" s="89">
        <v>0.41319728</v>
      </c>
      <c r="L208" s="79">
        <v>449</v>
      </c>
      <c r="M208" s="89">
        <v>0.39311168000000002</v>
      </c>
      <c r="N208" s="79">
        <v>449</v>
      </c>
      <c r="O208" s="89">
        <v>0.37522529999999998</v>
      </c>
      <c r="P208" s="61">
        <v>449</v>
      </c>
      <c r="R208" s="88">
        <v>0.44037852</v>
      </c>
      <c r="S208" s="61">
        <v>449</v>
      </c>
      <c r="T208" s="89">
        <v>0.39311168000000002</v>
      </c>
      <c r="U208" s="79">
        <v>449</v>
      </c>
      <c r="V208" s="89">
        <v>0.35087687000000001</v>
      </c>
      <c r="W208" s="61">
        <v>449</v>
      </c>
    </row>
    <row r="209" spans="11:23">
      <c r="K209" s="89">
        <v>0.41690597000000001</v>
      </c>
      <c r="L209" s="79">
        <v>450</v>
      </c>
      <c r="M209" s="89">
        <v>0.39673233000000002</v>
      </c>
      <c r="N209" s="79">
        <v>450</v>
      </c>
      <c r="O209" s="89">
        <v>0.37865167999999999</v>
      </c>
      <c r="P209" s="61">
        <v>450</v>
      </c>
      <c r="R209" s="88">
        <v>0.44392841999999999</v>
      </c>
      <c r="S209" s="61">
        <v>450</v>
      </c>
      <c r="T209" s="89">
        <v>0.39673233000000002</v>
      </c>
      <c r="U209" s="79">
        <v>450</v>
      </c>
      <c r="V209" s="89">
        <v>0.35459626</v>
      </c>
      <c r="W209" s="61">
        <v>450</v>
      </c>
    </row>
    <row r="210" spans="11:23">
      <c r="K210" s="89">
        <v>0.42079052</v>
      </c>
      <c r="L210" s="79">
        <v>451</v>
      </c>
      <c r="M210" s="89">
        <v>0.40035298000000002</v>
      </c>
      <c r="N210" s="79">
        <v>451</v>
      </c>
      <c r="O210" s="89">
        <v>0.38207805</v>
      </c>
      <c r="P210" s="61">
        <v>451</v>
      </c>
      <c r="R210" s="88">
        <v>0.44753179999999998</v>
      </c>
      <c r="S210" s="61">
        <v>451</v>
      </c>
      <c r="T210" s="89">
        <v>0.40035298000000002</v>
      </c>
      <c r="U210" s="79">
        <v>451</v>
      </c>
      <c r="V210" s="89">
        <v>0.35831564999999999</v>
      </c>
      <c r="W210" s="61">
        <v>451</v>
      </c>
    </row>
    <row r="211" spans="11:23">
      <c r="K211" s="89">
        <v>0.42470567999999997</v>
      </c>
      <c r="L211" s="79">
        <v>452</v>
      </c>
      <c r="M211" s="89">
        <v>0.40397364000000002</v>
      </c>
      <c r="N211" s="79">
        <v>452</v>
      </c>
      <c r="O211" s="89">
        <v>0.38550440000000002</v>
      </c>
      <c r="P211" s="61">
        <v>452</v>
      </c>
      <c r="R211" s="88">
        <v>0.45113520000000001</v>
      </c>
      <c r="S211" s="61">
        <v>452</v>
      </c>
      <c r="T211" s="89">
        <v>0.40397364000000002</v>
      </c>
      <c r="U211" s="79">
        <v>452</v>
      </c>
      <c r="V211" s="89">
        <v>0.36203503999999997</v>
      </c>
      <c r="W211" s="61">
        <v>452</v>
      </c>
    </row>
    <row r="212" spans="11:23">
      <c r="K212" s="89">
        <v>0.42862085</v>
      </c>
      <c r="L212" s="79">
        <v>453</v>
      </c>
      <c r="M212" s="89">
        <v>0.40759430000000002</v>
      </c>
      <c r="N212" s="79">
        <v>453</v>
      </c>
      <c r="O212" s="89">
        <v>0.38893076999999998</v>
      </c>
      <c r="P212" s="61">
        <v>453</v>
      </c>
      <c r="R212" s="88">
        <v>0.45473856000000001</v>
      </c>
      <c r="S212" s="61">
        <v>453</v>
      </c>
      <c r="T212" s="89">
        <v>0.40759430000000002</v>
      </c>
      <c r="U212" s="79">
        <v>453</v>
      </c>
      <c r="V212" s="89">
        <v>0.36575439999999998</v>
      </c>
      <c r="W212" s="61">
        <v>453</v>
      </c>
    </row>
    <row r="213" spans="11:23">
      <c r="K213" s="89">
        <v>0.43253599999999998</v>
      </c>
      <c r="L213" s="79">
        <v>454</v>
      </c>
      <c r="M213" s="89">
        <v>0.41121495000000002</v>
      </c>
      <c r="N213" s="79">
        <v>454</v>
      </c>
      <c r="O213" s="89">
        <v>0.39235713999999999</v>
      </c>
      <c r="P213" s="61">
        <v>454</v>
      </c>
      <c r="R213" s="88">
        <v>0.45834193000000001</v>
      </c>
      <c r="S213" s="61">
        <v>454</v>
      </c>
      <c r="T213" s="89">
        <v>0.41121495000000002</v>
      </c>
      <c r="U213" s="79">
        <v>454</v>
      </c>
      <c r="V213" s="89">
        <v>0.36947380000000002</v>
      </c>
      <c r="W213" s="61">
        <v>454</v>
      </c>
    </row>
    <row r="214" spans="11:23">
      <c r="K214" s="89">
        <v>0.43645117</v>
      </c>
      <c r="L214" s="79">
        <v>455</v>
      </c>
      <c r="M214" s="89">
        <v>0.41483560000000003</v>
      </c>
      <c r="N214" s="79">
        <v>455</v>
      </c>
      <c r="O214" s="89">
        <v>0.39578350000000001</v>
      </c>
      <c r="P214" s="61">
        <v>455</v>
      </c>
      <c r="R214" s="88">
        <v>0.4619453</v>
      </c>
      <c r="S214" s="61">
        <v>455</v>
      </c>
      <c r="T214" s="89">
        <v>0.41483560000000003</v>
      </c>
      <c r="U214" s="79">
        <v>455</v>
      </c>
      <c r="V214" s="89">
        <v>0.37319317000000002</v>
      </c>
      <c r="W214" s="61">
        <v>455</v>
      </c>
    </row>
    <row r="215" spans="11:23">
      <c r="K215" s="89">
        <v>0.44036632999999997</v>
      </c>
      <c r="L215" s="79">
        <v>456</v>
      </c>
      <c r="M215" s="89">
        <v>0.41850349999999997</v>
      </c>
      <c r="N215" s="79">
        <v>456</v>
      </c>
      <c r="O215" s="89">
        <v>0.39920990000000001</v>
      </c>
      <c r="P215" s="61">
        <v>456</v>
      </c>
      <c r="R215" s="88">
        <v>0.46554869999999998</v>
      </c>
      <c r="S215" s="61">
        <v>456</v>
      </c>
      <c r="T215" s="89">
        <v>0.41850349999999997</v>
      </c>
      <c r="U215" s="79">
        <v>456</v>
      </c>
      <c r="V215" s="89">
        <v>0.37691256000000001</v>
      </c>
      <c r="W215" s="61">
        <v>456</v>
      </c>
    </row>
    <row r="216" spans="11:23">
      <c r="K216" s="89">
        <v>0.44428146000000002</v>
      </c>
      <c r="L216" s="79">
        <v>457</v>
      </c>
      <c r="M216" s="89">
        <v>0.42226701999999999</v>
      </c>
      <c r="N216" s="79">
        <v>457</v>
      </c>
      <c r="O216" s="89">
        <v>0.40263622999999998</v>
      </c>
      <c r="P216" s="61">
        <v>457</v>
      </c>
      <c r="R216" s="88">
        <v>0.46915205999999998</v>
      </c>
      <c r="S216" s="61">
        <v>457</v>
      </c>
      <c r="T216" s="89">
        <v>0.42226701999999999</v>
      </c>
      <c r="U216" s="79">
        <v>457</v>
      </c>
      <c r="V216" s="89">
        <v>0.38063192000000001</v>
      </c>
      <c r="W216" s="61">
        <v>457</v>
      </c>
    </row>
    <row r="217" spans="11:23">
      <c r="K217" s="89">
        <v>0.44819661999999999</v>
      </c>
      <c r="L217" s="79">
        <v>458</v>
      </c>
      <c r="M217" s="89">
        <v>0.42603055000000001</v>
      </c>
      <c r="N217" s="79">
        <v>458</v>
      </c>
      <c r="O217" s="89">
        <v>0.4060626</v>
      </c>
      <c r="P217" s="61">
        <v>458</v>
      </c>
      <c r="R217" s="88">
        <v>0.47275542999999998</v>
      </c>
      <c r="S217" s="61">
        <v>458</v>
      </c>
      <c r="T217" s="89">
        <v>0.42603055000000001</v>
      </c>
      <c r="U217" s="79">
        <v>458</v>
      </c>
      <c r="V217" s="89">
        <v>0.38435130000000001</v>
      </c>
      <c r="W217" s="61">
        <v>458</v>
      </c>
    </row>
    <row r="218" spans="11:23">
      <c r="K218" s="89">
        <v>0.45211178000000002</v>
      </c>
      <c r="L218" s="79">
        <v>459</v>
      </c>
      <c r="M218" s="89">
        <v>0.42979406999999997</v>
      </c>
      <c r="N218" s="79">
        <v>459</v>
      </c>
      <c r="O218" s="89">
        <v>0.40948898</v>
      </c>
      <c r="P218" s="61">
        <v>459</v>
      </c>
      <c r="R218" s="88">
        <v>0.47635880000000003</v>
      </c>
      <c r="S218" s="61">
        <v>459</v>
      </c>
      <c r="T218" s="89">
        <v>0.42979406999999997</v>
      </c>
      <c r="U218" s="79">
        <v>459</v>
      </c>
      <c r="V218" s="89">
        <v>0.38816943999999998</v>
      </c>
      <c r="W218" s="61">
        <v>459</v>
      </c>
    </row>
    <row r="219" spans="11:23">
      <c r="K219" s="89">
        <v>0.45602693999999999</v>
      </c>
      <c r="L219" s="79">
        <v>460</v>
      </c>
      <c r="M219" s="89">
        <v>0.43355759999999999</v>
      </c>
      <c r="N219" s="79">
        <v>460</v>
      </c>
      <c r="O219" s="89">
        <v>0.41295715999999999</v>
      </c>
      <c r="P219" s="61">
        <v>460</v>
      </c>
      <c r="R219" s="88">
        <v>0.47996220000000001</v>
      </c>
      <c r="S219" s="61">
        <v>460</v>
      </c>
      <c r="T219" s="89">
        <v>0.43355759999999999</v>
      </c>
      <c r="U219" s="79">
        <v>460</v>
      </c>
      <c r="V219" s="89">
        <v>0.39206204</v>
      </c>
      <c r="W219" s="61">
        <v>460</v>
      </c>
    </row>
    <row r="220" spans="11:23">
      <c r="K220" s="89">
        <v>0.45994210000000002</v>
      </c>
      <c r="L220" s="79">
        <v>461</v>
      </c>
      <c r="M220" s="89">
        <v>0.43732113</v>
      </c>
      <c r="N220" s="79">
        <v>461</v>
      </c>
      <c r="O220" s="89">
        <v>0.41660390000000003</v>
      </c>
      <c r="P220" s="61">
        <v>461</v>
      </c>
      <c r="R220" s="88">
        <v>0.48356557</v>
      </c>
      <c r="S220" s="61">
        <v>461</v>
      </c>
      <c r="T220" s="89">
        <v>0.43732113</v>
      </c>
      <c r="U220" s="79">
        <v>461</v>
      </c>
      <c r="V220" s="89">
        <v>0.39595459999999999</v>
      </c>
      <c r="W220" s="61">
        <v>461</v>
      </c>
    </row>
    <row r="221" spans="11:23">
      <c r="K221" s="89">
        <v>0.46402865999999998</v>
      </c>
      <c r="L221" s="79">
        <v>462</v>
      </c>
      <c r="M221" s="89">
        <v>0.44116250000000001</v>
      </c>
      <c r="N221" s="79">
        <v>462</v>
      </c>
      <c r="O221" s="89">
        <v>0.42025065</v>
      </c>
      <c r="P221" s="61">
        <v>462</v>
      </c>
      <c r="R221" s="88">
        <v>0.48729715000000001</v>
      </c>
      <c r="S221" s="61">
        <v>462</v>
      </c>
      <c r="T221" s="89">
        <v>0.44116250000000001</v>
      </c>
      <c r="U221" s="79">
        <v>462</v>
      </c>
      <c r="V221" s="89">
        <v>0.39984720000000001</v>
      </c>
      <c r="W221" s="61">
        <v>462</v>
      </c>
    </row>
    <row r="222" spans="11:23">
      <c r="K222" s="89">
        <v>0.46815556000000003</v>
      </c>
      <c r="L222" s="79">
        <v>463</v>
      </c>
      <c r="M222" s="89">
        <v>0.44502216999999999</v>
      </c>
      <c r="N222" s="79">
        <v>463</v>
      </c>
      <c r="O222" s="89">
        <v>0.42389742000000002</v>
      </c>
      <c r="P222" s="61">
        <v>463</v>
      </c>
      <c r="R222" s="88">
        <v>0.49106082000000001</v>
      </c>
      <c r="S222" s="61">
        <v>463</v>
      </c>
      <c r="T222" s="89">
        <v>0.44502216999999999</v>
      </c>
      <c r="U222" s="79">
        <v>463</v>
      </c>
      <c r="V222" s="89">
        <v>0.40373979999999998</v>
      </c>
      <c r="W222" s="61">
        <v>463</v>
      </c>
    </row>
    <row r="223" spans="11:23">
      <c r="K223" s="89">
        <v>0.47228249999999999</v>
      </c>
      <c r="L223" s="79">
        <v>464</v>
      </c>
      <c r="M223" s="89">
        <v>0.44888182999999998</v>
      </c>
      <c r="N223" s="79">
        <v>464</v>
      </c>
      <c r="O223" s="89">
        <v>0.42754415000000001</v>
      </c>
      <c r="P223" s="61">
        <v>464</v>
      </c>
      <c r="R223" s="88">
        <v>0.4948245</v>
      </c>
      <c r="S223" s="61">
        <v>464</v>
      </c>
      <c r="T223" s="89">
        <v>0.44888182999999998</v>
      </c>
      <c r="U223" s="79">
        <v>464</v>
      </c>
      <c r="V223" s="89">
        <v>0.40763812999999999</v>
      </c>
      <c r="W223" s="61">
        <v>464</v>
      </c>
    </row>
    <row r="224" spans="11:23">
      <c r="K224" s="89">
        <v>0.47640939999999998</v>
      </c>
      <c r="L224" s="79">
        <v>465</v>
      </c>
      <c r="M224" s="89">
        <v>0.45274150000000002</v>
      </c>
      <c r="N224" s="79">
        <v>465</v>
      </c>
      <c r="O224" s="89">
        <v>0.43119089999999999</v>
      </c>
      <c r="P224" s="61">
        <v>465</v>
      </c>
      <c r="R224" s="88">
        <v>0.49858819999999998</v>
      </c>
      <c r="S224" s="61">
        <v>465</v>
      </c>
      <c r="T224" s="89">
        <v>0.45274150000000002</v>
      </c>
      <c r="U224" s="79">
        <v>465</v>
      </c>
      <c r="V224" s="89">
        <v>0.41164812000000001</v>
      </c>
      <c r="W224" s="61">
        <v>465</v>
      </c>
    </row>
    <row r="225" spans="11:23">
      <c r="K225" s="89">
        <v>0.48053630000000003</v>
      </c>
      <c r="L225" s="79">
        <v>466</v>
      </c>
      <c r="M225" s="89">
        <v>0.45660117</v>
      </c>
      <c r="N225" s="79">
        <v>466</v>
      </c>
      <c r="O225" s="89">
        <v>0.43489689999999998</v>
      </c>
      <c r="P225" s="61">
        <v>466</v>
      </c>
      <c r="R225" s="88">
        <v>0.50235189999999996</v>
      </c>
      <c r="S225" s="61">
        <v>466</v>
      </c>
      <c r="T225" s="89">
        <v>0.45660117</v>
      </c>
      <c r="U225" s="79">
        <v>466</v>
      </c>
      <c r="V225" s="89">
        <v>0.41565812000000002</v>
      </c>
      <c r="W225" s="61">
        <v>466</v>
      </c>
    </row>
    <row r="226" spans="11:23">
      <c r="K226" s="89">
        <v>0.48466322000000001</v>
      </c>
      <c r="L226" s="79">
        <v>467</v>
      </c>
      <c r="M226" s="89">
        <v>0.4605032</v>
      </c>
      <c r="N226" s="79">
        <v>467</v>
      </c>
      <c r="O226" s="89">
        <v>0.43863225</v>
      </c>
      <c r="P226" s="61">
        <v>467</v>
      </c>
      <c r="R226" s="88">
        <v>0.50611556000000002</v>
      </c>
      <c r="S226" s="61">
        <v>467</v>
      </c>
      <c r="T226" s="89">
        <v>0.4605032</v>
      </c>
      <c r="U226" s="79">
        <v>467</v>
      </c>
      <c r="V226" s="89">
        <v>0.41966809999999999</v>
      </c>
      <c r="W226" s="61">
        <v>467</v>
      </c>
    </row>
    <row r="227" spans="11:23">
      <c r="K227" s="89">
        <v>0.48879011999999999</v>
      </c>
      <c r="L227" s="79">
        <v>468</v>
      </c>
      <c r="M227" s="89">
        <v>0.46450973000000001</v>
      </c>
      <c r="N227" s="79">
        <v>468</v>
      </c>
      <c r="O227" s="89">
        <v>0.44236757999999998</v>
      </c>
      <c r="P227" s="61">
        <v>468</v>
      </c>
      <c r="R227" s="88">
        <v>0.50987923000000002</v>
      </c>
      <c r="S227" s="61">
        <v>468</v>
      </c>
      <c r="T227" s="89">
        <v>0.46450973000000001</v>
      </c>
      <c r="U227" s="79">
        <v>468</v>
      </c>
      <c r="V227" s="89">
        <v>0.42367807000000002</v>
      </c>
      <c r="W227" s="61">
        <v>468</v>
      </c>
    </row>
    <row r="228" spans="11:23">
      <c r="K228" s="89">
        <v>0.49291702999999998</v>
      </c>
      <c r="L228" s="79">
        <v>469</v>
      </c>
      <c r="M228" s="89">
        <v>0.4685163</v>
      </c>
      <c r="N228" s="79">
        <v>469</v>
      </c>
      <c r="O228" s="89">
        <v>0.44610292000000001</v>
      </c>
      <c r="P228" s="61">
        <v>469</v>
      </c>
      <c r="R228" s="88">
        <v>0.51364290000000001</v>
      </c>
      <c r="S228" s="61">
        <v>469</v>
      </c>
      <c r="T228" s="89">
        <v>0.4685163</v>
      </c>
      <c r="U228" s="79">
        <v>469</v>
      </c>
      <c r="V228" s="89">
        <v>0.42768805999999998</v>
      </c>
      <c r="W228" s="61">
        <v>469</v>
      </c>
    </row>
    <row r="229" spans="11:23">
      <c r="K229" s="89">
        <v>0.49704394000000002</v>
      </c>
      <c r="L229" s="79">
        <v>470</v>
      </c>
      <c r="M229" s="89">
        <v>0.47252283</v>
      </c>
      <c r="N229" s="79">
        <v>470</v>
      </c>
      <c r="O229" s="89">
        <v>0.44983827999999998</v>
      </c>
      <c r="P229" s="61">
        <v>470</v>
      </c>
      <c r="R229" s="88">
        <v>0.51740660000000005</v>
      </c>
      <c r="S229" s="61">
        <v>470</v>
      </c>
      <c r="T229" s="89">
        <v>0.47252283</v>
      </c>
      <c r="U229" s="79">
        <v>470</v>
      </c>
      <c r="V229" s="89">
        <v>0.43179327000000001</v>
      </c>
      <c r="W229" s="61">
        <v>470</v>
      </c>
    </row>
    <row r="230" spans="11:23">
      <c r="K230" s="89">
        <v>0.50117089999999997</v>
      </c>
      <c r="L230" s="79">
        <v>471</v>
      </c>
      <c r="M230" s="89">
        <v>0.47652939999999999</v>
      </c>
      <c r="N230" s="79">
        <v>471</v>
      </c>
      <c r="O230" s="89">
        <v>0.45359349999999998</v>
      </c>
      <c r="P230" s="61">
        <v>471</v>
      </c>
      <c r="R230" s="88">
        <v>0.52117026</v>
      </c>
      <c r="S230" s="61">
        <v>471</v>
      </c>
      <c r="T230" s="89">
        <v>0.47652939999999999</v>
      </c>
      <c r="U230" s="79">
        <v>471</v>
      </c>
      <c r="V230" s="89">
        <v>0.43598372000000002</v>
      </c>
      <c r="W230" s="61">
        <v>471</v>
      </c>
    </row>
    <row r="231" spans="11:23">
      <c r="K231" s="89">
        <v>0.50529780000000002</v>
      </c>
      <c r="L231" s="79">
        <v>472</v>
      </c>
      <c r="M231" s="89">
        <v>0.48053594999999999</v>
      </c>
      <c r="N231" s="79">
        <v>472</v>
      </c>
      <c r="O231" s="89">
        <v>0.45746355999999999</v>
      </c>
      <c r="P231" s="61">
        <v>472</v>
      </c>
      <c r="R231" s="88">
        <v>0.52493392999999999</v>
      </c>
      <c r="S231" s="61">
        <v>472</v>
      </c>
      <c r="T231" s="89">
        <v>0.48053594999999999</v>
      </c>
      <c r="U231" s="79">
        <v>472</v>
      </c>
      <c r="V231" s="89">
        <v>0.44017415999999998</v>
      </c>
      <c r="W231" s="61">
        <v>472</v>
      </c>
    </row>
    <row r="232" spans="11:23">
      <c r="K232" s="89">
        <v>0.50959489999999996</v>
      </c>
      <c r="L232" s="79">
        <v>473</v>
      </c>
      <c r="M232" s="89">
        <v>0.48454249999999999</v>
      </c>
      <c r="N232" s="79">
        <v>473</v>
      </c>
      <c r="O232" s="89">
        <v>0.46133365999999998</v>
      </c>
      <c r="P232" s="61">
        <v>473</v>
      </c>
      <c r="R232" s="88">
        <v>0.52870539999999999</v>
      </c>
      <c r="S232" s="61">
        <v>473</v>
      </c>
      <c r="T232" s="89">
        <v>0.48454249999999999</v>
      </c>
      <c r="U232" s="79">
        <v>473</v>
      </c>
      <c r="V232" s="89">
        <v>0.4443646</v>
      </c>
      <c r="W232" s="61">
        <v>473</v>
      </c>
    </row>
    <row r="233" spans="11:23">
      <c r="K233" s="89">
        <v>0.5139437</v>
      </c>
      <c r="L233" s="79">
        <v>474</v>
      </c>
      <c r="M233" s="89">
        <v>0.48854904999999998</v>
      </c>
      <c r="N233" s="79">
        <v>474</v>
      </c>
      <c r="O233" s="89">
        <v>0.46520376000000002</v>
      </c>
      <c r="P233" s="61">
        <v>474</v>
      </c>
      <c r="R233" s="88">
        <v>0.5326343</v>
      </c>
      <c r="S233" s="61">
        <v>474</v>
      </c>
      <c r="T233" s="89">
        <v>0.48854904999999998</v>
      </c>
      <c r="U233" s="79">
        <v>474</v>
      </c>
      <c r="V233" s="89">
        <v>0.44855505000000001</v>
      </c>
      <c r="W233" s="61">
        <v>474</v>
      </c>
    </row>
    <row r="234" spans="11:23">
      <c r="K234" s="89">
        <v>0.51829250000000004</v>
      </c>
      <c r="L234" s="79">
        <v>475</v>
      </c>
      <c r="M234" s="89">
        <v>0.49255559999999998</v>
      </c>
      <c r="N234" s="79">
        <v>475</v>
      </c>
      <c r="O234" s="89">
        <v>0.46907386000000001</v>
      </c>
      <c r="P234" s="61">
        <v>475</v>
      </c>
      <c r="R234" s="88">
        <v>0.53656320000000002</v>
      </c>
      <c r="S234" s="61">
        <v>475</v>
      </c>
      <c r="T234" s="89">
        <v>0.49255559999999998</v>
      </c>
      <c r="U234" s="79">
        <v>475</v>
      </c>
      <c r="V234" s="89">
        <v>0.45274550000000002</v>
      </c>
      <c r="W234" s="61">
        <v>475</v>
      </c>
    </row>
    <row r="235" spans="11:23">
      <c r="K235" s="89">
        <v>0.52264129999999998</v>
      </c>
      <c r="L235" s="79">
        <v>476</v>
      </c>
      <c r="M235" s="89">
        <v>0.49656214999999998</v>
      </c>
      <c r="N235" s="79">
        <v>476</v>
      </c>
      <c r="O235" s="89">
        <v>0.47294396</v>
      </c>
      <c r="P235" s="61">
        <v>476</v>
      </c>
      <c r="R235" s="88">
        <v>0.54049219999999998</v>
      </c>
      <c r="S235" s="61">
        <v>476</v>
      </c>
      <c r="T235" s="89">
        <v>0.49656214999999998</v>
      </c>
      <c r="U235" s="79">
        <v>476</v>
      </c>
      <c r="V235" s="89">
        <v>0.45693593999999998</v>
      </c>
      <c r="W235" s="61">
        <v>476</v>
      </c>
    </row>
    <row r="236" spans="11:23">
      <c r="K236" s="89">
        <v>0.52699010000000002</v>
      </c>
      <c r="L236" s="79">
        <v>477</v>
      </c>
      <c r="M236" s="89">
        <v>0.50056869999999998</v>
      </c>
      <c r="N236" s="79">
        <v>477</v>
      </c>
      <c r="O236" s="89">
        <v>0.47681405999999998</v>
      </c>
      <c r="P236" s="61">
        <v>477</v>
      </c>
      <c r="R236" s="88">
        <v>0.54442109999999999</v>
      </c>
      <c r="S236" s="61">
        <v>477</v>
      </c>
      <c r="T236" s="89">
        <v>0.50056869999999998</v>
      </c>
      <c r="U236" s="79">
        <v>477</v>
      </c>
      <c r="V236" s="89">
        <v>0.46112636000000001</v>
      </c>
      <c r="W236" s="61">
        <v>477</v>
      </c>
    </row>
    <row r="237" spans="11:23">
      <c r="K237" s="89">
        <v>0.53133892999999999</v>
      </c>
      <c r="L237" s="79">
        <v>478</v>
      </c>
      <c r="M237" s="89">
        <v>0.50462525999999996</v>
      </c>
      <c r="N237" s="79">
        <v>478</v>
      </c>
      <c r="O237" s="89">
        <v>0.48068416000000003</v>
      </c>
      <c r="P237" s="61">
        <v>478</v>
      </c>
      <c r="R237" s="88">
        <v>0.54835003999999998</v>
      </c>
      <c r="S237" s="61">
        <v>478</v>
      </c>
      <c r="T237" s="89">
        <v>0.50462525999999996</v>
      </c>
      <c r="U237" s="79">
        <v>478</v>
      </c>
      <c r="V237" s="89">
        <v>0.46531679999999997</v>
      </c>
      <c r="W237" s="61">
        <v>478</v>
      </c>
    </row>
    <row r="238" spans="11:23">
      <c r="K238" s="89">
        <v>0.53568773999999997</v>
      </c>
      <c r="L238" s="79">
        <v>479</v>
      </c>
      <c r="M238" s="89">
        <v>0.50883520000000004</v>
      </c>
      <c r="N238" s="79">
        <v>479</v>
      </c>
      <c r="O238" s="89">
        <v>0.48455422999999997</v>
      </c>
      <c r="P238" s="61">
        <v>479</v>
      </c>
      <c r="R238" s="88">
        <v>0.55227894</v>
      </c>
      <c r="S238" s="61">
        <v>479</v>
      </c>
      <c r="T238" s="89">
        <v>0.50883520000000004</v>
      </c>
      <c r="U238" s="79">
        <v>479</v>
      </c>
      <c r="V238" s="89">
        <v>0.46950724999999999</v>
      </c>
      <c r="W238" s="61">
        <v>479</v>
      </c>
    </row>
    <row r="239" spans="11:23">
      <c r="K239" s="89">
        <v>0.54003656</v>
      </c>
      <c r="L239" s="79">
        <v>480</v>
      </c>
      <c r="M239" s="89">
        <v>0.51304510000000003</v>
      </c>
      <c r="N239" s="79">
        <v>480</v>
      </c>
      <c r="O239" s="89">
        <v>0.48842433000000002</v>
      </c>
      <c r="P239" s="61">
        <v>480</v>
      </c>
      <c r="R239" s="88">
        <v>0.55620789999999998</v>
      </c>
      <c r="S239" s="61">
        <v>480</v>
      </c>
      <c r="T239" s="89">
        <v>0.51304510000000003</v>
      </c>
      <c r="U239" s="79">
        <v>480</v>
      </c>
      <c r="V239" s="89">
        <v>0.4736977</v>
      </c>
      <c r="W239" s="61">
        <v>480</v>
      </c>
    </row>
    <row r="240" spans="11:23">
      <c r="K240" s="89">
        <v>0.54438529999999996</v>
      </c>
      <c r="L240" s="79">
        <v>481</v>
      </c>
      <c r="M240" s="89">
        <v>0.51725500000000002</v>
      </c>
      <c r="N240" s="79">
        <v>481</v>
      </c>
      <c r="O240" s="89">
        <v>0.49229443000000001</v>
      </c>
      <c r="P240" s="61">
        <v>481</v>
      </c>
      <c r="R240" s="88">
        <v>0.56013679999999999</v>
      </c>
      <c r="S240" s="61">
        <v>481</v>
      </c>
      <c r="T240" s="89">
        <v>0.51725500000000002</v>
      </c>
      <c r="U240" s="79">
        <v>481</v>
      </c>
      <c r="V240" s="89">
        <v>0.4780102</v>
      </c>
      <c r="W240" s="61">
        <v>481</v>
      </c>
    </row>
    <row r="241" spans="11:23">
      <c r="K241" s="89">
        <v>0.5487341</v>
      </c>
      <c r="L241" s="79">
        <v>482</v>
      </c>
      <c r="M241" s="89">
        <v>0.52146490000000001</v>
      </c>
      <c r="N241" s="79">
        <v>482</v>
      </c>
      <c r="O241" s="89">
        <v>0.49618402</v>
      </c>
      <c r="P241" s="61">
        <v>482</v>
      </c>
      <c r="R241" s="88">
        <v>0.56406575000000003</v>
      </c>
      <c r="S241" s="61">
        <v>482</v>
      </c>
      <c r="T241" s="89">
        <v>0.52146490000000001</v>
      </c>
      <c r="U241" s="79">
        <v>482</v>
      </c>
      <c r="V241" s="89">
        <v>0.48245215000000002</v>
      </c>
      <c r="W241" s="61">
        <v>482</v>
      </c>
    </row>
    <row r="242" spans="11:23">
      <c r="K242" s="89">
        <v>0.55308294000000002</v>
      </c>
      <c r="L242" s="79">
        <v>483</v>
      </c>
      <c r="M242" s="89">
        <v>0.5256748</v>
      </c>
      <c r="N242" s="79">
        <v>483</v>
      </c>
      <c r="O242" s="89">
        <v>0.50023954999999998</v>
      </c>
      <c r="P242" s="61">
        <v>483</v>
      </c>
      <c r="R242" s="88">
        <v>0.56799465000000005</v>
      </c>
      <c r="S242" s="61">
        <v>483</v>
      </c>
      <c r="T242" s="89">
        <v>0.5256748</v>
      </c>
      <c r="U242" s="79">
        <v>483</v>
      </c>
      <c r="V242" s="89">
        <v>0.4868941</v>
      </c>
      <c r="W242" s="61">
        <v>483</v>
      </c>
    </row>
    <row r="243" spans="11:23">
      <c r="K243" s="89">
        <v>0.55755980000000005</v>
      </c>
      <c r="L243" s="79">
        <v>484</v>
      </c>
      <c r="M243" s="89">
        <v>0.52988469999999999</v>
      </c>
      <c r="N243" s="79">
        <v>484</v>
      </c>
      <c r="O243" s="89">
        <v>0.50429504999999997</v>
      </c>
      <c r="P243" s="61">
        <v>484</v>
      </c>
      <c r="R243" s="88">
        <v>0.57192354999999995</v>
      </c>
      <c r="S243" s="61">
        <v>484</v>
      </c>
      <c r="T243" s="89">
        <v>0.52988469999999999</v>
      </c>
      <c r="U243" s="79">
        <v>484</v>
      </c>
      <c r="V243" s="89">
        <v>0.49133605000000002</v>
      </c>
      <c r="W243" s="61">
        <v>484</v>
      </c>
    </row>
    <row r="244" spans="11:23">
      <c r="K244" s="89">
        <v>0.56208519999999995</v>
      </c>
      <c r="L244" s="79">
        <v>485</v>
      </c>
      <c r="M244" s="89">
        <v>0.53409463000000001</v>
      </c>
      <c r="N244" s="79">
        <v>485</v>
      </c>
      <c r="O244" s="89">
        <v>0.50835054999999996</v>
      </c>
      <c r="P244" s="61">
        <v>485</v>
      </c>
      <c r="R244" s="88">
        <v>0.57590439999999998</v>
      </c>
      <c r="S244" s="61">
        <v>485</v>
      </c>
      <c r="T244" s="89">
        <v>0.53409463000000001</v>
      </c>
      <c r="U244" s="79">
        <v>485</v>
      </c>
      <c r="V244" s="89">
        <v>0.49577801999999999</v>
      </c>
      <c r="W244" s="61">
        <v>485</v>
      </c>
    </row>
    <row r="245" spans="11:23">
      <c r="K245" s="89">
        <v>0.56661063</v>
      </c>
      <c r="L245" s="79">
        <v>486</v>
      </c>
      <c r="M245" s="89">
        <v>0.53830449999999996</v>
      </c>
      <c r="N245" s="79">
        <v>486</v>
      </c>
      <c r="O245" s="89">
        <v>0.51240604999999995</v>
      </c>
      <c r="P245" s="61">
        <v>486</v>
      </c>
      <c r="R245" s="88">
        <v>0.58000963999999999</v>
      </c>
      <c r="S245" s="61">
        <v>486</v>
      </c>
      <c r="T245" s="89">
        <v>0.53830449999999996</v>
      </c>
      <c r="U245" s="79">
        <v>486</v>
      </c>
      <c r="V245" s="89">
        <v>0.50021994000000003</v>
      </c>
      <c r="W245" s="61">
        <v>486</v>
      </c>
    </row>
    <row r="246" spans="11:23">
      <c r="K246" s="89">
        <v>0.57113605999999995</v>
      </c>
      <c r="L246" s="79">
        <v>487</v>
      </c>
      <c r="M246" s="89">
        <v>0.54251439999999995</v>
      </c>
      <c r="N246" s="79">
        <v>487</v>
      </c>
      <c r="O246" s="89">
        <v>0.51646155000000005</v>
      </c>
      <c r="P246" s="61">
        <v>487</v>
      </c>
      <c r="R246" s="88">
        <v>0.58411484999999996</v>
      </c>
      <c r="S246" s="61">
        <v>487</v>
      </c>
      <c r="T246" s="89">
        <v>0.54251439999999995</v>
      </c>
      <c r="U246" s="79">
        <v>487</v>
      </c>
      <c r="V246" s="89">
        <v>0.5046619</v>
      </c>
      <c r="W246" s="61">
        <v>487</v>
      </c>
    </row>
    <row r="247" spans="11:23">
      <c r="K247" s="89">
        <v>0.57566150000000005</v>
      </c>
      <c r="L247" s="79">
        <v>488</v>
      </c>
      <c r="M247" s="89">
        <v>0.54672430000000005</v>
      </c>
      <c r="N247" s="79">
        <v>488</v>
      </c>
      <c r="O247" s="89">
        <v>0.52051709999999995</v>
      </c>
      <c r="P247" s="61">
        <v>488</v>
      </c>
      <c r="R247" s="88">
        <v>0.58822006000000004</v>
      </c>
      <c r="S247" s="61">
        <v>488</v>
      </c>
      <c r="T247" s="89">
        <v>0.54672430000000005</v>
      </c>
      <c r="U247" s="79">
        <v>488</v>
      </c>
      <c r="V247" s="89">
        <v>0.50910383000000003</v>
      </c>
      <c r="W247" s="61">
        <v>488</v>
      </c>
    </row>
    <row r="248" spans="11:23">
      <c r="K248" s="89">
        <v>0.58021250000000002</v>
      </c>
      <c r="L248" s="79">
        <v>489</v>
      </c>
      <c r="M248" s="89">
        <v>0.55097865999999995</v>
      </c>
      <c r="N248" s="79">
        <v>489</v>
      </c>
      <c r="O248" s="89">
        <v>0.52457259999999994</v>
      </c>
      <c r="P248" s="61">
        <v>489</v>
      </c>
      <c r="R248" s="88">
        <v>0.59232530000000005</v>
      </c>
      <c r="S248" s="61">
        <v>489</v>
      </c>
      <c r="T248" s="89">
        <v>0.55097865999999995</v>
      </c>
      <c r="U248" s="79">
        <v>489</v>
      </c>
      <c r="V248" s="89">
        <v>0.51354580000000005</v>
      </c>
      <c r="W248" s="61">
        <v>489</v>
      </c>
    </row>
    <row r="249" spans="11:23">
      <c r="K249" s="89">
        <v>0.58486349999999998</v>
      </c>
      <c r="L249" s="79">
        <v>490</v>
      </c>
      <c r="M249" s="89">
        <v>0.55540687</v>
      </c>
      <c r="N249" s="79">
        <v>490</v>
      </c>
      <c r="O249" s="89">
        <v>0.52862810000000005</v>
      </c>
      <c r="P249" s="61">
        <v>490</v>
      </c>
      <c r="R249" s="88">
        <v>0.59643053999999995</v>
      </c>
      <c r="S249" s="61">
        <v>490</v>
      </c>
      <c r="T249" s="89">
        <v>0.55540687</v>
      </c>
      <c r="U249" s="79">
        <v>490</v>
      </c>
      <c r="V249" s="89">
        <v>0.5179878</v>
      </c>
      <c r="W249" s="61">
        <v>490</v>
      </c>
    </row>
    <row r="250" spans="11:23">
      <c r="K250" s="89">
        <v>0.58951454999999997</v>
      </c>
      <c r="L250" s="79">
        <v>491</v>
      </c>
      <c r="M250" s="89">
        <v>0.55983514000000001</v>
      </c>
      <c r="N250" s="79">
        <v>491</v>
      </c>
      <c r="O250" s="89">
        <v>0.53268360000000003</v>
      </c>
      <c r="P250" s="61">
        <v>491</v>
      </c>
      <c r="R250" s="88">
        <v>0.60053575000000003</v>
      </c>
      <c r="S250" s="61">
        <v>491</v>
      </c>
      <c r="T250" s="89">
        <v>0.55983514000000001</v>
      </c>
      <c r="U250" s="79">
        <v>491</v>
      </c>
      <c r="V250" s="89">
        <v>0.5224297</v>
      </c>
      <c r="W250" s="61">
        <v>491</v>
      </c>
    </row>
    <row r="251" spans="11:23">
      <c r="K251" s="89">
        <v>0.59416555999999998</v>
      </c>
      <c r="L251" s="79">
        <v>492</v>
      </c>
      <c r="M251" s="89">
        <v>0.56426334</v>
      </c>
      <c r="N251" s="79">
        <v>492</v>
      </c>
      <c r="O251" s="89">
        <v>0.53673919999999997</v>
      </c>
      <c r="P251" s="61">
        <v>492</v>
      </c>
      <c r="R251" s="88">
        <v>0.60464096000000001</v>
      </c>
      <c r="S251" s="61">
        <v>492</v>
      </c>
      <c r="T251" s="89">
        <v>0.56426334</v>
      </c>
      <c r="U251" s="79">
        <v>492</v>
      </c>
      <c r="V251" s="89">
        <v>0.52699209999999996</v>
      </c>
      <c r="W251" s="61">
        <v>492</v>
      </c>
    </row>
    <row r="252" spans="11:23">
      <c r="K252" s="89">
        <v>0.59881662999999996</v>
      </c>
      <c r="L252" s="79">
        <v>493</v>
      </c>
      <c r="M252" s="89">
        <v>0.56869155000000005</v>
      </c>
      <c r="N252" s="79">
        <v>493</v>
      </c>
      <c r="O252" s="89">
        <v>0.54080706999999995</v>
      </c>
      <c r="P252" s="61">
        <v>493</v>
      </c>
      <c r="R252" s="88">
        <v>0.60874620000000002</v>
      </c>
      <c r="S252" s="61">
        <v>493</v>
      </c>
      <c r="T252" s="89">
        <v>0.56869155000000005</v>
      </c>
      <c r="U252" s="79">
        <v>493</v>
      </c>
      <c r="V252" s="89">
        <v>0.53170580000000001</v>
      </c>
      <c r="W252" s="61">
        <v>493</v>
      </c>
    </row>
    <row r="253" spans="11:23">
      <c r="K253" s="89">
        <v>0.60346763999999997</v>
      </c>
      <c r="L253" s="79">
        <v>494</v>
      </c>
      <c r="M253" s="89">
        <v>0.57311975999999998</v>
      </c>
      <c r="N253" s="79">
        <v>494</v>
      </c>
      <c r="O253" s="89">
        <v>0.54505999999999999</v>
      </c>
      <c r="P253" s="61">
        <v>494</v>
      </c>
      <c r="R253" s="88">
        <v>0.61285144000000003</v>
      </c>
      <c r="S253" s="61">
        <v>494</v>
      </c>
      <c r="T253" s="89">
        <v>0.57311975999999998</v>
      </c>
      <c r="U253" s="79">
        <v>494</v>
      </c>
      <c r="V253" s="89">
        <v>0.5364196</v>
      </c>
      <c r="W253" s="61">
        <v>494</v>
      </c>
    </row>
    <row r="254" spans="11:23">
      <c r="K254" s="89">
        <v>0.60825879999999999</v>
      </c>
      <c r="L254" s="79">
        <v>495</v>
      </c>
      <c r="M254" s="89">
        <v>0.57754797000000002</v>
      </c>
      <c r="N254" s="79">
        <v>495</v>
      </c>
      <c r="O254" s="89">
        <v>0.54931282999999997</v>
      </c>
      <c r="P254" s="61">
        <v>495</v>
      </c>
      <c r="R254" s="88">
        <v>0.61695665</v>
      </c>
      <c r="S254" s="61">
        <v>495</v>
      </c>
      <c r="T254" s="89">
        <v>0.57754797000000002</v>
      </c>
      <c r="U254" s="79">
        <v>495</v>
      </c>
      <c r="V254" s="89">
        <v>0.54113334000000002</v>
      </c>
      <c r="W254" s="61">
        <v>495</v>
      </c>
    </row>
    <row r="255" spans="11:23">
      <c r="K255" s="89">
        <v>0.61311510000000002</v>
      </c>
      <c r="L255" s="79">
        <v>496</v>
      </c>
      <c r="M255" s="89">
        <v>0.58197620000000005</v>
      </c>
      <c r="N255" s="79">
        <v>496</v>
      </c>
      <c r="O255" s="89">
        <v>0.55356574000000003</v>
      </c>
      <c r="P255" s="61">
        <v>496</v>
      </c>
      <c r="R255" s="88">
        <v>0.62106185999999997</v>
      </c>
      <c r="S255" s="61">
        <v>496</v>
      </c>
      <c r="T255" s="89">
        <v>0.58197620000000005</v>
      </c>
      <c r="U255" s="79">
        <v>496</v>
      </c>
      <c r="V255" s="89">
        <v>0.54584706000000005</v>
      </c>
      <c r="W255" s="61">
        <v>496</v>
      </c>
    </row>
    <row r="256" spans="11:23">
      <c r="K256" s="89">
        <v>0.61797139999999995</v>
      </c>
      <c r="L256" s="79">
        <v>497</v>
      </c>
      <c r="M256" s="89">
        <v>0.58640440000000005</v>
      </c>
      <c r="N256" s="79">
        <v>497</v>
      </c>
      <c r="O256" s="89">
        <v>0.55781864999999997</v>
      </c>
      <c r="P256" s="61">
        <v>497</v>
      </c>
      <c r="R256" s="88">
        <v>0.62524500000000005</v>
      </c>
      <c r="S256" s="61">
        <v>497</v>
      </c>
      <c r="T256" s="89">
        <v>0.58640440000000005</v>
      </c>
      <c r="U256" s="79">
        <v>497</v>
      </c>
      <c r="V256" s="89">
        <v>0.55056083</v>
      </c>
      <c r="W256" s="61">
        <v>497</v>
      </c>
    </row>
    <row r="257" spans="11:23">
      <c r="K257" s="89">
        <v>0.62282769999999998</v>
      </c>
      <c r="L257" s="79">
        <v>498</v>
      </c>
      <c r="M257" s="89">
        <v>0.59083260000000004</v>
      </c>
      <c r="N257" s="79">
        <v>498</v>
      </c>
      <c r="O257" s="89">
        <v>0.56207156000000003</v>
      </c>
      <c r="P257" s="61">
        <v>498</v>
      </c>
      <c r="R257" s="88">
        <v>0.62949394999999997</v>
      </c>
      <c r="S257" s="61">
        <v>498</v>
      </c>
      <c r="T257" s="89">
        <v>0.59083260000000004</v>
      </c>
      <c r="U257" s="79">
        <v>498</v>
      </c>
      <c r="V257" s="89">
        <v>0.55527455000000003</v>
      </c>
      <c r="W257" s="61">
        <v>498</v>
      </c>
    </row>
    <row r="258" spans="11:23">
      <c r="K258" s="89">
        <v>0.62768405999999999</v>
      </c>
      <c r="L258" s="79">
        <v>499</v>
      </c>
      <c r="M258" s="89">
        <v>0.59526086</v>
      </c>
      <c r="N258" s="79">
        <v>499</v>
      </c>
      <c r="O258" s="89">
        <v>0.56632450000000001</v>
      </c>
      <c r="P258" s="61">
        <v>499</v>
      </c>
      <c r="R258" s="88">
        <v>0.6337429</v>
      </c>
      <c r="S258" s="61">
        <v>499</v>
      </c>
      <c r="T258" s="89">
        <v>0.59526086</v>
      </c>
      <c r="U258" s="79">
        <v>499</v>
      </c>
      <c r="V258" s="89">
        <v>0.55998829999999999</v>
      </c>
      <c r="W258" s="61">
        <v>499</v>
      </c>
    </row>
    <row r="259" spans="11:23">
      <c r="K259" s="89">
        <v>0.63254034999999997</v>
      </c>
      <c r="L259" s="79">
        <v>500</v>
      </c>
      <c r="M259" s="89">
        <v>0.59972820000000004</v>
      </c>
      <c r="N259" s="79">
        <v>500</v>
      </c>
      <c r="O259" s="89">
        <v>0.57057740000000001</v>
      </c>
      <c r="P259" s="61">
        <v>500</v>
      </c>
      <c r="R259" s="88">
        <v>0.63799189999999995</v>
      </c>
      <c r="S259" s="61">
        <v>500</v>
      </c>
      <c r="T259" s="89">
        <v>0.59972820000000004</v>
      </c>
      <c r="U259" s="79">
        <v>500</v>
      </c>
      <c r="V259" s="89">
        <v>0.56470202999999997</v>
      </c>
      <c r="W259" s="61">
        <v>500</v>
      </c>
    </row>
    <row r="260" spans="11:23">
      <c r="K260" s="89">
        <v>0.63739663000000002</v>
      </c>
      <c r="L260" s="79">
        <v>501</v>
      </c>
      <c r="M260" s="89">
        <v>0.60439944000000001</v>
      </c>
      <c r="N260" s="79">
        <v>501</v>
      </c>
      <c r="O260" s="89">
        <v>0.57483030000000002</v>
      </c>
      <c r="P260" s="61">
        <v>501</v>
      </c>
      <c r="R260" s="88">
        <v>0.64224093999999998</v>
      </c>
      <c r="S260" s="61">
        <v>501</v>
      </c>
      <c r="T260" s="89">
        <v>0.60439944000000001</v>
      </c>
      <c r="U260" s="79">
        <v>501</v>
      </c>
      <c r="V260" s="89">
        <v>0.56941580000000003</v>
      </c>
      <c r="W260" s="61">
        <v>501</v>
      </c>
    </row>
    <row r="261" spans="11:23">
      <c r="K261" s="89">
        <v>0.64225299999999996</v>
      </c>
      <c r="L261" s="79">
        <v>502</v>
      </c>
      <c r="M261" s="89">
        <v>0.60907065999999999</v>
      </c>
      <c r="N261" s="79">
        <v>502</v>
      </c>
      <c r="O261" s="89">
        <v>0.57908320000000002</v>
      </c>
      <c r="P261" s="61">
        <v>502</v>
      </c>
      <c r="R261" s="88">
        <v>0.64648989999999995</v>
      </c>
      <c r="S261" s="61">
        <v>502</v>
      </c>
      <c r="T261" s="89">
        <v>0.60907065999999999</v>
      </c>
      <c r="U261" s="79">
        <v>502</v>
      </c>
      <c r="V261" s="89">
        <v>0.57412949999999996</v>
      </c>
      <c r="W261" s="61">
        <v>502</v>
      </c>
    </row>
    <row r="262" spans="11:23">
      <c r="K262" s="89">
        <v>0.64710926999999996</v>
      </c>
      <c r="L262" s="79">
        <v>503</v>
      </c>
      <c r="M262" s="89">
        <v>0.61374189999999995</v>
      </c>
      <c r="N262" s="79">
        <v>503</v>
      </c>
      <c r="O262" s="89">
        <v>0.58333606000000005</v>
      </c>
      <c r="P262" s="61">
        <v>503</v>
      </c>
      <c r="R262" s="88">
        <v>0.65080863</v>
      </c>
      <c r="S262" s="61">
        <v>503</v>
      </c>
      <c r="T262" s="89">
        <v>0.61374189999999995</v>
      </c>
      <c r="U262" s="79">
        <v>503</v>
      </c>
      <c r="V262" s="89">
        <v>0.57896519999999996</v>
      </c>
      <c r="W262" s="61">
        <v>503</v>
      </c>
    </row>
    <row r="263" spans="11:23">
      <c r="K263" s="89">
        <v>0.65196560000000003</v>
      </c>
      <c r="L263" s="79">
        <v>504</v>
      </c>
      <c r="M263" s="89">
        <v>0.61841303000000003</v>
      </c>
      <c r="N263" s="79">
        <v>504</v>
      </c>
      <c r="O263" s="89">
        <v>0.58759344000000002</v>
      </c>
      <c r="P263" s="61">
        <v>504</v>
      </c>
      <c r="R263" s="88">
        <v>0.65516249999999998</v>
      </c>
      <c r="S263" s="61">
        <v>504</v>
      </c>
      <c r="T263" s="89">
        <v>0.61841303000000003</v>
      </c>
      <c r="U263" s="79">
        <v>504</v>
      </c>
      <c r="V263" s="89">
        <v>0.58398324000000001</v>
      </c>
      <c r="W263" s="61">
        <v>504</v>
      </c>
    </row>
    <row r="264" spans="11:23">
      <c r="K264" s="89">
        <v>0.65682189999999996</v>
      </c>
      <c r="L264" s="79">
        <v>505</v>
      </c>
      <c r="M264" s="89">
        <v>0.62308425000000001</v>
      </c>
      <c r="N264" s="79">
        <v>505</v>
      </c>
      <c r="O264" s="89">
        <v>0.59206384000000001</v>
      </c>
      <c r="P264" s="61">
        <v>505</v>
      </c>
      <c r="R264" s="88">
        <v>0.65951632999999998</v>
      </c>
      <c r="S264" s="61">
        <v>505</v>
      </c>
      <c r="T264" s="89">
        <v>0.62308425000000001</v>
      </c>
      <c r="U264" s="79">
        <v>505</v>
      </c>
      <c r="V264" s="89">
        <v>0.58900123999999998</v>
      </c>
      <c r="W264" s="61">
        <v>505</v>
      </c>
    </row>
    <row r="265" spans="11:23">
      <c r="K265" s="89">
        <v>0.66187910000000005</v>
      </c>
      <c r="L265" s="79">
        <v>506</v>
      </c>
      <c r="M265" s="89">
        <v>0.62775546000000004</v>
      </c>
      <c r="N265" s="79">
        <v>506</v>
      </c>
      <c r="O265" s="89">
        <v>0.59653425000000004</v>
      </c>
      <c r="P265" s="61">
        <v>506</v>
      </c>
      <c r="R265" s="88">
        <v>0.66387015999999999</v>
      </c>
      <c r="S265" s="61">
        <v>506</v>
      </c>
      <c r="T265" s="89">
        <v>0.62775546000000004</v>
      </c>
      <c r="U265" s="79">
        <v>506</v>
      </c>
      <c r="V265" s="89">
        <v>0.59401923000000001</v>
      </c>
      <c r="W265" s="61">
        <v>506</v>
      </c>
    </row>
    <row r="266" spans="11:23">
      <c r="K266" s="89">
        <v>0.66704920000000001</v>
      </c>
      <c r="L266" s="79">
        <v>507</v>
      </c>
      <c r="M266" s="89">
        <v>0.63242670000000001</v>
      </c>
      <c r="N266" s="79">
        <v>507</v>
      </c>
      <c r="O266" s="89">
        <v>0.60100465999999997</v>
      </c>
      <c r="P266" s="61">
        <v>507</v>
      </c>
      <c r="R266" s="88">
        <v>0.66822400000000004</v>
      </c>
      <c r="S266" s="61">
        <v>507</v>
      </c>
      <c r="T266" s="89">
        <v>0.63242670000000001</v>
      </c>
      <c r="U266" s="79">
        <v>507</v>
      </c>
      <c r="V266" s="89">
        <v>0.59903729999999999</v>
      </c>
      <c r="W266" s="61">
        <v>507</v>
      </c>
    </row>
    <row r="267" spans="11:23">
      <c r="K267" s="89">
        <v>0.67221934000000005</v>
      </c>
      <c r="L267" s="79">
        <v>508</v>
      </c>
      <c r="M267" s="89">
        <v>0.63709784000000003</v>
      </c>
      <c r="N267" s="79">
        <v>508</v>
      </c>
      <c r="O267" s="89">
        <v>0.60547507</v>
      </c>
      <c r="P267" s="61">
        <v>508</v>
      </c>
      <c r="R267" s="88">
        <v>0.67257785999999997</v>
      </c>
      <c r="S267" s="61">
        <v>508</v>
      </c>
      <c r="T267" s="89">
        <v>0.63709784000000003</v>
      </c>
      <c r="U267" s="79">
        <v>508</v>
      </c>
      <c r="V267" s="89">
        <v>0.60405529999999996</v>
      </c>
      <c r="W267" s="61">
        <v>508</v>
      </c>
    </row>
    <row r="268" spans="11:23">
      <c r="K268" s="89">
        <v>0.67738944000000001</v>
      </c>
      <c r="L268" s="79">
        <v>509</v>
      </c>
      <c r="M268" s="89">
        <v>0.64176904999999995</v>
      </c>
      <c r="N268" s="79">
        <v>509</v>
      </c>
      <c r="O268" s="89">
        <v>0.60994550000000003</v>
      </c>
      <c r="P268" s="61">
        <v>509</v>
      </c>
      <c r="R268" s="88">
        <v>0.67707103000000002</v>
      </c>
      <c r="S268" s="61">
        <v>509</v>
      </c>
      <c r="T268" s="89">
        <v>0.64176904999999995</v>
      </c>
      <c r="U268" s="79">
        <v>509</v>
      </c>
      <c r="V268" s="89">
        <v>0.60907330000000004</v>
      </c>
      <c r="W268" s="61">
        <v>509</v>
      </c>
    </row>
    <row r="269" spans="11:23">
      <c r="K269" s="89">
        <v>0.68255960000000004</v>
      </c>
      <c r="L269" s="79">
        <v>510</v>
      </c>
      <c r="M269" s="89">
        <v>0.64644027000000004</v>
      </c>
      <c r="N269" s="79">
        <v>510</v>
      </c>
      <c r="O269" s="89">
        <v>0.61441593999999999</v>
      </c>
      <c r="P269" s="61">
        <v>510</v>
      </c>
      <c r="R269" s="88">
        <v>0.68160145999999999</v>
      </c>
      <c r="S269" s="61">
        <v>510</v>
      </c>
      <c r="T269" s="89">
        <v>0.64644027000000004</v>
      </c>
      <c r="U269" s="79">
        <v>510</v>
      </c>
      <c r="V269" s="89">
        <v>0.61409133999999999</v>
      </c>
      <c r="W269" s="61">
        <v>510</v>
      </c>
    </row>
    <row r="270" spans="11:23">
      <c r="K270" s="89">
        <v>0.6877297</v>
      </c>
      <c r="L270" s="79">
        <v>511</v>
      </c>
      <c r="M270" s="89">
        <v>0.65113589999999999</v>
      </c>
      <c r="N270" s="79">
        <v>511</v>
      </c>
      <c r="O270" s="89">
        <v>0.61888635000000003</v>
      </c>
      <c r="P270" s="61">
        <v>511</v>
      </c>
      <c r="R270" s="88">
        <v>0.68613195000000005</v>
      </c>
      <c r="S270" s="61">
        <v>511</v>
      </c>
      <c r="T270" s="89">
        <v>0.65113589999999999</v>
      </c>
      <c r="U270" s="79">
        <v>511</v>
      </c>
      <c r="V270" s="89">
        <v>0.61910933000000001</v>
      </c>
      <c r="W270" s="61">
        <v>511</v>
      </c>
    </row>
    <row r="271" spans="11:23">
      <c r="K271" s="89">
        <v>0.69289979999999995</v>
      </c>
      <c r="L271" s="79">
        <v>512</v>
      </c>
      <c r="M271" s="89">
        <v>0.65601235999999996</v>
      </c>
      <c r="N271" s="79">
        <v>512</v>
      </c>
      <c r="O271" s="89">
        <v>0.62335675999999995</v>
      </c>
      <c r="P271" s="61">
        <v>512</v>
      </c>
      <c r="R271" s="88">
        <v>0.69066240000000001</v>
      </c>
      <c r="S271" s="61">
        <v>512</v>
      </c>
      <c r="T271" s="89">
        <v>0.65601235999999996</v>
      </c>
      <c r="U271" s="79">
        <v>512</v>
      </c>
      <c r="V271" s="89">
        <v>0.62412730000000005</v>
      </c>
      <c r="W271" s="61">
        <v>512</v>
      </c>
    </row>
    <row r="272" spans="11:23">
      <c r="K272" s="89">
        <v>0.69806992999999995</v>
      </c>
      <c r="L272" s="79">
        <v>513</v>
      </c>
      <c r="M272" s="89">
        <v>0.66088880000000005</v>
      </c>
      <c r="N272" s="79">
        <v>513</v>
      </c>
      <c r="O272" s="89">
        <v>0.62782716999999999</v>
      </c>
      <c r="P272" s="61">
        <v>513</v>
      </c>
      <c r="R272" s="88">
        <v>0.6951929</v>
      </c>
      <c r="S272" s="61">
        <v>513</v>
      </c>
      <c r="T272" s="89">
        <v>0.66088880000000005</v>
      </c>
      <c r="U272" s="79">
        <v>513</v>
      </c>
      <c r="V272" s="89">
        <v>0.62914539999999997</v>
      </c>
      <c r="W272" s="61">
        <v>513</v>
      </c>
    </row>
    <row r="273" spans="11:23">
      <c r="K273" s="89">
        <v>0.70324003999999996</v>
      </c>
      <c r="L273" s="79">
        <v>514</v>
      </c>
      <c r="M273" s="89">
        <v>0.6657653</v>
      </c>
      <c r="N273" s="79">
        <v>514</v>
      </c>
      <c r="O273" s="89">
        <v>0.63229760000000002</v>
      </c>
      <c r="P273" s="61">
        <v>514</v>
      </c>
      <c r="R273" s="88">
        <v>0.69972330000000005</v>
      </c>
      <c r="S273" s="61">
        <v>514</v>
      </c>
      <c r="T273" s="89">
        <v>0.6657653</v>
      </c>
      <c r="U273" s="79">
        <v>514</v>
      </c>
      <c r="V273" s="89">
        <v>0.63425600000000004</v>
      </c>
      <c r="W273" s="61">
        <v>514</v>
      </c>
    </row>
    <row r="274" spans="11:23">
      <c r="K274" s="89">
        <v>0.70841014000000002</v>
      </c>
      <c r="L274" s="79">
        <v>515</v>
      </c>
      <c r="M274" s="89">
        <v>0.67064170000000001</v>
      </c>
      <c r="N274" s="79">
        <v>515</v>
      </c>
      <c r="O274" s="89">
        <v>0.636768</v>
      </c>
      <c r="P274" s="61">
        <v>515</v>
      </c>
      <c r="R274" s="88">
        <v>0.70425373000000002</v>
      </c>
      <c r="S274" s="61">
        <v>515</v>
      </c>
      <c r="T274" s="89">
        <v>0.67064170000000001</v>
      </c>
      <c r="U274" s="79">
        <v>515</v>
      </c>
      <c r="V274" s="89">
        <v>0.6395324</v>
      </c>
      <c r="W274" s="61">
        <v>515</v>
      </c>
    </row>
    <row r="275" spans="11:23">
      <c r="K275" s="89">
        <v>0.71358029999999995</v>
      </c>
      <c r="L275" s="79">
        <v>516</v>
      </c>
      <c r="M275" s="89">
        <v>0.67551819999999996</v>
      </c>
      <c r="N275" s="79">
        <v>516</v>
      </c>
      <c r="O275" s="89">
        <v>0.6414164</v>
      </c>
      <c r="P275" s="61">
        <v>516</v>
      </c>
      <c r="R275" s="88">
        <v>0.70878419999999998</v>
      </c>
      <c r="S275" s="61">
        <v>516</v>
      </c>
      <c r="T275" s="89">
        <v>0.67551819999999996</v>
      </c>
      <c r="U275" s="79">
        <v>516</v>
      </c>
      <c r="V275" s="89">
        <v>0.64480877000000003</v>
      </c>
      <c r="W275" s="61">
        <v>516</v>
      </c>
    </row>
    <row r="276" spans="11:23">
      <c r="K276" s="89">
        <v>0.71888613999999995</v>
      </c>
      <c r="L276" s="79">
        <v>517</v>
      </c>
      <c r="M276" s="89">
        <v>0.6804867</v>
      </c>
      <c r="N276" s="79">
        <v>517</v>
      </c>
      <c r="O276" s="89">
        <v>0.64606874999999997</v>
      </c>
      <c r="P276" s="61">
        <v>517</v>
      </c>
      <c r="R276" s="88">
        <v>0.71331465000000005</v>
      </c>
      <c r="S276" s="61">
        <v>517</v>
      </c>
      <c r="T276" s="89">
        <v>0.6804867</v>
      </c>
      <c r="U276" s="79">
        <v>517</v>
      </c>
      <c r="V276" s="89">
        <v>0.65008515</v>
      </c>
      <c r="W276" s="61">
        <v>517</v>
      </c>
    </row>
    <row r="277" spans="11:23">
      <c r="K277" s="89">
        <v>0.72428320000000002</v>
      </c>
      <c r="L277" s="79">
        <v>518</v>
      </c>
      <c r="M277" s="89">
        <v>0.68551709999999999</v>
      </c>
      <c r="N277" s="79">
        <v>518</v>
      </c>
      <c r="O277" s="89">
        <v>0.65072112999999998</v>
      </c>
      <c r="P277" s="61">
        <v>518</v>
      </c>
      <c r="R277" s="88">
        <v>0.71784513999999999</v>
      </c>
      <c r="S277" s="61">
        <v>518</v>
      </c>
      <c r="T277" s="89">
        <v>0.68551709999999999</v>
      </c>
      <c r="U277" s="79">
        <v>518</v>
      </c>
      <c r="V277" s="89">
        <v>0.65536152999999997</v>
      </c>
      <c r="W277" s="61">
        <v>518</v>
      </c>
    </row>
    <row r="278" spans="11:23">
      <c r="K278" s="89">
        <v>0.72968036000000003</v>
      </c>
      <c r="L278" s="79">
        <v>519</v>
      </c>
      <c r="M278" s="89">
        <v>0.69054747000000005</v>
      </c>
      <c r="N278" s="79">
        <v>519</v>
      </c>
      <c r="O278" s="89">
        <v>0.65537350000000005</v>
      </c>
      <c r="P278" s="61">
        <v>519</v>
      </c>
      <c r="R278" s="88">
        <v>0.72237560000000001</v>
      </c>
      <c r="S278" s="61">
        <v>519</v>
      </c>
      <c r="T278" s="89">
        <v>0.69054747000000005</v>
      </c>
      <c r="U278" s="79">
        <v>519</v>
      </c>
      <c r="V278" s="89">
        <v>0.6606379</v>
      </c>
      <c r="W278" s="61">
        <v>519</v>
      </c>
    </row>
    <row r="279" spans="11:23">
      <c r="K279" s="89">
        <v>0.7351626</v>
      </c>
      <c r="L279" s="79">
        <v>520</v>
      </c>
      <c r="M279" s="89">
        <v>0.69557789999999997</v>
      </c>
      <c r="N279" s="79">
        <v>520</v>
      </c>
      <c r="O279" s="89">
        <v>0.66002590000000005</v>
      </c>
      <c r="P279" s="61">
        <v>520</v>
      </c>
      <c r="R279" s="88">
        <v>0.72691625000000004</v>
      </c>
      <c r="S279" s="61">
        <v>520</v>
      </c>
      <c r="T279" s="89">
        <v>0.69557789999999997</v>
      </c>
      <c r="U279" s="79">
        <v>520</v>
      </c>
      <c r="V279" s="89">
        <v>0.66607740000000004</v>
      </c>
      <c r="W279" s="61">
        <v>520</v>
      </c>
    </row>
    <row r="280" spans="11:23">
      <c r="K280" s="89">
        <v>0.74066149999999997</v>
      </c>
      <c r="L280" s="79">
        <v>521</v>
      </c>
      <c r="M280" s="89">
        <v>0.70060829999999996</v>
      </c>
      <c r="N280" s="79">
        <v>521</v>
      </c>
      <c r="O280" s="89">
        <v>0.66474009999999994</v>
      </c>
      <c r="P280" s="61">
        <v>521</v>
      </c>
      <c r="R280" s="88">
        <v>0.73172800000000005</v>
      </c>
      <c r="S280" s="61">
        <v>521</v>
      </c>
      <c r="T280" s="89">
        <v>0.70060829999999996</v>
      </c>
      <c r="U280" s="79">
        <v>521</v>
      </c>
      <c r="V280" s="89">
        <v>0.67154860000000005</v>
      </c>
      <c r="W280" s="61">
        <v>521</v>
      </c>
    </row>
    <row r="281" spans="11:23">
      <c r="K281" s="89">
        <v>0.74617310000000003</v>
      </c>
      <c r="L281" s="79">
        <v>522</v>
      </c>
      <c r="M281" s="89">
        <v>0.70565920000000004</v>
      </c>
      <c r="N281" s="79">
        <v>522</v>
      </c>
      <c r="O281" s="89">
        <v>0.66952765000000003</v>
      </c>
      <c r="P281" s="61">
        <v>522</v>
      </c>
      <c r="R281" s="88">
        <v>0.73653983999999995</v>
      </c>
      <c r="S281" s="61">
        <v>522</v>
      </c>
      <c r="T281" s="89">
        <v>0.70565920000000004</v>
      </c>
      <c r="U281" s="79">
        <v>522</v>
      </c>
      <c r="V281" s="89">
        <v>0.67701979999999995</v>
      </c>
      <c r="W281" s="61">
        <v>522</v>
      </c>
    </row>
    <row r="282" spans="11:23">
      <c r="K282" s="89">
        <v>0.75183827000000003</v>
      </c>
      <c r="L282" s="79">
        <v>523</v>
      </c>
      <c r="M282" s="89">
        <v>0.71095660000000005</v>
      </c>
      <c r="N282" s="79">
        <v>523</v>
      </c>
      <c r="O282" s="89">
        <v>0.67431529999999995</v>
      </c>
      <c r="P282" s="61">
        <v>523</v>
      </c>
      <c r="R282" s="88">
        <v>0.7413516</v>
      </c>
      <c r="S282" s="61">
        <v>523</v>
      </c>
      <c r="T282" s="89">
        <v>0.71095660000000005</v>
      </c>
      <c r="U282" s="79">
        <v>523</v>
      </c>
      <c r="V282" s="89">
        <v>0.68249099999999996</v>
      </c>
      <c r="W282" s="61">
        <v>523</v>
      </c>
    </row>
    <row r="283" spans="11:23">
      <c r="K283" s="89">
        <v>0.75750344999999997</v>
      </c>
      <c r="L283" s="79">
        <v>524</v>
      </c>
      <c r="M283" s="89">
        <v>0.71625393999999998</v>
      </c>
      <c r="N283" s="79">
        <v>524</v>
      </c>
      <c r="O283" s="89">
        <v>0.67910289999999995</v>
      </c>
      <c r="P283" s="61">
        <v>524</v>
      </c>
      <c r="R283" s="88">
        <v>0.74616340000000003</v>
      </c>
      <c r="S283" s="61">
        <v>524</v>
      </c>
      <c r="T283" s="89">
        <v>0.71625393999999998</v>
      </c>
      <c r="U283" s="79">
        <v>524</v>
      </c>
      <c r="V283" s="89">
        <v>0.68796219999999997</v>
      </c>
      <c r="W283" s="61">
        <v>524</v>
      </c>
    </row>
    <row r="284" spans="11:23">
      <c r="K284" s="89">
        <v>0.76316863000000001</v>
      </c>
      <c r="L284" s="79">
        <v>525</v>
      </c>
      <c r="M284" s="89">
        <v>0.72155130000000001</v>
      </c>
      <c r="N284" s="79">
        <v>525</v>
      </c>
      <c r="O284" s="89">
        <v>0.68389049999999996</v>
      </c>
      <c r="P284" s="61">
        <v>525</v>
      </c>
      <c r="R284" s="88">
        <v>0.75097519999999995</v>
      </c>
      <c r="S284" s="61">
        <v>525</v>
      </c>
      <c r="T284" s="89">
        <v>0.72155130000000001</v>
      </c>
      <c r="U284" s="79">
        <v>525</v>
      </c>
      <c r="V284" s="89">
        <v>0.69348390000000004</v>
      </c>
      <c r="W284" s="61">
        <v>525</v>
      </c>
    </row>
    <row r="285" spans="11:23">
      <c r="K285" s="89">
        <v>0.76883389999999996</v>
      </c>
      <c r="L285" s="79">
        <v>526</v>
      </c>
      <c r="M285" s="89">
        <v>0.72684866000000004</v>
      </c>
      <c r="N285" s="79">
        <v>526</v>
      </c>
      <c r="O285" s="89">
        <v>0.68867814999999999</v>
      </c>
      <c r="P285" s="61">
        <v>526</v>
      </c>
      <c r="R285" s="88">
        <v>0.75578699999999999</v>
      </c>
      <c r="S285" s="61">
        <v>526</v>
      </c>
      <c r="T285" s="89">
        <v>0.72684866000000004</v>
      </c>
      <c r="U285" s="79">
        <v>526</v>
      </c>
      <c r="V285" s="89">
        <v>0.69911486</v>
      </c>
      <c r="W285" s="61">
        <v>526</v>
      </c>
    </row>
    <row r="286" spans="11:23">
      <c r="K286" s="89">
        <v>0.77449906000000002</v>
      </c>
      <c r="L286" s="79">
        <v>527</v>
      </c>
      <c r="M286" s="89">
        <v>0.73214599999999996</v>
      </c>
      <c r="N286" s="79">
        <v>527</v>
      </c>
      <c r="O286" s="89">
        <v>0.69368280000000004</v>
      </c>
      <c r="P286" s="61">
        <v>527</v>
      </c>
      <c r="R286" s="88">
        <v>0.76059880000000002</v>
      </c>
      <c r="S286" s="61">
        <v>527</v>
      </c>
      <c r="T286" s="89">
        <v>0.73214599999999996</v>
      </c>
      <c r="U286" s="79">
        <v>527</v>
      </c>
      <c r="V286" s="89">
        <v>0.70474590000000004</v>
      </c>
      <c r="W286" s="61">
        <v>527</v>
      </c>
    </row>
    <row r="287" spans="11:23">
      <c r="K287" s="89">
        <v>0.78030290000000002</v>
      </c>
      <c r="L287" s="79">
        <v>528</v>
      </c>
      <c r="M287" s="89">
        <v>0.73744339999999997</v>
      </c>
      <c r="N287" s="79">
        <v>528</v>
      </c>
      <c r="O287" s="89">
        <v>0.69870239999999995</v>
      </c>
      <c r="P287" s="61">
        <v>528</v>
      </c>
      <c r="R287" s="88">
        <v>0.76541053999999997</v>
      </c>
      <c r="S287" s="61">
        <v>528</v>
      </c>
      <c r="T287" s="89">
        <v>0.73744339999999997</v>
      </c>
      <c r="U287" s="79">
        <v>528</v>
      </c>
      <c r="V287" s="89">
        <v>0.71044092999999997</v>
      </c>
      <c r="W287" s="61">
        <v>528</v>
      </c>
    </row>
    <row r="288" spans="11:23">
      <c r="K288" s="89">
        <v>0.78621763</v>
      </c>
      <c r="L288" s="79">
        <v>529</v>
      </c>
      <c r="M288" s="89">
        <v>0.74274074999999995</v>
      </c>
      <c r="N288" s="79">
        <v>529</v>
      </c>
      <c r="O288" s="89">
        <v>0.70372193999999999</v>
      </c>
      <c r="P288" s="61">
        <v>529</v>
      </c>
      <c r="R288" s="88">
        <v>0.77022237000000005</v>
      </c>
      <c r="S288" s="61">
        <v>529</v>
      </c>
      <c r="T288" s="89">
        <v>0.74274074999999995</v>
      </c>
      <c r="U288" s="79">
        <v>529</v>
      </c>
      <c r="V288" s="89">
        <v>0.71618720000000002</v>
      </c>
      <c r="W288" s="61">
        <v>529</v>
      </c>
    </row>
    <row r="289" spans="11:23">
      <c r="K289" s="89">
        <v>0.79213230000000001</v>
      </c>
      <c r="L289" s="79">
        <v>530</v>
      </c>
      <c r="M289" s="89">
        <v>0.74803810000000004</v>
      </c>
      <c r="N289" s="79">
        <v>530</v>
      </c>
      <c r="O289" s="89">
        <v>0.70874150000000002</v>
      </c>
      <c r="P289" s="61">
        <v>530</v>
      </c>
      <c r="R289" s="88">
        <v>0.77503409999999995</v>
      </c>
      <c r="S289" s="61">
        <v>530</v>
      </c>
      <c r="T289" s="89">
        <v>0.74803810000000004</v>
      </c>
      <c r="U289" s="79">
        <v>530</v>
      </c>
      <c r="V289" s="89">
        <v>0.72193339999999995</v>
      </c>
      <c r="W289" s="61">
        <v>530</v>
      </c>
    </row>
    <row r="290" spans="11:23">
      <c r="K290" s="89">
        <v>0.79804706999999997</v>
      </c>
      <c r="L290" s="79">
        <v>531</v>
      </c>
      <c r="M290" s="89">
        <v>0.75333550000000005</v>
      </c>
      <c r="N290" s="79">
        <v>531</v>
      </c>
      <c r="O290" s="89">
        <v>0.71376110000000004</v>
      </c>
      <c r="P290" s="61">
        <v>531</v>
      </c>
      <c r="R290" s="88">
        <v>0.77984595000000001</v>
      </c>
      <c r="S290" s="61">
        <v>531</v>
      </c>
      <c r="T290" s="89">
        <v>0.75333550000000005</v>
      </c>
      <c r="U290" s="79">
        <v>531</v>
      </c>
      <c r="V290" s="89">
        <v>0.72782970000000002</v>
      </c>
      <c r="W290" s="61">
        <v>531</v>
      </c>
    </row>
    <row r="291" spans="11:23">
      <c r="K291" s="89">
        <v>0.80396179999999995</v>
      </c>
      <c r="L291" s="79">
        <v>532</v>
      </c>
      <c r="M291" s="89">
        <v>0.75863283999999997</v>
      </c>
      <c r="N291" s="79">
        <v>532</v>
      </c>
      <c r="O291" s="89">
        <v>0.71878063999999997</v>
      </c>
      <c r="P291" s="61">
        <v>532</v>
      </c>
      <c r="R291" s="88">
        <v>0.784717</v>
      </c>
      <c r="S291" s="61">
        <v>532</v>
      </c>
      <c r="T291" s="89">
        <v>0.75863283999999997</v>
      </c>
      <c r="U291" s="79">
        <v>532</v>
      </c>
      <c r="V291" s="89">
        <v>0.73376459999999999</v>
      </c>
      <c r="W291" s="61">
        <v>532</v>
      </c>
    </row>
    <row r="292" spans="11:23">
      <c r="K292" s="89">
        <v>0.80988649999999995</v>
      </c>
      <c r="L292" s="79">
        <v>533</v>
      </c>
      <c r="M292" s="89">
        <v>0.76393900000000003</v>
      </c>
      <c r="N292" s="79">
        <v>533</v>
      </c>
      <c r="O292" s="89">
        <v>0.7238002</v>
      </c>
      <c r="P292" s="61">
        <v>533</v>
      </c>
      <c r="R292" s="88">
        <v>0.78973780000000005</v>
      </c>
      <c r="S292" s="61">
        <v>533</v>
      </c>
      <c r="T292" s="89">
        <v>0.76393900000000003</v>
      </c>
      <c r="U292" s="79">
        <v>533</v>
      </c>
      <c r="V292" s="89">
        <v>0.73969949999999995</v>
      </c>
      <c r="W292" s="61">
        <v>533</v>
      </c>
    </row>
    <row r="293" spans="11:23">
      <c r="K293" s="89">
        <v>0.8160925</v>
      </c>
      <c r="L293" s="79">
        <v>534</v>
      </c>
      <c r="M293" s="89">
        <v>0.76949279999999998</v>
      </c>
      <c r="N293" s="79">
        <v>534</v>
      </c>
      <c r="O293" s="89">
        <v>0.72881969999999996</v>
      </c>
      <c r="P293" s="61">
        <v>534</v>
      </c>
      <c r="R293" s="88">
        <v>0.79475859999999998</v>
      </c>
      <c r="S293" s="61">
        <v>534</v>
      </c>
      <c r="T293" s="89">
        <v>0.76949279999999998</v>
      </c>
      <c r="U293" s="79">
        <v>534</v>
      </c>
      <c r="V293" s="89">
        <v>0.74563444000000001</v>
      </c>
      <c r="W293" s="61">
        <v>534</v>
      </c>
    </row>
    <row r="294" spans="11:23">
      <c r="K294" s="89">
        <v>0.82229839999999998</v>
      </c>
      <c r="L294" s="79">
        <v>535</v>
      </c>
      <c r="M294" s="89">
        <v>0.77504664999999995</v>
      </c>
      <c r="N294" s="79">
        <v>535</v>
      </c>
      <c r="O294" s="89">
        <v>0.73383933000000001</v>
      </c>
      <c r="P294" s="61">
        <v>535</v>
      </c>
      <c r="R294" s="88">
        <v>0.79982275000000003</v>
      </c>
      <c r="S294" s="61">
        <v>535</v>
      </c>
      <c r="T294" s="89">
        <v>0.77504664999999995</v>
      </c>
      <c r="U294" s="79">
        <v>535</v>
      </c>
      <c r="V294" s="89">
        <v>0.75156933000000004</v>
      </c>
      <c r="W294" s="61">
        <v>535</v>
      </c>
    </row>
    <row r="295" spans="11:23">
      <c r="K295" s="89">
        <v>0.82850429999999997</v>
      </c>
      <c r="L295" s="79">
        <v>536</v>
      </c>
      <c r="M295" s="89">
        <v>0.78063256000000003</v>
      </c>
      <c r="N295" s="79">
        <v>536</v>
      </c>
      <c r="O295" s="89">
        <v>0.73885889999999999</v>
      </c>
      <c r="P295" s="61">
        <v>536</v>
      </c>
      <c r="R295" s="88">
        <v>0.80493592999999997</v>
      </c>
      <c r="S295" s="61">
        <v>536</v>
      </c>
      <c r="T295" s="89">
        <v>0.78063256000000003</v>
      </c>
      <c r="U295" s="79">
        <v>536</v>
      </c>
      <c r="V295" s="89">
        <v>0.75758183000000001</v>
      </c>
      <c r="W295" s="61">
        <v>536</v>
      </c>
    </row>
    <row r="296" spans="11:23">
      <c r="K296" s="89">
        <v>0.83471024000000005</v>
      </c>
      <c r="L296" s="79">
        <v>537</v>
      </c>
      <c r="M296" s="89">
        <v>0.78630370000000005</v>
      </c>
      <c r="N296" s="79">
        <v>537</v>
      </c>
      <c r="O296" s="89">
        <v>0.74387840000000005</v>
      </c>
      <c r="P296" s="61">
        <v>537</v>
      </c>
      <c r="R296" s="88">
        <v>0.81004920000000002</v>
      </c>
      <c r="S296" s="61">
        <v>537</v>
      </c>
      <c r="T296" s="89">
        <v>0.78630370000000005</v>
      </c>
      <c r="U296" s="79">
        <v>537</v>
      </c>
      <c r="V296" s="89">
        <v>0.76380013999999996</v>
      </c>
      <c r="W296" s="61">
        <v>537</v>
      </c>
    </row>
    <row r="297" spans="11:23">
      <c r="K297" s="89">
        <v>0.84091616000000002</v>
      </c>
      <c r="L297" s="79">
        <v>538</v>
      </c>
      <c r="M297" s="89">
        <v>0.79197479999999998</v>
      </c>
      <c r="N297" s="79">
        <v>538</v>
      </c>
      <c r="O297" s="89">
        <v>0.74909495999999998</v>
      </c>
      <c r="P297" s="61">
        <v>538</v>
      </c>
      <c r="R297" s="88">
        <v>0.8152623</v>
      </c>
      <c r="S297" s="61">
        <v>538</v>
      </c>
      <c r="T297" s="89">
        <v>0.79197479999999998</v>
      </c>
      <c r="U297" s="79">
        <v>538</v>
      </c>
      <c r="V297" s="89">
        <v>0.77001845999999996</v>
      </c>
      <c r="W297" s="61">
        <v>538</v>
      </c>
    </row>
    <row r="298" spans="11:23">
      <c r="K298" s="89">
        <v>0.84729946</v>
      </c>
      <c r="L298" s="79">
        <v>539</v>
      </c>
      <c r="M298" s="89">
        <v>0.79774575999999997</v>
      </c>
      <c r="N298" s="79">
        <v>539</v>
      </c>
      <c r="O298" s="89">
        <v>0.75433499999999998</v>
      </c>
      <c r="P298" s="61">
        <v>539</v>
      </c>
      <c r="R298" s="88">
        <v>0.82052829999999999</v>
      </c>
      <c r="S298" s="61">
        <v>539</v>
      </c>
      <c r="T298" s="89">
        <v>0.79774575999999997</v>
      </c>
      <c r="U298" s="79">
        <v>539</v>
      </c>
      <c r="V298" s="89">
        <v>0.7762367</v>
      </c>
      <c r="W298" s="61">
        <v>539</v>
      </c>
    </row>
    <row r="299" spans="11:23">
      <c r="K299" s="89">
        <v>0.85385096000000005</v>
      </c>
      <c r="L299" s="79">
        <v>540</v>
      </c>
      <c r="M299" s="89">
        <v>0.80361146000000006</v>
      </c>
      <c r="N299" s="79">
        <v>540</v>
      </c>
      <c r="O299" s="89">
        <v>0.75958824000000003</v>
      </c>
      <c r="P299" s="61">
        <v>540</v>
      </c>
      <c r="R299" s="88">
        <v>0.82579440000000004</v>
      </c>
      <c r="S299" s="61">
        <v>540</v>
      </c>
      <c r="T299" s="89">
        <v>0.80361146000000006</v>
      </c>
      <c r="U299" s="79">
        <v>540</v>
      </c>
      <c r="V299" s="89">
        <v>0.78245500000000001</v>
      </c>
      <c r="W299" s="61">
        <v>540</v>
      </c>
    </row>
    <row r="300" spans="11:23">
      <c r="K300" s="89">
        <v>0.86040245999999998</v>
      </c>
      <c r="L300" s="79">
        <v>541</v>
      </c>
      <c r="M300" s="89">
        <v>0.80947709999999995</v>
      </c>
      <c r="N300" s="79">
        <v>541</v>
      </c>
      <c r="O300" s="89">
        <v>0.76492804000000003</v>
      </c>
      <c r="P300" s="61">
        <v>541</v>
      </c>
      <c r="R300" s="88">
        <v>0.83106040000000003</v>
      </c>
      <c r="S300" s="61">
        <v>541</v>
      </c>
      <c r="T300" s="89">
        <v>0.80947709999999995</v>
      </c>
      <c r="U300" s="79">
        <v>541</v>
      </c>
      <c r="V300" s="89">
        <v>0.78867334</v>
      </c>
      <c r="W300" s="61">
        <v>541</v>
      </c>
    </row>
    <row r="301" spans="11:23">
      <c r="K301" s="89">
        <v>0.86695390000000006</v>
      </c>
      <c r="L301" s="79">
        <v>542</v>
      </c>
      <c r="M301" s="89">
        <v>0.81534280000000003</v>
      </c>
      <c r="N301" s="79">
        <v>542</v>
      </c>
      <c r="O301" s="89">
        <v>0.77026784000000004</v>
      </c>
      <c r="P301" s="61">
        <v>542</v>
      </c>
      <c r="R301" s="88">
        <v>0.83632640000000003</v>
      </c>
      <c r="S301" s="61">
        <v>542</v>
      </c>
      <c r="T301" s="89">
        <v>0.81534280000000003</v>
      </c>
      <c r="U301" s="79">
        <v>542</v>
      </c>
      <c r="V301" s="89">
        <v>0.79514130000000005</v>
      </c>
      <c r="W301" s="61">
        <v>542</v>
      </c>
    </row>
    <row r="302" spans="11:23">
      <c r="K302" s="89">
        <v>0.87350539999999999</v>
      </c>
      <c r="L302" s="79">
        <v>543</v>
      </c>
      <c r="M302" s="89">
        <v>0.82120850000000001</v>
      </c>
      <c r="N302" s="79">
        <v>543</v>
      </c>
      <c r="O302" s="89">
        <v>0.77566880000000005</v>
      </c>
      <c r="P302" s="61">
        <v>543</v>
      </c>
      <c r="R302" s="88">
        <v>0.84159815000000004</v>
      </c>
      <c r="S302" s="61">
        <v>543</v>
      </c>
      <c r="T302" s="89">
        <v>0.82120850000000001</v>
      </c>
      <c r="U302" s="79">
        <v>543</v>
      </c>
      <c r="V302" s="89">
        <v>0.8016913</v>
      </c>
      <c r="W302" s="61">
        <v>543</v>
      </c>
    </row>
    <row r="303" spans="11:23">
      <c r="K303" s="89">
        <v>0.88005690000000003</v>
      </c>
      <c r="L303" s="79">
        <v>544</v>
      </c>
      <c r="M303" s="89">
        <v>0.82707417000000005</v>
      </c>
      <c r="N303" s="79">
        <v>544</v>
      </c>
      <c r="O303" s="89">
        <v>0.7811728</v>
      </c>
      <c r="P303" s="61">
        <v>544</v>
      </c>
      <c r="R303" s="88">
        <v>0.84709619999999997</v>
      </c>
      <c r="S303" s="61">
        <v>544</v>
      </c>
      <c r="T303" s="89">
        <v>0.82707417000000005</v>
      </c>
      <c r="U303" s="79">
        <v>544</v>
      </c>
      <c r="V303" s="89">
        <v>0.80824130000000005</v>
      </c>
      <c r="W303" s="61">
        <v>544</v>
      </c>
    </row>
    <row r="304" spans="11:23">
      <c r="K304" s="89">
        <v>0.88690860000000005</v>
      </c>
      <c r="L304" s="79">
        <v>545</v>
      </c>
      <c r="M304" s="89">
        <v>0.83323466999999996</v>
      </c>
      <c r="N304" s="79">
        <v>545</v>
      </c>
      <c r="O304" s="89">
        <v>0.78667679999999995</v>
      </c>
      <c r="P304" s="61">
        <v>545</v>
      </c>
      <c r="R304" s="88">
        <v>0.85259426000000005</v>
      </c>
      <c r="S304" s="61">
        <v>545</v>
      </c>
      <c r="T304" s="89">
        <v>0.83323466999999996</v>
      </c>
      <c r="U304" s="79">
        <v>545</v>
      </c>
      <c r="V304" s="89">
        <v>0.81479126000000002</v>
      </c>
      <c r="W304" s="61">
        <v>545</v>
      </c>
    </row>
    <row r="305" spans="11:23">
      <c r="K305" s="89">
        <v>0.89376264999999999</v>
      </c>
      <c r="L305" s="79">
        <v>546</v>
      </c>
      <c r="M305" s="89">
        <v>0.83939755000000005</v>
      </c>
      <c r="N305" s="79">
        <v>546</v>
      </c>
      <c r="O305" s="89">
        <v>0.79218089999999997</v>
      </c>
      <c r="P305" s="61">
        <v>546</v>
      </c>
      <c r="R305" s="88">
        <v>0.85809230000000003</v>
      </c>
      <c r="S305" s="61">
        <v>546</v>
      </c>
      <c r="T305" s="89">
        <v>0.83939755000000005</v>
      </c>
      <c r="U305" s="79">
        <v>546</v>
      </c>
      <c r="V305" s="89">
        <v>0.82134130000000005</v>
      </c>
      <c r="W305" s="61">
        <v>546</v>
      </c>
    </row>
    <row r="306" spans="11:23">
      <c r="K306" s="89">
        <v>0.90067005</v>
      </c>
      <c r="L306" s="79">
        <v>547</v>
      </c>
      <c r="M306" s="89">
        <v>0.84556043000000003</v>
      </c>
      <c r="N306" s="79">
        <v>547</v>
      </c>
      <c r="O306" s="89">
        <v>0.79768490000000003</v>
      </c>
      <c r="P306" s="61">
        <v>547</v>
      </c>
      <c r="R306" s="88">
        <v>0.86359036</v>
      </c>
      <c r="S306" s="61">
        <v>547</v>
      </c>
      <c r="T306" s="89">
        <v>0.84556043000000003</v>
      </c>
      <c r="U306" s="79">
        <v>547</v>
      </c>
      <c r="V306" s="89">
        <v>0.82798284</v>
      </c>
      <c r="W306" s="61">
        <v>547</v>
      </c>
    </row>
    <row r="307" spans="11:23">
      <c r="K307" s="89">
        <v>0.90775459999999997</v>
      </c>
      <c r="L307" s="79">
        <v>548</v>
      </c>
      <c r="M307" s="89">
        <v>0.85172329999999996</v>
      </c>
      <c r="N307" s="79">
        <v>548</v>
      </c>
      <c r="O307" s="89">
        <v>0.80318889999999998</v>
      </c>
      <c r="P307" s="61">
        <v>548</v>
      </c>
      <c r="R307" s="88">
        <v>0.86908834999999995</v>
      </c>
      <c r="S307" s="61">
        <v>548</v>
      </c>
      <c r="T307" s="89">
        <v>0.85172329999999996</v>
      </c>
      <c r="U307" s="79">
        <v>548</v>
      </c>
      <c r="V307" s="89">
        <v>0.83492845000000004</v>
      </c>
      <c r="W307" s="61">
        <v>548</v>
      </c>
    </row>
    <row r="308" spans="11:23">
      <c r="K308" s="89">
        <v>0.91483915000000005</v>
      </c>
      <c r="L308" s="79">
        <v>549</v>
      </c>
      <c r="M308" s="89">
        <v>0.85788620000000004</v>
      </c>
      <c r="N308" s="79">
        <v>549</v>
      </c>
      <c r="O308" s="89">
        <v>0.80890404999999999</v>
      </c>
      <c r="P308" s="61">
        <v>549</v>
      </c>
      <c r="R308" s="88">
        <v>0.87469465000000002</v>
      </c>
      <c r="S308" s="61">
        <v>549</v>
      </c>
      <c r="T308" s="89">
        <v>0.85788620000000004</v>
      </c>
      <c r="U308" s="79">
        <v>549</v>
      </c>
      <c r="V308" s="89">
        <v>0.84187400000000001</v>
      </c>
      <c r="W308" s="61">
        <v>549</v>
      </c>
    </row>
    <row r="309" spans="11:23">
      <c r="K309" s="89">
        <v>0.92211240000000005</v>
      </c>
      <c r="L309" s="79">
        <v>550</v>
      </c>
      <c r="M309" s="89">
        <v>0.86421599999999998</v>
      </c>
      <c r="N309" s="79">
        <v>550</v>
      </c>
      <c r="O309" s="89">
        <v>0.81465613999999997</v>
      </c>
      <c r="P309" s="61">
        <v>550</v>
      </c>
      <c r="R309" s="88">
        <v>0.88046670000000005</v>
      </c>
      <c r="S309" s="61">
        <v>550</v>
      </c>
      <c r="T309" s="89">
        <v>0.86421599999999998</v>
      </c>
      <c r="U309" s="79">
        <v>550</v>
      </c>
      <c r="V309" s="89">
        <v>0.84881960000000001</v>
      </c>
      <c r="W309" s="61">
        <v>550</v>
      </c>
    </row>
    <row r="310" spans="11:23">
      <c r="K310" s="89">
        <v>0.92959756000000004</v>
      </c>
      <c r="L310" s="79">
        <v>551</v>
      </c>
      <c r="M310" s="89">
        <v>0.87073339999999999</v>
      </c>
      <c r="N310" s="79">
        <v>551</v>
      </c>
      <c r="O310" s="89">
        <v>0.82040820000000003</v>
      </c>
      <c r="P310" s="61">
        <v>551</v>
      </c>
      <c r="R310" s="88">
        <v>0.88623874999999996</v>
      </c>
      <c r="S310" s="61">
        <v>551</v>
      </c>
      <c r="T310" s="89">
        <v>0.87073339999999999</v>
      </c>
      <c r="U310" s="79">
        <v>551</v>
      </c>
      <c r="V310" s="89">
        <v>0.85576516000000002</v>
      </c>
      <c r="W310" s="61">
        <v>551</v>
      </c>
    </row>
    <row r="311" spans="11:23">
      <c r="K311" s="89">
        <v>0.93708276999999995</v>
      </c>
      <c r="L311" s="79">
        <v>552</v>
      </c>
      <c r="M311" s="89">
        <v>0.8772508</v>
      </c>
      <c r="N311" s="79">
        <v>552</v>
      </c>
      <c r="O311" s="89">
        <v>0.82616025000000004</v>
      </c>
      <c r="P311" s="61">
        <v>552</v>
      </c>
      <c r="R311" s="88">
        <v>0.89201079999999999</v>
      </c>
      <c r="S311" s="61">
        <v>552</v>
      </c>
      <c r="T311" s="89">
        <v>0.8772508</v>
      </c>
      <c r="U311" s="79">
        <v>552</v>
      </c>
      <c r="V311" s="89">
        <v>0.8627108</v>
      </c>
      <c r="W311" s="61">
        <v>552</v>
      </c>
    </row>
    <row r="312" spans="11:23">
      <c r="K312" s="89">
        <v>0.94456790000000002</v>
      </c>
      <c r="L312" s="79">
        <v>553</v>
      </c>
      <c r="M312" s="89">
        <v>0.8837682</v>
      </c>
      <c r="N312" s="79">
        <v>553</v>
      </c>
      <c r="O312" s="89">
        <v>0.83191234000000003</v>
      </c>
      <c r="P312" s="61">
        <v>553</v>
      </c>
      <c r="R312" s="88">
        <v>0.89778285999999996</v>
      </c>
      <c r="S312" s="61">
        <v>553</v>
      </c>
      <c r="T312" s="89">
        <v>0.8837682</v>
      </c>
      <c r="U312" s="79">
        <v>553</v>
      </c>
      <c r="V312" s="89">
        <v>0.86990374000000004</v>
      </c>
      <c r="W312" s="61">
        <v>553</v>
      </c>
    </row>
    <row r="313" spans="11:23">
      <c r="K313" s="89">
        <v>0.95205309999999999</v>
      </c>
      <c r="L313" s="79">
        <v>554</v>
      </c>
      <c r="M313" s="89">
        <v>0.89028560000000001</v>
      </c>
      <c r="N313" s="79">
        <v>554</v>
      </c>
      <c r="O313" s="89">
        <v>0.83776057000000004</v>
      </c>
      <c r="P313" s="61">
        <v>554</v>
      </c>
      <c r="R313" s="88">
        <v>0.903555</v>
      </c>
      <c r="S313" s="61">
        <v>554</v>
      </c>
      <c r="T313" s="89">
        <v>0.89028560000000001</v>
      </c>
      <c r="U313" s="79">
        <v>554</v>
      </c>
      <c r="V313" s="89">
        <v>0.87719756000000004</v>
      </c>
      <c r="W313" s="61">
        <v>554</v>
      </c>
    </row>
    <row r="314" spans="11:23">
      <c r="K314" s="89">
        <v>0.95953829999999996</v>
      </c>
      <c r="L314" s="79">
        <v>555</v>
      </c>
      <c r="M314" s="89">
        <v>0.89680300000000002</v>
      </c>
      <c r="N314" s="79">
        <v>555</v>
      </c>
      <c r="O314" s="89">
        <v>0.84380405999999997</v>
      </c>
      <c r="P314" s="61">
        <v>555</v>
      </c>
      <c r="R314" s="88">
        <v>0.9095782</v>
      </c>
      <c r="S314" s="61">
        <v>555</v>
      </c>
      <c r="T314" s="89">
        <v>0.89680300000000002</v>
      </c>
      <c r="U314" s="79">
        <v>555</v>
      </c>
      <c r="V314" s="89">
        <v>0.88449144000000002</v>
      </c>
      <c r="W314" s="61">
        <v>555</v>
      </c>
    </row>
    <row r="315" spans="11:23">
      <c r="K315" s="89">
        <v>0.96738400000000002</v>
      </c>
      <c r="L315" s="79">
        <v>556</v>
      </c>
      <c r="M315" s="89">
        <v>0.90372943999999999</v>
      </c>
      <c r="N315" s="79">
        <v>556</v>
      </c>
      <c r="O315" s="89">
        <v>0.84984755999999995</v>
      </c>
      <c r="P315" s="61">
        <v>556</v>
      </c>
      <c r="R315" s="88">
        <v>0.91567856000000003</v>
      </c>
      <c r="S315" s="61">
        <v>556</v>
      </c>
      <c r="T315" s="89">
        <v>0.90372943999999999</v>
      </c>
      <c r="U315" s="79">
        <v>556</v>
      </c>
      <c r="V315" s="89">
        <v>0.89203876000000004</v>
      </c>
      <c r="W315" s="61">
        <v>556</v>
      </c>
    </row>
    <row r="316" spans="11:23">
      <c r="K316" s="89">
        <v>0.97535086000000004</v>
      </c>
      <c r="L316" s="79">
        <v>557</v>
      </c>
      <c r="M316" s="89">
        <v>0.91067750000000003</v>
      </c>
      <c r="N316" s="79">
        <v>557</v>
      </c>
      <c r="O316" s="89">
        <v>0.85589099999999996</v>
      </c>
      <c r="P316" s="61">
        <v>557</v>
      </c>
      <c r="R316" s="88">
        <v>0.92177885999999998</v>
      </c>
      <c r="S316" s="61">
        <v>557</v>
      </c>
      <c r="T316" s="89">
        <v>0.91067750000000003</v>
      </c>
      <c r="U316" s="79">
        <v>557</v>
      </c>
      <c r="V316" s="89">
        <v>0.8995995</v>
      </c>
      <c r="W316" s="61">
        <v>557</v>
      </c>
    </row>
    <row r="317" spans="11:23">
      <c r="K317" s="89">
        <v>0.98341710000000004</v>
      </c>
      <c r="L317" s="79">
        <v>558</v>
      </c>
      <c r="M317" s="89">
        <v>0.91762560000000004</v>
      </c>
      <c r="N317" s="79">
        <v>558</v>
      </c>
      <c r="O317" s="89">
        <v>0.86193450000000005</v>
      </c>
      <c r="P317" s="61">
        <v>558</v>
      </c>
      <c r="R317" s="88">
        <v>0.92787914999999999</v>
      </c>
      <c r="S317" s="61">
        <v>558</v>
      </c>
      <c r="T317" s="89">
        <v>0.91762560000000004</v>
      </c>
      <c r="U317" s="79">
        <v>558</v>
      </c>
      <c r="V317" s="89">
        <v>0.90724870000000002</v>
      </c>
      <c r="W317" s="61">
        <v>558</v>
      </c>
    </row>
    <row r="318" spans="11:23">
      <c r="K318" s="89">
        <v>0.99163674999999996</v>
      </c>
      <c r="L318" s="79">
        <v>559</v>
      </c>
      <c r="M318" s="89">
        <v>0.92457365999999996</v>
      </c>
      <c r="N318" s="79">
        <v>559</v>
      </c>
      <c r="O318" s="89">
        <v>0.86797800000000003</v>
      </c>
      <c r="P318" s="61">
        <v>559</v>
      </c>
      <c r="R318" s="88">
        <v>0.93397949999999996</v>
      </c>
      <c r="S318" s="61">
        <v>559</v>
      </c>
      <c r="T318" s="89">
        <v>0.92457365999999996</v>
      </c>
      <c r="U318" s="79">
        <v>559</v>
      </c>
      <c r="V318" s="89">
        <v>0.91527689999999995</v>
      </c>
      <c r="W318" s="61">
        <v>559</v>
      </c>
    </row>
    <row r="319" spans="11:23" ht="15" thickBot="1">
      <c r="K319" s="90">
        <v>1</v>
      </c>
      <c r="L319" s="148">
        <v>560</v>
      </c>
      <c r="M319" s="89">
        <v>0.93152170000000001</v>
      </c>
      <c r="N319" s="79">
        <v>560</v>
      </c>
      <c r="O319" s="89">
        <v>0.87430269999999999</v>
      </c>
      <c r="P319" s="61">
        <v>560</v>
      </c>
      <c r="R319" s="88">
        <v>0.94011736000000001</v>
      </c>
      <c r="S319" s="61">
        <v>560</v>
      </c>
      <c r="T319" s="89">
        <v>0.93152170000000001</v>
      </c>
      <c r="U319" s="79">
        <v>560</v>
      </c>
      <c r="V319" s="89">
        <v>0.92330502999999997</v>
      </c>
      <c r="W319" s="61">
        <v>560</v>
      </c>
    </row>
    <row r="320" spans="11:23">
      <c r="M320" s="89">
        <v>0.93862504000000002</v>
      </c>
      <c r="N320" s="79">
        <v>561</v>
      </c>
      <c r="O320" s="89">
        <v>0.88069385</v>
      </c>
      <c r="P320" s="61">
        <v>561</v>
      </c>
      <c r="R320" s="88">
        <v>0.94649446000000004</v>
      </c>
      <c r="S320" s="61">
        <v>561</v>
      </c>
      <c r="T320" s="89">
        <v>0.93862504000000002</v>
      </c>
      <c r="U320" s="79">
        <v>561</v>
      </c>
      <c r="V320" s="89">
        <v>0.93133319999999997</v>
      </c>
      <c r="W320" s="61">
        <v>561</v>
      </c>
    </row>
    <row r="321" spans="13:23">
      <c r="M321" s="89">
        <v>0.94593525000000001</v>
      </c>
      <c r="N321" s="79">
        <v>562</v>
      </c>
      <c r="O321" s="89">
        <v>0.88708500000000001</v>
      </c>
      <c r="P321" s="61">
        <v>562</v>
      </c>
      <c r="R321" s="88">
        <v>0.95287155999999995</v>
      </c>
      <c r="S321" s="61">
        <v>562</v>
      </c>
      <c r="T321" s="89">
        <v>0.94593525000000001</v>
      </c>
      <c r="U321" s="79">
        <v>562</v>
      </c>
      <c r="V321" s="89">
        <v>0.93936140000000001</v>
      </c>
      <c r="W321" s="61">
        <v>562</v>
      </c>
    </row>
    <row r="322" spans="13:23">
      <c r="M322" s="89">
        <v>0.95327200000000001</v>
      </c>
      <c r="N322" s="79">
        <v>563</v>
      </c>
      <c r="O322" s="89">
        <v>0.8934761</v>
      </c>
      <c r="P322" s="61">
        <v>563</v>
      </c>
      <c r="R322" s="88">
        <v>0.95937335000000001</v>
      </c>
      <c r="S322" s="61">
        <v>563</v>
      </c>
      <c r="T322" s="89">
        <v>0.95327200000000001</v>
      </c>
      <c r="U322" s="79">
        <v>563</v>
      </c>
      <c r="V322" s="89">
        <v>0.94738953999999997</v>
      </c>
      <c r="W322" s="61">
        <v>563</v>
      </c>
    </row>
    <row r="323" spans="13:23">
      <c r="M323" s="89">
        <v>0.96082840000000003</v>
      </c>
      <c r="N323" s="79">
        <v>564</v>
      </c>
      <c r="O323" s="89">
        <v>0.89986730000000004</v>
      </c>
      <c r="P323" s="61">
        <v>564</v>
      </c>
      <c r="R323" s="88">
        <v>0.96594345999999998</v>
      </c>
      <c r="S323" s="61">
        <v>564</v>
      </c>
      <c r="T323" s="89">
        <v>0.96082840000000003</v>
      </c>
      <c r="U323" s="79">
        <v>564</v>
      </c>
      <c r="V323" s="89">
        <v>0.95571790000000001</v>
      </c>
      <c r="W323" s="61">
        <v>564</v>
      </c>
    </row>
    <row r="324" spans="13:23">
      <c r="M324" s="89">
        <v>0.96838480000000005</v>
      </c>
      <c r="N324" s="79">
        <v>565</v>
      </c>
      <c r="O324" s="89">
        <v>0.90634630000000005</v>
      </c>
      <c r="P324" s="61">
        <v>565</v>
      </c>
      <c r="R324" s="88">
        <v>0.97253699999999998</v>
      </c>
      <c r="S324" s="61">
        <v>565</v>
      </c>
      <c r="T324" s="89">
        <v>0.96838480000000005</v>
      </c>
      <c r="U324" s="79">
        <v>565</v>
      </c>
      <c r="V324" s="89">
        <v>0.96425439999999996</v>
      </c>
      <c r="W324" s="61">
        <v>565</v>
      </c>
    </row>
    <row r="325" spans="13:23">
      <c r="M325" s="89">
        <v>0.97609115000000002</v>
      </c>
      <c r="N325" s="79">
        <v>566</v>
      </c>
      <c r="O325" s="89">
        <v>0.91304289999999999</v>
      </c>
      <c r="P325" s="61">
        <v>566</v>
      </c>
      <c r="R325" s="88">
        <v>0.97926360000000001</v>
      </c>
      <c r="S325" s="61">
        <v>566</v>
      </c>
      <c r="T325" s="89">
        <v>0.97609115000000002</v>
      </c>
      <c r="U325" s="79">
        <v>566</v>
      </c>
      <c r="V325" s="89">
        <v>0.97293644999999995</v>
      </c>
      <c r="W325" s="61">
        <v>566</v>
      </c>
    </row>
    <row r="326" spans="13:23">
      <c r="M326" s="89">
        <v>0.98393730000000001</v>
      </c>
      <c r="N326" s="79">
        <v>567</v>
      </c>
      <c r="O326" s="89">
        <v>0.91973950000000004</v>
      </c>
      <c r="P326" s="61">
        <v>567</v>
      </c>
      <c r="R326" s="88">
        <v>0.98607993000000005</v>
      </c>
      <c r="S326" s="61">
        <v>567</v>
      </c>
      <c r="T326" s="89">
        <v>0.98393730000000001</v>
      </c>
      <c r="U326" s="79">
        <v>567</v>
      </c>
      <c r="V326" s="89">
        <v>0.98192436000000005</v>
      </c>
      <c r="W326" s="61">
        <v>567</v>
      </c>
    </row>
    <row r="327" spans="13:23">
      <c r="M327" s="89">
        <v>0.99189579999999999</v>
      </c>
      <c r="N327" s="79">
        <v>568</v>
      </c>
      <c r="O327" s="89">
        <v>0.92655889999999996</v>
      </c>
      <c r="P327" s="61">
        <v>568</v>
      </c>
      <c r="R327" s="88">
        <v>0.99299185999999995</v>
      </c>
      <c r="S327" s="61">
        <v>568</v>
      </c>
      <c r="T327" s="89">
        <v>0.99189579999999999</v>
      </c>
      <c r="U327" s="79">
        <v>568</v>
      </c>
      <c r="V327" s="89">
        <v>0.99094342999999996</v>
      </c>
      <c r="W327" s="61">
        <v>568</v>
      </c>
    </row>
    <row r="328" spans="13:23" ht="15" thickBot="1">
      <c r="M328" s="90">
        <v>1</v>
      </c>
      <c r="N328" s="148">
        <v>569</v>
      </c>
      <c r="O328" s="89">
        <v>0.93348867000000002</v>
      </c>
      <c r="P328" s="61">
        <v>569</v>
      </c>
      <c r="R328" s="132">
        <v>1</v>
      </c>
      <c r="S328" s="112">
        <v>569</v>
      </c>
      <c r="T328" s="90">
        <v>1</v>
      </c>
      <c r="U328" s="148">
        <v>569</v>
      </c>
      <c r="V328" s="90">
        <v>1</v>
      </c>
      <c r="W328" s="112">
        <v>569</v>
      </c>
    </row>
    <row r="329" spans="13:23">
      <c r="O329" s="89">
        <v>0.94041836000000001</v>
      </c>
      <c r="P329" s="61">
        <v>570</v>
      </c>
    </row>
    <row r="330" spans="13:23">
      <c r="O330" s="89">
        <v>0.94765913000000002</v>
      </c>
      <c r="P330" s="61">
        <v>571</v>
      </c>
    </row>
    <row r="331" spans="13:23">
      <c r="O331" s="89">
        <v>0.95499469999999997</v>
      </c>
      <c r="P331" s="61">
        <v>572</v>
      </c>
    </row>
    <row r="332" spans="13:23">
      <c r="O332" s="89">
        <v>0.96233020000000002</v>
      </c>
      <c r="P332" s="61">
        <v>573</v>
      </c>
    </row>
    <row r="333" spans="13:23">
      <c r="O333" s="89">
        <v>0.96966569999999996</v>
      </c>
      <c r="P333" s="61">
        <v>574</v>
      </c>
    </row>
    <row r="334" spans="13:23">
      <c r="O334" s="89">
        <v>0.97700125000000004</v>
      </c>
      <c r="P334" s="61">
        <v>575</v>
      </c>
    </row>
    <row r="335" spans="13:23">
      <c r="O335" s="89">
        <v>0.98441999999999996</v>
      </c>
      <c r="P335" s="61">
        <v>576</v>
      </c>
    </row>
    <row r="336" spans="13:23">
      <c r="O336" s="89">
        <v>0.9921451</v>
      </c>
      <c r="P336" s="61">
        <v>577</v>
      </c>
    </row>
    <row r="337" spans="15:16" ht="15" thickBot="1">
      <c r="O337" s="90">
        <v>1</v>
      </c>
      <c r="P337" s="112">
        <v>578</v>
      </c>
    </row>
  </sheetData>
  <mergeCells count="25">
    <mergeCell ref="R7:S7"/>
    <mergeCell ref="T7:U7"/>
    <mergeCell ref="V7:W7"/>
    <mergeCell ref="K5:P5"/>
    <mergeCell ref="R2:W2"/>
    <mergeCell ref="R3:W3"/>
    <mergeCell ref="R4:W4"/>
    <mergeCell ref="R5:W5"/>
    <mergeCell ref="R6:W6"/>
    <mergeCell ref="O7:P7"/>
    <mergeCell ref="B4:I4"/>
    <mergeCell ref="B3:I3"/>
    <mergeCell ref="B2:I2"/>
    <mergeCell ref="K7:L7"/>
    <mergeCell ref="M7:N7"/>
    <mergeCell ref="K6:P6"/>
    <mergeCell ref="K2:P2"/>
    <mergeCell ref="K3:P3"/>
    <mergeCell ref="K4:P4"/>
    <mergeCell ref="B7:C7"/>
    <mergeCell ref="D7:E7"/>
    <mergeCell ref="F7:G7"/>
    <mergeCell ref="H7:I7"/>
    <mergeCell ref="B6:I6"/>
    <mergeCell ref="B5:I5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BAC97-5860-4AE2-B056-422F99B0EDC0}">
  <dimension ref="B1:AC367"/>
  <sheetViews>
    <sheetView topLeftCell="F1" zoomScale="85" zoomScaleNormal="85" workbookViewId="0">
      <selection activeCell="B9" sqref="B9:U26"/>
    </sheetView>
  </sheetViews>
  <sheetFormatPr defaultRowHeight="14.5"/>
  <cols>
    <col min="1" max="1" width="8.7265625" style="1"/>
    <col min="2" max="9" width="15" style="1" customWidth="1"/>
    <col min="10" max="15" width="15.1796875" style="1" customWidth="1"/>
    <col min="16" max="19" width="15.90625" style="1" customWidth="1"/>
    <col min="20" max="21" width="16.36328125" style="1" customWidth="1"/>
    <col min="22" max="29" width="16.6328125" style="1" customWidth="1"/>
    <col min="30" max="16384" width="8.7265625" style="1"/>
  </cols>
  <sheetData>
    <row r="1" spans="2:29" ht="15" thickBot="1"/>
    <row r="2" spans="2:29">
      <c r="B2" s="227" t="s">
        <v>582</v>
      </c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8"/>
      <c r="U2" s="228"/>
      <c r="V2" s="228"/>
      <c r="W2" s="228"/>
      <c r="X2" s="228"/>
      <c r="Y2" s="228"/>
      <c r="Z2" s="228"/>
      <c r="AA2" s="228"/>
      <c r="AB2" s="228"/>
      <c r="AC2" s="229"/>
    </row>
    <row r="3" spans="2:29">
      <c r="B3" s="233" t="s">
        <v>563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  <c r="W3" s="234"/>
      <c r="X3" s="234"/>
      <c r="Y3" s="234"/>
      <c r="Z3" s="234"/>
      <c r="AA3" s="234"/>
      <c r="AB3" s="234"/>
      <c r="AC3" s="235"/>
    </row>
    <row r="4" spans="2:29" ht="15" thickBot="1">
      <c r="B4" s="299" t="s">
        <v>562</v>
      </c>
      <c r="C4" s="300"/>
      <c r="D4" s="300"/>
      <c r="E4" s="300"/>
      <c r="F4" s="300"/>
      <c r="G4" s="300"/>
      <c r="H4" s="300"/>
      <c r="I4" s="300"/>
      <c r="J4" s="300"/>
      <c r="K4" s="300"/>
      <c r="L4" s="300"/>
      <c r="M4" s="300"/>
      <c r="N4" s="300"/>
      <c r="O4" s="300"/>
      <c r="P4" s="300"/>
      <c r="Q4" s="300"/>
      <c r="R4" s="300"/>
      <c r="S4" s="300"/>
      <c r="T4" s="300"/>
      <c r="U4" s="300"/>
      <c r="V4" s="300"/>
      <c r="W4" s="300"/>
      <c r="X4" s="300"/>
      <c r="Y4" s="300"/>
      <c r="Z4" s="300"/>
      <c r="AA4" s="300"/>
      <c r="AB4" s="300"/>
      <c r="AC4" s="301"/>
    </row>
    <row r="5" spans="2:29" ht="15" thickBot="1">
      <c r="B5" s="303" t="s">
        <v>397</v>
      </c>
      <c r="C5" s="304"/>
      <c r="D5" s="304"/>
      <c r="E5" s="304"/>
      <c r="F5" s="304"/>
      <c r="G5" s="304"/>
      <c r="H5" s="304"/>
      <c r="I5" s="304"/>
      <c r="J5" s="304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5"/>
      <c r="V5" s="277" t="s">
        <v>408</v>
      </c>
      <c r="W5" s="278"/>
      <c r="X5" s="278"/>
      <c r="Y5" s="278"/>
      <c r="Z5" s="278"/>
      <c r="AA5" s="278"/>
      <c r="AB5" s="278"/>
      <c r="AC5" s="279"/>
    </row>
    <row r="6" spans="2:29" ht="15" thickBot="1">
      <c r="B6" s="296" t="s">
        <v>561</v>
      </c>
      <c r="C6" s="297"/>
      <c r="D6" s="297"/>
      <c r="E6" s="297"/>
      <c r="F6" s="297"/>
      <c r="G6" s="297"/>
      <c r="H6" s="297"/>
      <c r="I6" s="298"/>
      <c r="J6" s="242" t="s">
        <v>578</v>
      </c>
      <c r="K6" s="243"/>
      <c r="L6" s="243"/>
      <c r="M6" s="243"/>
      <c r="N6" s="243"/>
      <c r="O6" s="244"/>
      <c r="P6" s="242" t="s">
        <v>580</v>
      </c>
      <c r="Q6" s="244"/>
      <c r="R6" s="242" t="s">
        <v>581</v>
      </c>
      <c r="S6" s="243"/>
      <c r="T6" s="243"/>
      <c r="U6" s="244"/>
      <c r="V6" s="238" t="s">
        <v>561</v>
      </c>
      <c r="W6" s="248"/>
      <c r="X6" s="238" t="s">
        <v>578</v>
      </c>
      <c r="Y6" s="248"/>
      <c r="Z6" s="238" t="s">
        <v>580</v>
      </c>
      <c r="AA6" s="248"/>
      <c r="AB6" s="238" t="s">
        <v>581</v>
      </c>
      <c r="AC6" s="239"/>
    </row>
    <row r="7" spans="2:29" ht="15" thickBot="1">
      <c r="B7" s="253" t="s">
        <v>564</v>
      </c>
      <c r="C7" s="255"/>
      <c r="D7" s="253" t="s">
        <v>400</v>
      </c>
      <c r="E7" s="255"/>
      <c r="F7" s="253" t="s">
        <v>402</v>
      </c>
      <c r="G7" s="255"/>
      <c r="H7" s="253" t="s">
        <v>401</v>
      </c>
      <c r="I7" s="255"/>
      <c r="J7" s="253" t="s">
        <v>400</v>
      </c>
      <c r="K7" s="255"/>
      <c r="L7" s="253" t="s">
        <v>401</v>
      </c>
      <c r="M7" s="255"/>
      <c r="N7" s="253" t="s">
        <v>579</v>
      </c>
      <c r="O7" s="255"/>
      <c r="P7" s="253" t="s">
        <v>400</v>
      </c>
      <c r="Q7" s="255"/>
      <c r="R7" s="253" t="s">
        <v>400</v>
      </c>
      <c r="S7" s="255"/>
      <c r="T7" s="253" t="s">
        <v>401</v>
      </c>
      <c r="U7" s="255"/>
      <c r="V7" s="240"/>
      <c r="W7" s="249"/>
      <c r="X7" s="240"/>
      <c r="Y7" s="249"/>
      <c r="Z7" s="240"/>
      <c r="AA7" s="249"/>
      <c r="AB7" s="240"/>
      <c r="AC7" s="241"/>
    </row>
    <row r="8" spans="2:29" ht="16.5">
      <c r="B8" s="31" t="s">
        <v>410</v>
      </c>
      <c r="C8" s="41" t="s">
        <v>428</v>
      </c>
      <c r="D8" s="31" t="s">
        <v>410</v>
      </c>
      <c r="E8" s="41" t="s">
        <v>428</v>
      </c>
      <c r="F8" s="31" t="s">
        <v>410</v>
      </c>
      <c r="G8" s="41" t="s">
        <v>428</v>
      </c>
      <c r="H8" s="31" t="s">
        <v>410</v>
      </c>
      <c r="I8" s="40" t="s">
        <v>428</v>
      </c>
      <c r="J8" s="31" t="s">
        <v>410</v>
      </c>
      <c r="K8" s="41" t="s">
        <v>428</v>
      </c>
      <c r="L8" s="31" t="s">
        <v>410</v>
      </c>
      <c r="M8" s="40" t="s">
        <v>428</v>
      </c>
      <c r="N8" s="31" t="s">
        <v>410</v>
      </c>
      <c r="O8" s="41" t="s">
        <v>428</v>
      </c>
      <c r="P8" s="31" t="s">
        <v>410</v>
      </c>
      <c r="Q8" s="41" t="s">
        <v>428</v>
      </c>
      <c r="R8" s="31" t="s">
        <v>410</v>
      </c>
      <c r="S8" s="41" t="s">
        <v>428</v>
      </c>
      <c r="T8" s="31" t="s">
        <v>410</v>
      </c>
      <c r="U8" s="40" t="s">
        <v>428</v>
      </c>
      <c r="V8" s="35" t="s">
        <v>410</v>
      </c>
      <c r="W8" s="52" t="s">
        <v>428</v>
      </c>
      <c r="X8" s="35" t="s">
        <v>410</v>
      </c>
      <c r="Y8" s="52" t="s">
        <v>428</v>
      </c>
      <c r="Z8" s="35" t="s">
        <v>410</v>
      </c>
      <c r="AA8" s="52" t="s">
        <v>428</v>
      </c>
      <c r="AB8" s="35" t="s">
        <v>410</v>
      </c>
      <c r="AC8" s="52" t="s">
        <v>428</v>
      </c>
    </row>
    <row r="9" spans="2:29">
      <c r="B9" s="5"/>
      <c r="C9" s="6"/>
      <c r="D9" s="5"/>
      <c r="E9" s="6"/>
      <c r="F9" s="5"/>
      <c r="G9" s="6"/>
      <c r="H9" s="5"/>
      <c r="I9" s="11"/>
      <c r="J9" s="9"/>
      <c r="K9" s="6"/>
      <c r="L9" s="9"/>
      <c r="M9" s="11"/>
      <c r="N9" s="9"/>
      <c r="O9" s="6"/>
      <c r="P9" s="9"/>
      <c r="Q9" s="6"/>
      <c r="R9" s="9"/>
      <c r="S9" s="6"/>
      <c r="T9" s="9"/>
      <c r="U9" s="11"/>
      <c r="V9" s="89">
        <v>8.0125979999999992E-3</v>
      </c>
      <c r="W9" s="61">
        <v>250</v>
      </c>
      <c r="X9" s="89">
        <v>2.9769206999999999E-3</v>
      </c>
      <c r="Y9" s="61">
        <v>250</v>
      </c>
      <c r="Z9" s="89">
        <v>4.2801041999999999E-4</v>
      </c>
      <c r="AA9" s="61">
        <v>250</v>
      </c>
      <c r="AB9" s="156">
        <v>2.4305654999999999E-6</v>
      </c>
      <c r="AC9" s="61">
        <v>250</v>
      </c>
    </row>
    <row r="10" spans="2:29">
      <c r="B10" s="5"/>
      <c r="C10" s="6"/>
      <c r="D10" s="5"/>
      <c r="E10" s="6"/>
      <c r="F10" s="5"/>
      <c r="G10" s="6"/>
      <c r="H10" s="5"/>
      <c r="I10" s="11"/>
      <c r="J10" s="9"/>
      <c r="K10" s="6"/>
      <c r="L10" s="9"/>
      <c r="M10" s="11"/>
      <c r="N10" s="9"/>
      <c r="O10" s="6"/>
      <c r="P10" s="9"/>
      <c r="Q10" s="6"/>
      <c r="R10" s="9"/>
      <c r="S10" s="6"/>
      <c r="T10" s="9"/>
      <c r="U10" s="11"/>
      <c r="V10" s="89">
        <v>8.4323469999999998E-3</v>
      </c>
      <c r="W10" s="61">
        <v>251</v>
      </c>
      <c r="X10" s="89">
        <v>3.1474052999999999E-3</v>
      </c>
      <c r="Y10" s="61">
        <v>251</v>
      </c>
      <c r="Z10" s="89">
        <v>4.6837384999999997E-4</v>
      </c>
      <c r="AA10" s="61">
        <v>251</v>
      </c>
      <c r="AB10" s="156">
        <v>2.6653329E-6</v>
      </c>
      <c r="AC10" s="61">
        <v>251</v>
      </c>
    </row>
    <row r="11" spans="2:29">
      <c r="B11" s="5"/>
      <c r="C11" s="6"/>
      <c r="D11" s="5"/>
      <c r="E11" s="6"/>
      <c r="F11" s="5"/>
      <c r="G11" s="6"/>
      <c r="H11" s="5"/>
      <c r="I11" s="11"/>
      <c r="J11" s="9"/>
      <c r="K11" s="6"/>
      <c r="L11" s="9"/>
      <c r="M11" s="11"/>
      <c r="N11" s="9"/>
      <c r="O11" s="6"/>
      <c r="P11" s="9"/>
      <c r="Q11" s="6"/>
      <c r="R11" s="9"/>
      <c r="S11" s="6"/>
      <c r="T11" s="9"/>
      <c r="U11" s="11"/>
      <c r="V11" s="89">
        <v>8.8522199999999992E-3</v>
      </c>
      <c r="W11" s="61">
        <v>252</v>
      </c>
      <c r="X11" s="89">
        <v>3.3259522000000001E-3</v>
      </c>
      <c r="Y11" s="61">
        <v>252</v>
      </c>
      <c r="Z11" s="89">
        <v>5.1106619999999998E-4</v>
      </c>
      <c r="AA11" s="61">
        <v>252</v>
      </c>
      <c r="AB11" s="156">
        <v>2.9209366000000001E-6</v>
      </c>
      <c r="AC11" s="61">
        <v>252</v>
      </c>
    </row>
    <row r="12" spans="2:29" ht="15" thickBot="1">
      <c r="B12" s="23"/>
      <c r="C12" s="26"/>
      <c r="D12" s="5"/>
      <c r="E12" s="6"/>
      <c r="F12" s="5"/>
      <c r="G12" s="6"/>
      <c r="H12" s="5"/>
      <c r="I12" s="11"/>
      <c r="J12" s="9"/>
      <c r="K12" s="6"/>
      <c r="L12" s="9"/>
      <c r="M12" s="11"/>
      <c r="N12" s="9"/>
      <c r="O12" s="6"/>
      <c r="P12" s="9"/>
      <c r="Q12" s="6"/>
      <c r="R12" s="9"/>
      <c r="S12" s="6"/>
      <c r="T12" s="9"/>
      <c r="U12" s="11"/>
      <c r="V12" s="89">
        <v>9.2777239999999993E-3</v>
      </c>
      <c r="W12" s="61">
        <v>253</v>
      </c>
      <c r="X12" s="89">
        <v>3.5114994000000001E-3</v>
      </c>
      <c r="Y12" s="61">
        <v>253</v>
      </c>
      <c r="Z12" s="89">
        <v>5.5679807E-4</v>
      </c>
      <c r="AA12" s="61">
        <v>253</v>
      </c>
      <c r="AB12" s="156">
        <v>3.1990683000000002E-6</v>
      </c>
      <c r="AC12" s="61">
        <v>253</v>
      </c>
    </row>
    <row r="13" spans="2:29" ht="15" thickBot="1">
      <c r="D13" s="5"/>
      <c r="E13" s="6"/>
      <c r="F13" s="5"/>
      <c r="G13" s="6"/>
      <c r="H13" s="5"/>
      <c r="I13" s="11"/>
      <c r="J13" s="9"/>
      <c r="K13" s="6"/>
      <c r="L13" s="9"/>
      <c r="M13" s="11"/>
      <c r="N13" s="10"/>
      <c r="O13" s="26"/>
      <c r="P13" s="9"/>
      <c r="Q13" s="6"/>
      <c r="R13" s="9"/>
      <c r="S13" s="6"/>
      <c r="T13" s="9"/>
      <c r="U13" s="11"/>
      <c r="V13" s="89">
        <v>9.7270399999999993E-3</v>
      </c>
      <c r="W13" s="61">
        <v>254</v>
      </c>
      <c r="X13" s="89">
        <v>3.7061685999999999E-3</v>
      </c>
      <c r="Y13" s="61">
        <v>254</v>
      </c>
      <c r="Z13" s="89">
        <v>6.1036300000000005E-4</v>
      </c>
      <c r="AA13" s="61">
        <v>254</v>
      </c>
      <c r="AB13" s="156">
        <v>3.5015346E-6</v>
      </c>
      <c r="AC13" s="61">
        <v>254</v>
      </c>
    </row>
    <row r="14" spans="2:29" ht="15" thickBot="1">
      <c r="D14" s="5"/>
      <c r="E14" s="6"/>
      <c r="F14" s="5"/>
      <c r="G14" s="6"/>
      <c r="H14" s="5"/>
      <c r="I14" s="11"/>
      <c r="J14" s="9"/>
      <c r="K14" s="6"/>
      <c r="L14" s="9"/>
      <c r="M14" s="6"/>
      <c r="P14" s="9"/>
      <c r="Q14" s="6"/>
      <c r="R14" s="9"/>
      <c r="S14" s="6"/>
      <c r="T14" s="10"/>
      <c r="U14" s="33"/>
      <c r="V14" s="89">
        <v>1.019334E-2</v>
      </c>
      <c r="W14" s="61">
        <v>255</v>
      </c>
      <c r="X14" s="89">
        <v>3.9092950000000001E-3</v>
      </c>
      <c r="Y14" s="61">
        <v>255</v>
      </c>
      <c r="Z14" s="89">
        <v>6.6436385000000003E-4</v>
      </c>
      <c r="AA14" s="61">
        <v>255</v>
      </c>
      <c r="AB14" s="156">
        <v>3.8302724000000002E-6</v>
      </c>
      <c r="AC14" s="61">
        <v>255</v>
      </c>
    </row>
    <row r="15" spans="2:29" ht="15" thickBot="1">
      <c r="D15" s="5"/>
      <c r="E15" s="6"/>
      <c r="F15" s="23"/>
      <c r="G15" s="26"/>
      <c r="H15" s="5"/>
      <c r="I15" s="11"/>
      <c r="J15" s="9"/>
      <c r="K15" s="6"/>
      <c r="L15" s="10"/>
      <c r="M15" s="26"/>
      <c r="P15" s="9"/>
      <c r="Q15" s="6"/>
      <c r="R15" s="9"/>
      <c r="S15" s="6"/>
      <c r="V15" s="89">
        <v>1.0671107000000001E-2</v>
      </c>
      <c r="W15" s="61">
        <v>256</v>
      </c>
      <c r="X15" s="89">
        <v>4.1214166999999999E-3</v>
      </c>
      <c r="Y15" s="61">
        <v>256</v>
      </c>
      <c r="Z15" s="89">
        <v>7.1958039999999997E-4</v>
      </c>
      <c r="AA15" s="61">
        <v>256</v>
      </c>
      <c r="AB15" s="156">
        <v>4.1873595E-6</v>
      </c>
      <c r="AC15" s="61">
        <v>256</v>
      </c>
    </row>
    <row r="16" spans="2:29" ht="15" thickBot="1">
      <c r="D16" s="5"/>
      <c r="E16" s="6"/>
      <c r="H16" s="23"/>
      <c r="I16" s="33"/>
      <c r="J16" s="9"/>
      <c r="K16" s="6"/>
      <c r="P16" s="9"/>
      <c r="Q16" s="6"/>
      <c r="R16" s="9"/>
      <c r="S16" s="6"/>
      <c r="V16" s="89">
        <v>1.1161088E-2</v>
      </c>
      <c r="W16" s="61">
        <v>257</v>
      </c>
      <c r="X16" s="89">
        <v>4.3433329999999996E-3</v>
      </c>
      <c r="Y16" s="61">
        <v>257</v>
      </c>
      <c r="Z16" s="89">
        <v>7.8643430000000002E-4</v>
      </c>
      <c r="AA16" s="61">
        <v>257</v>
      </c>
      <c r="AB16" s="156">
        <v>4.5750215999999998E-6</v>
      </c>
      <c r="AC16" s="61">
        <v>257</v>
      </c>
    </row>
    <row r="17" spans="4:29">
      <c r="D17" s="5"/>
      <c r="E17" s="6"/>
      <c r="J17" s="9"/>
      <c r="K17" s="6"/>
      <c r="P17" s="9"/>
      <c r="Q17" s="6"/>
      <c r="R17" s="9"/>
      <c r="S17" s="6"/>
      <c r="V17" s="89">
        <v>1.1669042500000001E-2</v>
      </c>
      <c r="W17" s="61">
        <v>258</v>
      </c>
      <c r="X17" s="89">
        <v>4.5732715999999996E-3</v>
      </c>
      <c r="Y17" s="61">
        <v>258</v>
      </c>
      <c r="Z17" s="89">
        <v>8.5328816000000002E-4</v>
      </c>
      <c r="AA17" s="61">
        <v>258</v>
      </c>
      <c r="AB17" s="156">
        <v>4.9956383999999996E-6</v>
      </c>
      <c r="AC17" s="61">
        <v>258</v>
      </c>
    </row>
    <row r="18" spans="4:29">
      <c r="D18" s="5"/>
      <c r="E18" s="6"/>
      <c r="J18" s="9"/>
      <c r="K18" s="6"/>
      <c r="P18" s="9"/>
      <c r="Q18" s="6"/>
      <c r="R18" s="9"/>
      <c r="S18" s="6"/>
      <c r="V18" s="89">
        <v>1.2191156E-2</v>
      </c>
      <c r="W18" s="61">
        <v>259</v>
      </c>
      <c r="X18" s="89">
        <v>4.8139873000000001E-3</v>
      </c>
      <c r="Y18" s="61">
        <v>259</v>
      </c>
      <c r="Z18" s="89">
        <v>9.2384249999999998E-4</v>
      </c>
      <c r="AA18" s="61">
        <v>259</v>
      </c>
      <c r="AB18" s="156">
        <v>5.4517599999999998E-6</v>
      </c>
      <c r="AC18" s="61">
        <v>259</v>
      </c>
    </row>
    <row r="19" spans="4:29">
      <c r="D19" s="5"/>
      <c r="E19" s="6"/>
      <c r="J19" s="9"/>
      <c r="K19" s="6"/>
      <c r="P19" s="9"/>
      <c r="Q19" s="6"/>
      <c r="R19" s="9"/>
      <c r="S19" s="6"/>
      <c r="V19" s="89">
        <v>1.2728936999999999E-2</v>
      </c>
      <c r="W19" s="61">
        <v>260</v>
      </c>
      <c r="X19" s="89">
        <v>5.0627040000000003E-3</v>
      </c>
      <c r="Y19" s="61">
        <v>260</v>
      </c>
      <c r="Z19" s="89">
        <v>1.0059947000000001E-3</v>
      </c>
      <c r="AA19" s="61">
        <v>260</v>
      </c>
      <c r="AB19" s="156">
        <v>5.9461100000000004E-6</v>
      </c>
      <c r="AC19" s="61">
        <v>260</v>
      </c>
    </row>
    <row r="20" spans="4:29">
      <c r="D20" s="5"/>
      <c r="E20" s="6"/>
      <c r="J20" s="9"/>
      <c r="K20" s="6"/>
      <c r="P20" s="9"/>
      <c r="Q20" s="6"/>
      <c r="R20" s="9"/>
      <c r="S20" s="6"/>
      <c r="V20" s="89">
        <v>1.3286744E-2</v>
      </c>
      <c r="W20" s="61">
        <v>261</v>
      </c>
      <c r="X20" s="89">
        <v>5.3194775000000001E-3</v>
      </c>
      <c r="Y20" s="61">
        <v>261</v>
      </c>
      <c r="Z20" s="89">
        <v>1.088147E-3</v>
      </c>
      <c r="AA20" s="61">
        <v>261</v>
      </c>
      <c r="AB20" s="156">
        <v>6.4816027E-6</v>
      </c>
      <c r="AC20" s="61">
        <v>261</v>
      </c>
    </row>
    <row r="21" spans="4:29">
      <c r="D21" s="5"/>
      <c r="E21" s="6"/>
      <c r="J21" s="9"/>
      <c r="K21" s="6"/>
      <c r="P21" s="9"/>
      <c r="Q21" s="6"/>
      <c r="R21" s="9"/>
      <c r="S21" s="6"/>
      <c r="V21" s="89">
        <v>1.38445515E-2</v>
      </c>
      <c r="W21" s="61">
        <v>262</v>
      </c>
      <c r="X21" s="89">
        <v>5.5887513E-3</v>
      </c>
      <c r="Y21" s="61">
        <v>262</v>
      </c>
      <c r="Z21" s="89">
        <v>1.1773147000000001E-3</v>
      </c>
      <c r="AA21" s="61">
        <v>262</v>
      </c>
      <c r="AB21" s="156">
        <v>7.061351E-6</v>
      </c>
      <c r="AC21" s="61">
        <v>262</v>
      </c>
    </row>
    <row r="22" spans="4:29">
      <c r="D22" s="5"/>
      <c r="E22" s="6"/>
      <c r="J22" s="9"/>
      <c r="K22" s="6"/>
      <c r="P22" s="9"/>
      <c r="Q22" s="6"/>
      <c r="R22" s="9"/>
      <c r="S22" s="6"/>
      <c r="V22" s="89">
        <v>1.4425261E-2</v>
      </c>
      <c r="W22" s="61">
        <v>263</v>
      </c>
      <c r="X22" s="89">
        <v>5.8672079999999996E-3</v>
      </c>
      <c r="Y22" s="61">
        <v>263</v>
      </c>
      <c r="Z22" s="89">
        <v>1.2774927999999999E-3</v>
      </c>
      <c r="AA22" s="61">
        <v>263</v>
      </c>
      <c r="AB22" s="156">
        <v>7.6886820000000005E-6</v>
      </c>
      <c r="AC22" s="61">
        <v>263</v>
      </c>
    </row>
    <row r="23" spans="4:29">
      <c r="D23" s="5"/>
      <c r="E23" s="6"/>
      <c r="J23" s="9"/>
      <c r="K23" s="6"/>
      <c r="P23" s="9"/>
      <c r="Q23" s="6"/>
      <c r="R23" s="9"/>
      <c r="S23" s="6"/>
      <c r="V23" s="89">
        <v>1.5023170000000001E-2</v>
      </c>
      <c r="W23" s="61">
        <v>264</v>
      </c>
      <c r="X23" s="89">
        <v>6.1563579999999998E-3</v>
      </c>
      <c r="Y23" s="61">
        <v>264</v>
      </c>
      <c r="Z23" s="89">
        <v>1.377671E-3</v>
      </c>
      <c r="AA23" s="61">
        <v>264</v>
      </c>
      <c r="AB23" s="156">
        <v>8.3671429999999992E-6</v>
      </c>
      <c r="AC23" s="61">
        <v>264</v>
      </c>
    </row>
    <row r="24" spans="4:29">
      <c r="D24" s="5"/>
      <c r="E24" s="6"/>
      <c r="J24" s="9"/>
      <c r="K24" s="6"/>
      <c r="P24" s="9"/>
      <c r="Q24" s="6"/>
      <c r="R24" s="9"/>
      <c r="S24" s="6"/>
      <c r="V24" s="89">
        <v>1.5621080000000001E-2</v>
      </c>
      <c r="W24" s="61">
        <v>265</v>
      </c>
      <c r="X24" s="89">
        <v>6.4575565000000003E-3</v>
      </c>
      <c r="Y24" s="61">
        <v>265</v>
      </c>
      <c r="Z24" s="89">
        <v>1.4860951E-3</v>
      </c>
      <c r="AA24" s="61">
        <v>265</v>
      </c>
      <c r="AB24" s="156">
        <v>9.1005209999999995E-6</v>
      </c>
      <c r="AC24" s="61">
        <v>265</v>
      </c>
    </row>
    <row r="25" spans="4:29" ht="15" thickBot="1">
      <c r="D25" s="23"/>
      <c r="E25" s="26"/>
      <c r="J25" s="10"/>
      <c r="K25" s="26"/>
      <c r="P25" s="10"/>
      <c r="Q25" s="26"/>
      <c r="R25" s="10"/>
      <c r="S25" s="26"/>
      <c r="V25" s="89">
        <v>1.6251572999999998E-2</v>
      </c>
      <c r="W25" s="61">
        <v>266</v>
      </c>
      <c r="X25" s="89">
        <v>6.7656343000000001E-3</v>
      </c>
      <c r="Y25" s="61">
        <v>266</v>
      </c>
      <c r="Z25" s="89">
        <v>1.6028877999999999E-3</v>
      </c>
      <c r="AA25" s="61">
        <v>266</v>
      </c>
      <c r="AB25" s="89">
        <v>9.8928579999999999E-6</v>
      </c>
      <c r="AC25" s="61">
        <v>266</v>
      </c>
    </row>
    <row r="26" spans="4:29">
      <c r="V26" s="89">
        <v>1.6889683999999999E-2</v>
      </c>
      <c r="W26" s="61">
        <v>267</v>
      </c>
      <c r="X26" s="89">
        <v>7.0874724000000002E-3</v>
      </c>
      <c r="Y26" s="61">
        <v>267</v>
      </c>
      <c r="Z26" s="89">
        <v>1.7297317E-3</v>
      </c>
      <c r="AA26" s="61">
        <v>267</v>
      </c>
      <c r="AB26" s="89">
        <v>1.0748459E-5</v>
      </c>
      <c r="AC26" s="61">
        <v>267</v>
      </c>
    </row>
    <row r="27" spans="4:29">
      <c r="V27" s="89">
        <v>1.7529804E-2</v>
      </c>
      <c r="W27" s="61">
        <v>268</v>
      </c>
      <c r="X27" s="89">
        <v>7.4170892999999996E-3</v>
      </c>
      <c r="Y27" s="61">
        <v>268</v>
      </c>
      <c r="Z27" s="89">
        <v>1.8692921999999999E-3</v>
      </c>
      <c r="AA27" s="61">
        <v>268</v>
      </c>
      <c r="AB27" s="89">
        <v>1.1671915E-5</v>
      </c>
      <c r="AC27" s="61">
        <v>268</v>
      </c>
    </row>
    <row r="28" spans="4:29">
      <c r="V28" s="89">
        <v>1.8208151999999998E-2</v>
      </c>
      <c r="W28" s="61">
        <v>269</v>
      </c>
      <c r="X28" s="89">
        <v>7.7627944000000001E-3</v>
      </c>
      <c r="Y28" s="61">
        <v>269</v>
      </c>
      <c r="Z28" s="89">
        <v>2.0147334E-3</v>
      </c>
      <c r="AA28" s="61">
        <v>269</v>
      </c>
      <c r="AB28" s="89">
        <v>1.2668113E-5</v>
      </c>
      <c r="AC28" s="61">
        <v>269</v>
      </c>
    </row>
    <row r="29" spans="4:29">
      <c r="V29" s="89">
        <v>1.8886500000000001E-2</v>
      </c>
      <c r="W29" s="61">
        <v>270</v>
      </c>
      <c r="X29" s="89">
        <v>8.1189899999999995E-3</v>
      </c>
      <c r="Y29" s="61">
        <v>270</v>
      </c>
      <c r="Z29" s="89">
        <v>2.1601745000000001E-3</v>
      </c>
      <c r="AA29" s="61">
        <v>270</v>
      </c>
      <c r="AB29" s="89">
        <v>1.3742259999999999E-5</v>
      </c>
      <c r="AC29" s="61">
        <v>270</v>
      </c>
    </row>
    <row r="30" spans="4:29">
      <c r="V30" s="89">
        <v>1.9573574999999999E-2</v>
      </c>
      <c r="W30" s="61">
        <v>271</v>
      </c>
      <c r="X30" s="89">
        <v>8.4768440000000007E-3</v>
      </c>
      <c r="Y30" s="61">
        <v>271</v>
      </c>
      <c r="Z30" s="89">
        <v>2.3286092999999998E-3</v>
      </c>
      <c r="AA30" s="61">
        <v>271</v>
      </c>
      <c r="AB30" s="89">
        <v>1.4899893E-5</v>
      </c>
      <c r="AC30" s="61">
        <v>271</v>
      </c>
    </row>
    <row r="31" spans="4:29">
      <c r="V31" s="89">
        <v>2.0282093000000001E-2</v>
      </c>
      <c r="W31" s="61">
        <v>272</v>
      </c>
      <c r="X31" s="89">
        <v>8.8521469999999994E-3</v>
      </c>
      <c r="Y31" s="61">
        <v>272</v>
      </c>
      <c r="Z31" s="89">
        <v>2.5017170000000001E-3</v>
      </c>
      <c r="AA31" s="61">
        <v>272</v>
      </c>
      <c r="AB31" s="89">
        <v>1.6146909000000001E-5</v>
      </c>
      <c r="AC31" s="61">
        <v>272</v>
      </c>
    </row>
    <row r="32" spans="4:29">
      <c r="V32" s="89">
        <v>2.1008886000000001E-2</v>
      </c>
      <c r="W32" s="61">
        <v>273</v>
      </c>
      <c r="X32" s="89">
        <v>9.2397020000000007E-3</v>
      </c>
      <c r="Y32" s="61">
        <v>273</v>
      </c>
      <c r="Z32" s="89">
        <v>2.674825E-3</v>
      </c>
      <c r="AA32" s="61">
        <v>273</v>
      </c>
      <c r="AB32" s="89">
        <v>1.7489574000000002E-5</v>
      </c>
      <c r="AC32" s="61">
        <v>273</v>
      </c>
    </row>
    <row r="33" spans="22:29">
      <c r="V33" s="89">
        <v>2.1753443000000001E-2</v>
      </c>
      <c r="W33" s="61">
        <v>274</v>
      </c>
      <c r="X33" s="89">
        <v>9.6384079999999994E-3</v>
      </c>
      <c r="Y33" s="61">
        <v>274</v>
      </c>
      <c r="Z33" s="89">
        <v>2.8784953000000001E-3</v>
      </c>
      <c r="AA33" s="61">
        <v>274</v>
      </c>
      <c r="AB33" s="89">
        <v>1.8934548000000001E-5</v>
      </c>
      <c r="AC33" s="61">
        <v>274</v>
      </c>
    </row>
    <row r="34" spans="22:29">
      <c r="V34" s="89">
        <v>2.2512200999999999E-2</v>
      </c>
      <c r="W34" s="61">
        <v>275</v>
      </c>
      <c r="X34" s="89">
        <v>1.0048399E-2</v>
      </c>
      <c r="Y34" s="61">
        <v>275</v>
      </c>
      <c r="Z34" s="89">
        <v>3.0828407000000001E-3</v>
      </c>
      <c r="AA34" s="61">
        <v>275</v>
      </c>
      <c r="AB34" s="89">
        <v>2.0488916999999999E-5</v>
      </c>
      <c r="AC34" s="61">
        <v>275</v>
      </c>
    </row>
    <row r="35" spans="22:29">
      <c r="V35" s="89">
        <v>2.3270959000000001E-2</v>
      </c>
      <c r="W35" s="61">
        <v>276</v>
      </c>
      <c r="X35" s="89">
        <v>1.046974E-2</v>
      </c>
      <c r="Y35" s="61">
        <v>276</v>
      </c>
      <c r="Z35" s="89">
        <v>3.2915738000000002E-3</v>
      </c>
      <c r="AA35" s="61">
        <v>276</v>
      </c>
      <c r="AB35" s="89">
        <v>2.2160195000000001E-5</v>
      </c>
      <c r="AC35" s="61">
        <v>276</v>
      </c>
    </row>
    <row r="36" spans="22:29">
      <c r="V36" s="89">
        <v>2.406055E-2</v>
      </c>
      <c r="W36" s="61">
        <v>277</v>
      </c>
      <c r="X36" s="89">
        <v>1.0905658E-2</v>
      </c>
      <c r="Y36" s="61">
        <v>277</v>
      </c>
      <c r="Z36" s="89">
        <v>3.5308296999999999E-3</v>
      </c>
      <c r="AA36" s="61">
        <v>277</v>
      </c>
      <c r="AB36" s="89">
        <v>2.3956368999999998E-5</v>
      </c>
      <c r="AC36" s="61">
        <v>277</v>
      </c>
    </row>
    <row r="37" spans="22:29">
      <c r="V37" s="89">
        <v>2.4859447E-2</v>
      </c>
      <c r="W37" s="61">
        <v>278</v>
      </c>
      <c r="X37" s="89">
        <v>1.1351780000000001E-2</v>
      </c>
      <c r="Y37" s="61">
        <v>278</v>
      </c>
      <c r="Z37" s="89">
        <v>3.7700855E-3</v>
      </c>
      <c r="AA37" s="61">
        <v>278</v>
      </c>
      <c r="AB37" s="89">
        <v>2.5885915999999999E-5</v>
      </c>
      <c r="AC37" s="61">
        <v>278</v>
      </c>
    </row>
    <row r="38" spans="22:29">
      <c r="V38" s="89">
        <v>2.5658647999999999E-2</v>
      </c>
      <c r="W38" s="61">
        <v>279</v>
      </c>
      <c r="X38" s="89">
        <v>1.1804006000000001E-2</v>
      </c>
      <c r="Y38" s="61">
        <v>279</v>
      </c>
      <c r="Z38" s="89">
        <v>4.0171249999999999E-3</v>
      </c>
      <c r="AA38" s="61">
        <v>279</v>
      </c>
      <c r="AB38" s="89">
        <v>2.7957829000000001E-5</v>
      </c>
      <c r="AC38" s="61">
        <v>279</v>
      </c>
    </row>
    <row r="39" spans="22:29">
      <c r="V39" s="89">
        <v>2.6497638E-2</v>
      </c>
      <c r="W39" s="61">
        <v>280</v>
      </c>
      <c r="X39" s="89">
        <v>1.2276565999999999E-2</v>
      </c>
      <c r="Y39" s="61">
        <v>280</v>
      </c>
      <c r="Z39" s="89">
        <v>4.284894E-3</v>
      </c>
      <c r="AA39" s="61">
        <v>280</v>
      </c>
      <c r="AB39" s="89">
        <v>3.0181644E-5</v>
      </c>
      <c r="AC39" s="61">
        <v>280</v>
      </c>
    </row>
    <row r="40" spans="22:29">
      <c r="V40" s="89">
        <v>2.7336626999999999E-2</v>
      </c>
      <c r="W40" s="61">
        <v>281</v>
      </c>
      <c r="X40" s="89">
        <v>1.2749126E-2</v>
      </c>
      <c r="Y40" s="61">
        <v>281</v>
      </c>
      <c r="Z40" s="89">
        <v>4.569816E-3</v>
      </c>
      <c r="AA40" s="61">
        <v>281</v>
      </c>
      <c r="AB40" s="89">
        <v>3.2567477E-5</v>
      </c>
      <c r="AC40" s="61">
        <v>281</v>
      </c>
    </row>
    <row r="41" spans="22:29">
      <c r="V41" s="89">
        <v>2.8185512999999999E-2</v>
      </c>
      <c r="W41" s="61">
        <v>282</v>
      </c>
      <c r="X41" s="89">
        <v>1.3247847E-2</v>
      </c>
      <c r="Y41" s="61">
        <v>282</v>
      </c>
      <c r="Z41" s="89">
        <v>4.8714085000000004E-3</v>
      </c>
      <c r="AA41" s="61">
        <v>282</v>
      </c>
      <c r="AB41" s="89">
        <v>3.5126041999999997E-5</v>
      </c>
      <c r="AC41" s="61">
        <v>282</v>
      </c>
    </row>
    <row r="42" spans="22:29">
      <c r="V42" s="89">
        <v>2.9064558000000001E-2</v>
      </c>
      <c r="W42" s="61">
        <v>283</v>
      </c>
      <c r="X42" s="89">
        <v>1.3747077999999999E-2</v>
      </c>
      <c r="Y42" s="61">
        <v>283</v>
      </c>
      <c r="Z42" s="89">
        <v>5.1917094000000002E-3</v>
      </c>
      <c r="AA42" s="61">
        <v>283</v>
      </c>
      <c r="AB42" s="89">
        <v>3.7868706999999998E-5</v>
      </c>
      <c r="AC42" s="61">
        <v>283</v>
      </c>
    </row>
    <row r="43" spans="22:29">
      <c r="V43" s="89">
        <v>2.9943603999999999E-2</v>
      </c>
      <c r="W43" s="61">
        <v>284</v>
      </c>
      <c r="X43" s="89">
        <v>1.4259694999999999E-2</v>
      </c>
      <c r="Y43" s="61">
        <v>284</v>
      </c>
      <c r="Z43" s="89">
        <v>5.5120100000000003E-3</v>
      </c>
      <c r="AA43" s="61">
        <v>284</v>
      </c>
      <c r="AB43" s="89">
        <v>4.0807489999999998E-5</v>
      </c>
      <c r="AC43" s="61">
        <v>284</v>
      </c>
    </row>
    <row r="44" spans="22:29">
      <c r="V44" s="89">
        <v>3.0851861000000001E-2</v>
      </c>
      <c r="W44" s="61">
        <v>285</v>
      </c>
      <c r="X44" s="89">
        <v>1.4788545E-2</v>
      </c>
      <c r="Y44" s="61">
        <v>285</v>
      </c>
      <c r="Z44" s="89">
        <v>5.8585126E-3</v>
      </c>
      <c r="AA44" s="61">
        <v>285</v>
      </c>
      <c r="AB44" s="89">
        <v>4.3955137000000003E-5</v>
      </c>
      <c r="AC44" s="61">
        <v>285</v>
      </c>
    </row>
    <row r="45" spans="22:29">
      <c r="V45" s="89">
        <v>3.179096E-2</v>
      </c>
      <c r="W45" s="61">
        <v>286</v>
      </c>
      <c r="X45" s="89">
        <v>1.532788E-2</v>
      </c>
      <c r="Y45" s="61">
        <v>286</v>
      </c>
      <c r="Z45" s="89">
        <v>6.2249769999999996E-3</v>
      </c>
      <c r="AA45" s="61">
        <v>286</v>
      </c>
      <c r="AB45" s="89">
        <v>4.7325128000000002E-5</v>
      </c>
      <c r="AC45" s="61">
        <v>286</v>
      </c>
    </row>
    <row r="46" spans="22:29">
      <c r="V46" s="89">
        <v>3.2730059999999998E-2</v>
      </c>
      <c r="W46" s="61">
        <v>287</v>
      </c>
      <c r="X46" s="89">
        <v>1.5879055E-2</v>
      </c>
      <c r="Y46" s="61">
        <v>287</v>
      </c>
      <c r="Z46" s="89">
        <v>6.591441E-3</v>
      </c>
      <c r="AA46" s="61">
        <v>287</v>
      </c>
      <c r="AB46" s="89">
        <v>5.0931735999999997E-5</v>
      </c>
      <c r="AC46" s="61">
        <v>287</v>
      </c>
    </row>
    <row r="47" spans="22:29">
      <c r="V47" s="89">
        <v>3.3669159999999997E-2</v>
      </c>
      <c r="W47" s="61">
        <v>288</v>
      </c>
      <c r="X47" s="89">
        <v>1.6442096E-2</v>
      </c>
      <c r="Y47" s="61">
        <v>288</v>
      </c>
      <c r="Z47" s="89">
        <v>6.99359E-3</v>
      </c>
      <c r="AA47" s="61">
        <v>288</v>
      </c>
      <c r="AB47" s="89">
        <v>5.4790044999999999E-5</v>
      </c>
      <c r="AC47" s="61">
        <v>288</v>
      </c>
    </row>
    <row r="48" spans="22:29">
      <c r="V48" s="89">
        <v>3.4608255999999997E-2</v>
      </c>
      <c r="W48" s="61">
        <v>289</v>
      </c>
      <c r="X48" s="89">
        <v>1.7017750000000002E-2</v>
      </c>
      <c r="Y48" s="61">
        <v>289</v>
      </c>
      <c r="Z48" s="89">
        <v>7.4099700000000001E-3</v>
      </c>
      <c r="AA48" s="61">
        <v>289</v>
      </c>
      <c r="AB48" s="89">
        <v>5.8916034000000003E-5</v>
      </c>
      <c r="AC48" s="61">
        <v>289</v>
      </c>
    </row>
    <row r="49" spans="22:29">
      <c r="V49" s="89">
        <v>3.5547357000000002E-2</v>
      </c>
      <c r="W49" s="61">
        <v>290</v>
      </c>
      <c r="X49" s="89">
        <v>1.7611683999999999E-2</v>
      </c>
      <c r="Y49" s="61">
        <v>290</v>
      </c>
      <c r="Z49" s="89">
        <v>7.8263499999999993E-3</v>
      </c>
      <c r="AA49" s="61">
        <v>290</v>
      </c>
      <c r="AB49" s="89">
        <v>6.3326559999999995E-5</v>
      </c>
      <c r="AC49" s="61">
        <v>290</v>
      </c>
    </row>
    <row r="50" spans="22:29">
      <c r="V50" s="89">
        <v>3.6563805999999997E-2</v>
      </c>
      <c r="W50" s="61">
        <v>291</v>
      </c>
      <c r="X50" s="89">
        <v>1.8205617E-2</v>
      </c>
      <c r="Y50" s="61">
        <v>291</v>
      </c>
      <c r="Z50" s="89">
        <v>8.2889934999999994E-3</v>
      </c>
      <c r="AA50" s="61">
        <v>291</v>
      </c>
      <c r="AB50" s="89">
        <v>6.8039479999999997E-5</v>
      </c>
      <c r="AC50" s="61">
        <v>291</v>
      </c>
    </row>
    <row r="51" spans="22:29">
      <c r="V51" s="89">
        <v>3.7583039999999998E-2</v>
      </c>
      <c r="W51" s="61">
        <v>292</v>
      </c>
      <c r="X51" s="89">
        <v>1.8822961999999999E-2</v>
      </c>
      <c r="Y51" s="61">
        <v>292</v>
      </c>
      <c r="Z51" s="89">
        <v>8.7590299999999992E-3</v>
      </c>
      <c r="AA51" s="61">
        <v>292</v>
      </c>
      <c r="AB51" s="89">
        <v>7.3073619999999999E-5</v>
      </c>
      <c r="AC51" s="61">
        <v>292</v>
      </c>
    </row>
    <row r="52" spans="22:29">
      <c r="V52" s="89">
        <v>3.8602270000000001E-2</v>
      </c>
      <c r="W52" s="61">
        <v>293</v>
      </c>
      <c r="X52" s="89">
        <v>1.944425E-2</v>
      </c>
      <c r="Y52" s="61">
        <v>293</v>
      </c>
      <c r="Z52" s="89">
        <v>9.2299029999999994E-3</v>
      </c>
      <c r="AA52" s="61">
        <v>293</v>
      </c>
      <c r="AB52" s="89">
        <v>7.8448910000000001E-5</v>
      </c>
      <c r="AC52" s="61">
        <v>293</v>
      </c>
    </row>
    <row r="53" spans="22:29">
      <c r="V53" s="89">
        <v>3.9621506000000001E-2</v>
      </c>
      <c r="W53" s="61">
        <v>294</v>
      </c>
      <c r="X53" s="89">
        <v>2.0082177999999999E-2</v>
      </c>
      <c r="Y53" s="61">
        <v>294</v>
      </c>
      <c r="Z53" s="89">
        <v>9.7878900000000005E-3</v>
      </c>
      <c r="AA53" s="61">
        <v>294</v>
      </c>
      <c r="AB53" s="89">
        <v>8.4186359999999995E-5</v>
      </c>
      <c r="AC53" s="61">
        <v>294</v>
      </c>
    </row>
    <row r="54" spans="22:29">
      <c r="V54" s="89">
        <v>4.0640738000000003E-2</v>
      </c>
      <c r="W54" s="61">
        <v>295</v>
      </c>
      <c r="X54" s="89">
        <v>2.0730933E-2</v>
      </c>
      <c r="Y54" s="61">
        <v>295</v>
      </c>
      <c r="Z54" s="89">
        <v>1.0345877E-2</v>
      </c>
      <c r="AA54" s="61">
        <v>295</v>
      </c>
      <c r="AB54" s="89">
        <v>9.0308170000000002E-5</v>
      </c>
      <c r="AC54" s="61">
        <v>295</v>
      </c>
    </row>
    <row r="55" spans="22:29">
      <c r="V55" s="89">
        <v>4.1695673000000003E-2</v>
      </c>
      <c r="W55" s="61">
        <v>296</v>
      </c>
      <c r="X55" s="89">
        <v>2.1389500999999998E-2</v>
      </c>
      <c r="Y55" s="61">
        <v>296</v>
      </c>
      <c r="Z55" s="89">
        <v>1.0903865E-2</v>
      </c>
      <c r="AA55" s="61">
        <v>296</v>
      </c>
      <c r="AB55" s="89">
        <v>9.6837764000000005E-5</v>
      </c>
      <c r="AC55" s="61">
        <v>296</v>
      </c>
    </row>
    <row r="56" spans="22:29">
      <c r="V56" s="89">
        <v>4.2795292999999998E-2</v>
      </c>
      <c r="W56" s="61">
        <v>297</v>
      </c>
      <c r="X56" s="89">
        <v>2.2065830000000002E-2</v>
      </c>
      <c r="Y56" s="61">
        <v>297</v>
      </c>
      <c r="Z56" s="89">
        <v>1.1461852E-2</v>
      </c>
      <c r="AA56" s="61">
        <v>297</v>
      </c>
      <c r="AB56" s="89">
        <v>1.03799866E-4</v>
      </c>
      <c r="AC56" s="61">
        <v>297</v>
      </c>
    </row>
    <row r="57" spans="22:29">
      <c r="V57" s="89">
        <v>4.3894913000000001E-2</v>
      </c>
      <c r="W57" s="61">
        <v>298</v>
      </c>
      <c r="X57" s="89">
        <v>2.2746563000000001E-2</v>
      </c>
      <c r="Y57" s="61">
        <v>298</v>
      </c>
      <c r="Z57" s="89">
        <v>1.2019838999999999E-2</v>
      </c>
      <c r="AA57" s="61">
        <v>298</v>
      </c>
      <c r="AB57" s="89">
        <v>1.11220565E-4</v>
      </c>
      <c r="AC57" s="61">
        <v>298</v>
      </c>
    </row>
    <row r="58" spans="22:29">
      <c r="V58" s="89">
        <v>4.4994533000000003E-2</v>
      </c>
      <c r="W58" s="61">
        <v>299</v>
      </c>
      <c r="X58" s="89">
        <v>2.3464479E-2</v>
      </c>
      <c r="Y58" s="61">
        <v>299</v>
      </c>
      <c r="Z58" s="89">
        <v>1.2617270999999999E-2</v>
      </c>
      <c r="AA58" s="61">
        <v>299</v>
      </c>
      <c r="AB58" s="89">
        <v>1.19127355E-4</v>
      </c>
      <c r="AC58" s="61">
        <v>299</v>
      </c>
    </row>
    <row r="59" spans="22:29">
      <c r="V59" s="89">
        <v>4.6094152999999999E-2</v>
      </c>
      <c r="W59" s="61">
        <v>300</v>
      </c>
      <c r="X59" s="89">
        <v>2.4182393999999999E-2</v>
      </c>
      <c r="Y59" s="61">
        <v>300</v>
      </c>
      <c r="Z59" s="89">
        <v>1.3304966999999999E-2</v>
      </c>
      <c r="AA59" s="61">
        <v>300</v>
      </c>
      <c r="AB59" s="89">
        <v>1.2754924000000001E-4</v>
      </c>
      <c r="AC59" s="61">
        <v>300</v>
      </c>
    </row>
    <row r="60" spans="22:29">
      <c r="V60" s="89">
        <v>4.7193773000000001E-2</v>
      </c>
      <c r="W60" s="61">
        <v>301</v>
      </c>
      <c r="X60" s="89">
        <v>2.4900309999999998E-2</v>
      </c>
      <c r="Y60" s="61">
        <v>301</v>
      </c>
      <c r="Z60" s="89">
        <v>1.39926635E-2</v>
      </c>
      <c r="AA60" s="61">
        <v>301</v>
      </c>
      <c r="AB60" s="89">
        <v>1.3651681000000001E-4</v>
      </c>
      <c r="AC60" s="61">
        <v>301</v>
      </c>
    </row>
    <row r="61" spans="22:29">
      <c r="V61" s="89">
        <v>4.8368019999999998E-2</v>
      </c>
      <c r="W61" s="61">
        <v>302</v>
      </c>
      <c r="X61" s="89">
        <v>2.5618225000000001E-2</v>
      </c>
      <c r="Y61" s="61">
        <v>302</v>
      </c>
      <c r="Z61" s="89">
        <v>1.46803595E-2</v>
      </c>
      <c r="AA61" s="61">
        <v>302</v>
      </c>
      <c r="AB61" s="89">
        <v>1.4606229000000001E-4</v>
      </c>
      <c r="AC61" s="61">
        <v>302</v>
      </c>
    </row>
    <row r="62" spans="22:29">
      <c r="V62" s="89">
        <v>4.9548500000000002E-2</v>
      </c>
      <c r="W62" s="61">
        <v>303</v>
      </c>
      <c r="X62" s="89">
        <v>2.6357240000000001E-2</v>
      </c>
      <c r="Y62" s="61">
        <v>303</v>
      </c>
      <c r="Z62" s="89">
        <v>1.5368056E-2</v>
      </c>
      <c r="AA62" s="61">
        <v>303</v>
      </c>
      <c r="AB62" s="89">
        <v>1.5621963000000001E-4</v>
      </c>
      <c r="AC62" s="61">
        <v>303</v>
      </c>
    </row>
    <row r="63" spans="22:29">
      <c r="V63" s="89">
        <v>5.0728977000000001E-2</v>
      </c>
      <c r="W63" s="61">
        <v>304</v>
      </c>
      <c r="X63" s="89">
        <v>2.7116708E-2</v>
      </c>
      <c r="Y63" s="61">
        <v>304</v>
      </c>
      <c r="Z63" s="89">
        <v>1.6055752E-2</v>
      </c>
      <c r="AA63" s="61">
        <v>304</v>
      </c>
      <c r="AB63" s="89">
        <v>1.6702460000000001E-4</v>
      </c>
      <c r="AC63" s="61">
        <v>304</v>
      </c>
    </row>
    <row r="64" spans="22:29">
      <c r="V64" s="89">
        <v>5.1909454000000001E-2</v>
      </c>
      <c r="W64" s="61">
        <v>305</v>
      </c>
      <c r="X64" s="89">
        <v>2.7890936000000002E-2</v>
      </c>
      <c r="Y64" s="61">
        <v>305</v>
      </c>
      <c r="Z64" s="89">
        <v>1.6830046000000001E-2</v>
      </c>
      <c r="AA64" s="61">
        <v>305</v>
      </c>
      <c r="AB64" s="89">
        <v>1.7851488000000001E-4</v>
      </c>
      <c r="AC64" s="61">
        <v>305</v>
      </c>
    </row>
    <row r="65" spans="22:29">
      <c r="V65" s="89">
        <v>5.308993E-2</v>
      </c>
      <c r="W65" s="61">
        <v>306</v>
      </c>
      <c r="X65" s="89">
        <v>2.8678724999999999E-2</v>
      </c>
      <c r="Y65" s="61">
        <v>306</v>
      </c>
      <c r="Z65" s="89">
        <v>1.7662384E-2</v>
      </c>
      <c r="AA65" s="61">
        <v>306</v>
      </c>
      <c r="AB65" s="89">
        <v>1.9073015000000001E-4</v>
      </c>
      <c r="AC65" s="61">
        <v>306</v>
      </c>
    </row>
    <row r="66" spans="22:29">
      <c r="V66" s="89">
        <v>5.4294936000000002E-2</v>
      </c>
      <c r="W66" s="61">
        <v>307</v>
      </c>
      <c r="X66" s="89">
        <v>2.9469499999999999E-2</v>
      </c>
      <c r="Y66" s="61">
        <v>307</v>
      </c>
      <c r="Z66" s="89">
        <v>1.8494719999999999E-2</v>
      </c>
      <c r="AA66" s="61">
        <v>307</v>
      </c>
      <c r="AB66" s="89">
        <v>2.037122E-4</v>
      </c>
      <c r="AC66" s="61">
        <v>307</v>
      </c>
    </row>
    <row r="67" spans="22:29">
      <c r="V67" s="89">
        <v>5.5536460000000003E-2</v>
      </c>
      <c r="W67" s="61">
        <v>308</v>
      </c>
      <c r="X67" s="89">
        <v>3.0285482999999998E-2</v>
      </c>
      <c r="Y67" s="61">
        <v>308</v>
      </c>
      <c r="Z67" s="89">
        <v>1.9327058000000001E-2</v>
      </c>
      <c r="AA67" s="61">
        <v>308</v>
      </c>
      <c r="AB67" s="89">
        <v>2.17505E-4</v>
      </c>
      <c r="AC67" s="61">
        <v>308</v>
      </c>
    </row>
    <row r="68" spans="22:29">
      <c r="V68" s="89">
        <v>5.6777988000000001E-2</v>
      </c>
      <c r="W68" s="61">
        <v>309</v>
      </c>
      <c r="X68" s="89">
        <v>3.1101467000000001E-2</v>
      </c>
      <c r="Y68" s="61">
        <v>309</v>
      </c>
      <c r="Z68" s="89">
        <v>2.0159395E-2</v>
      </c>
      <c r="AA68" s="61">
        <v>309</v>
      </c>
      <c r="AB68" s="89">
        <v>2.3215483999999999E-4</v>
      </c>
      <c r="AC68" s="61">
        <v>309</v>
      </c>
    </row>
    <row r="69" spans="22:29">
      <c r="V69" s="89">
        <v>5.8045779999999998E-2</v>
      </c>
      <c r="W69" s="61">
        <v>310</v>
      </c>
      <c r="X69" s="89">
        <v>3.1941711999999997E-2</v>
      </c>
      <c r="Y69" s="61">
        <v>310</v>
      </c>
      <c r="Z69" s="89">
        <v>2.0991732999999999E-2</v>
      </c>
      <c r="AA69" s="61">
        <v>310</v>
      </c>
      <c r="AB69" s="89">
        <v>2.4771040000000003E-4</v>
      </c>
      <c r="AC69" s="61">
        <v>310</v>
      </c>
    </row>
    <row r="70" spans="22:29">
      <c r="V70" s="89">
        <v>5.9328264999999998E-2</v>
      </c>
      <c r="W70" s="61">
        <v>311</v>
      </c>
      <c r="X70" s="89">
        <v>3.2786040000000002E-2</v>
      </c>
      <c r="Y70" s="61">
        <v>311</v>
      </c>
      <c r="Z70" s="89">
        <v>2.1966485000000001E-2</v>
      </c>
      <c r="AA70" s="61">
        <v>311</v>
      </c>
      <c r="AB70" s="89">
        <v>2.6422293999999998E-4</v>
      </c>
      <c r="AC70" s="61">
        <v>311</v>
      </c>
    </row>
    <row r="71" spans="22:29">
      <c r="V71" s="89">
        <v>6.0610753000000003E-2</v>
      </c>
      <c r="W71" s="61">
        <v>312</v>
      </c>
      <c r="X71" s="89">
        <v>3.3647650000000001E-2</v>
      </c>
      <c r="Y71" s="61">
        <v>312</v>
      </c>
      <c r="Z71" s="89">
        <v>2.2958249E-2</v>
      </c>
      <c r="AA71" s="61">
        <v>312</v>
      </c>
      <c r="AB71" s="89">
        <v>2.8174634999999999E-4</v>
      </c>
      <c r="AC71" s="61">
        <v>312</v>
      </c>
    </row>
    <row r="72" spans="22:29">
      <c r="V72" s="89">
        <v>6.1947750000000003E-2</v>
      </c>
      <c r="W72" s="61">
        <v>313</v>
      </c>
      <c r="X72" s="89">
        <v>3.4520492E-2</v>
      </c>
      <c r="Y72" s="61">
        <v>313</v>
      </c>
      <c r="Z72" s="89">
        <v>2.3950010000000001E-2</v>
      </c>
      <c r="AA72" s="61">
        <v>313</v>
      </c>
      <c r="AB72" s="89">
        <v>3.0033733E-4</v>
      </c>
      <c r="AC72" s="61">
        <v>313</v>
      </c>
    </row>
    <row r="73" spans="22:29">
      <c r="V73" s="89">
        <v>6.3292139999999997E-2</v>
      </c>
      <c r="W73" s="61">
        <v>314</v>
      </c>
      <c r="X73" s="89">
        <v>3.5408683000000003E-2</v>
      </c>
      <c r="Y73" s="61">
        <v>314</v>
      </c>
      <c r="Z73" s="89">
        <v>2.4941774E-2</v>
      </c>
      <c r="AA73" s="61">
        <v>314</v>
      </c>
      <c r="AB73" s="89">
        <v>3.2005545999999998E-4</v>
      </c>
      <c r="AC73" s="61">
        <v>314</v>
      </c>
    </row>
    <row r="74" spans="22:29">
      <c r="V74" s="89">
        <v>6.4636529999999998E-2</v>
      </c>
      <c r="W74" s="61">
        <v>315</v>
      </c>
      <c r="X74" s="89">
        <v>3.6324657000000003E-2</v>
      </c>
      <c r="Y74" s="61">
        <v>315</v>
      </c>
      <c r="Z74" s="89">
        <v>2.5933536E-2</v>
      </c>
      <c r="AA74" s="61">
        <v>315</v>
      </c>
      <c r="AB74" s="89">
        <v>3.4096342000000001E-4</v>
      </c>
      <c r="AC74" s="61">
        <v>315</v>
      </c>
    </row>
    <row r="75" spans="22:29">
      <c r="V75" s="89">
        <v>6.5980919999999998E-2</v>
      </c>
      <c r="W75" s="61">
        <v>316</v>
      </c>
      <c r="X75" s="89">
        <v>3.7240636000000001E-2</v>
      </c>
      <c r="Y75" s="61">
        <v>316</v>
      </c>
      <c r="Z75" s="89">
        <v>2.6949451999999999E-2</v>
      </c>
      <c r="AA75" s="61">
        <v>316</v>
      </c>
      <c r="AB75" s="89">
        <v>3.6312710000000002E-4</v>
      </c>
      <c r="AC75" s="61">
        <v>316</v>
      </c>
    </row>
    <row r="76" spans="22:29">
      <c r="V76" s="89">
        <v>6.7325309999999999E-2</v>
      </c>
      <c r="W76" s="61">
        <v>317</v>
      </c>
      <c r="X76" s="89">
        <v>3.8156610000000001E-2</v>
      </c>
      <c r="Y76" s="61">
        <v>317</v>
      </c>
      <c r="Z76" s="89">
        <v>2.8069759999999999E-2</v>
      </c>
      <c r="AA76" s="61">
        <v>317</v>
      </c>
      <c r="AB76" s="89">
        <v>3.8661570000000001E-4</v>
      </c>
      <c r="AC76" s="61">
        <v>317</v>
      </c>
    </row>
    <row r="77" spans="22:29">
      <c r="V77" s="89">
        <v>6.8699679999999999E-2</v>
      </c>
      <c r="W77" s="61">
        <v>318</v>
      </c>
      <c r="X77" s="89">
        <v>3.9072584E-2</v>
      </c>
      <c r="Y77" s="61">
        <v>318</v>
      </c>
      <c r="Z77" s="89">
        <v>2.9190067E-2</v>
      </c>
      <c r="AA77" s="61">
        <v>318</v>
      </c>
      <c r="AB77" s="89">
        <v>4.1150205999999998E-4</v>
      </c>
      <c r="AC77" s="61">
        <v>318</v>
      </c>
    </row>
    <row r="78" spans="22:29">
      <c r="V78" s="89">
        <v>7.0127460000000003E-2</v>
      </c>
      <c r="W78" s="61">
        <v>319</v>
      </c>
      <c r="X78" s="89">
        <v>4.0038354999999998E-2</v>
      </c>
      <c r="Y78" s="61">
        <v>319</v>
      </c>
      <c r="Z78" s="89">
        <v>3.0340626999999998E-2</v>
      </c>
      <c r="AA78" s="61">
        <v>319</v>
      </c>
      <c r="AB78" s="89">
        <v>4.3786253000000001E-4</v>
      </c>
      <c r="AC78" s="61">
        <v>319</v>
      </c>
    </row>
    <row r="79" spans="22:29">
      <c r="V79" s="89">
        <v>7.1555240000000006E-2</v>
      </c>
      <c r="W79" s="61">
        <v>320</v>
      </c>
      <c r="X79" s="89">
        <v>4.1012510000000002E-2</v>
      </c>
      <c r="Y79" s="61">
        <v>320</v>
      </c>
      <c r="Z79" s="89">
        <v>3.1551186000000002E-2</v>
      </c>
      <c r="AA79" s="61">
        <v>320</v>
      </c>
      <c r="AB79" s="89">
        <v>4.6577755999999999E-4</v>
      </c>
      <c r="AC79" s="61">
        <v>320</v>
      </c>
    </row>
    <row r="80" spans="22:29">
      <c r="V80" s="89">
        <v>7.2983019999999996E-2</v>
      </c>
      <c r="W80" s="61">
        <v>321</v>
      </c>
      <c r="X80" s="89">
        <v>4.1986666999999998E-2</v>
      </c>
      <c r="Y80" s="61">
        <v>321</v>
      </c>
      <c r="Z80" s="89">
        <v>3.2761745000000002E-2</v>
      </c>
      <c r="AA80" s="61">
        <v>321</v>
      </c>
      <c r="AB80" s="89">
        <v>4.9533149999999996E-4</v>
      </c>
      <c r="AC80" s="61">
        <v>321</v>
      </c>
    </row>
    <row r="81" spans="22:29">
      <c r="V81" s="89">
        <v>7.4410799999999999E-2</v>
      </c>
      <c r="W81" s="61">
        <v>322</v>
      </c>
      <c r="X81" s="89">
        <v>4.2960819999999997E-2</v>
      </c>
      <c r="Y81" s="61">
        <v>322</v>
      </c>
      <c r="Z81" s="89">
        <v>3.4040649999999999E-2</v>
      </c>
      <c r="AA81" s="61">
        <v>322</v>
      </c>
      <c r="AB81" s="89">
        <v>5.2661289999999996E-4</v>
      </c>
      <c r="AC81" s="61">
        <v>322</v>
      </c>
    </row>
    <row r="82" spans="22:29">
      <c r="V82" s="89">
        <v>7.5838580000000003E-2</v>
      </c>
      <c r="W82" s="61">
        <v>323</v>
      </c>
      <c r="X82" s="89">
        <v>4.3955996999999997E-2</v>
      </c>
      <c r="Y82" s="61">
        <v>323</v>
      </c>
      <c r="Z82" s="89">
        <v>3.5392849999999997E-2</v>
      </c>
      <c r="AA82" s="61">
        <v>323</v>
      </c>
      <c r="AB82" s="89">
        <v>5.5971489999999998E-4</v>
      </c>
      <c r="AC82" s="61">
        <v>323</v>
      </c>
    </row>
    <row r="83" spans="22:29">
      <c r="V83" s="89">
        <v>7.7337230000000007E-2</v>
      </c>
      <c r="W83" s="61">
        <v>324</v>
      </c>
      <c r="X83" s="89">
        <v>4.4989225000000001E-2</v>
      </c>
      <c r="Y83" s="61">
        <v>324</v>
      </c>
      <c r="Z83" s="89">
        <v>3.6745056999999998E-2</v>
      </c>
      <c r="AA83" s="61">
        <v>324</v>
      </c>
      <c r="AB83" s="89">
        <v>5.9473529999999998E-4</v>
      </c>
      <c r="AC83" s="61">
        <v>324</v>
      </c>
    </row>
    <row r="84" spans="22:29">
      <c r="V84" s="89">
        <v>7.8849530000000001E-2</v>
      </c>
      <c r="W84" s="61">
        <v>325</v>
      </c>
      <c r="X84" s="89">
        <v>4.6022451999999998E-2</v>
      </c>
      <c r="Y84" s="61">
        <v>325</v>
      </c>
      <c r="Z84" s="89">
        <v>3.8097262E-2</v>
      </c>
      <c r="AA84" s="61">
        <v>325</v>
      </c>
      <c r="AB84" s="89">
        <v>6.3177663999999995E-4</v>
      </c>
      <c r="AC84" s="61">
        <v>325</v>
      </c>
    </row>
    <row r="85" spans="22:29">
      <c r="V85" s="89">
        <v>8.0361836000000006E-2</v>
      </c>
      <c r="W85" s="61">
        <v>326</v>
      </c>
      <c r="X85" s="89">
        <v>4.7055680000000003E-2</v>
      </c>
      <c r="Y85" s="61">
        <v>326</v>
      </c>
      <c r="Z85" s="89">
        <v>3.9449465000000003E-2</v>
      </c>
      <c r="AA85" s="61">
        <v>326</v>
      </c>
      <c r="AB85" s="89">
        <v>6.7094669999999998E-4</v>
      </c>
      <c r="AC85" s="61">
        <v>326</v>
      </c>
    </row>
    <row r="86" spans="22:29">
      <c r="V86" s="89">
        <v>8.1874139999999998E-2</v>
      </c>
      <c r="W86" s="61">
        <v>327</v>
      </c>
      <c r="X86" s="89">
        <v>4.8088911999999998E-2</v>
      </c>
      <c r="Y86" s="61">
        <v>327</v>
      </c>
      <c r="Z86" s="89">
        <v>4.0801669999999998E-2</v>
      </c>
      <c r="AA86" s="61">
        <v>327</v>
      </c>
      <c r="AB86" s="89">
        <v>7.1235859999999995E-4</v>
      </c>
      <c r="AC86" s="61">
        <v>327</v>
      </c>
    </row>
    <row r="87" spans="22:29">
      <c r="V87" s="89">
        <v>8.3386440000000006E-2</v>
      </c>
      <c r="W87" s="61">
        <v>328</v>
      </c>
      <c r="X87" s="89">
        <v>4.9173540000000002E-2</v>
      </c>
      <c r="Y87" s="61">
        <v>328</v>
      </c>
      <c r="Z87" s="89">
        <v>4.2307734E-2</v>
      </c>
      <c r="AA87" s="61">
        <v>328</v>
      </c>
      <c r="AB87" s="89">
        <v>7.5613099999999995E-4</v>
      </c>
      <c r="AC87" s="61">
        <v>328</v>
      </c>
    </row>
    <row r="88" spans="22:29">
      <c r="V88" s="89">
        <v>8.492595E-2</v>
      </c>
      <c r="W88" s="61">
        <v>329</v>
      </c>
      <c r="X88" s="89">
        <v>5.0266829999999998E-2</v>
      </c>
      <c r="Y88" s="61">
        <v>329</v>
      </c>
      <c r="Z88" s="89">
        <v>4.3857930000000003E-2</v>
      </c>
      <c r="AA88" s="61">
        <v>329</v>
      </c>
      <c r="AB88" s="89">
        <v>8.0238852999999996E-4</v>
      </c>
      <c r="AC88" s="61">
        <v>329</v>
      </c>
    </row>
    <row r="89" spans="22:29">
      <c r="V89" s="89">
        <v>8.6523995000000006E-2</v>
      </c>
      <c r="W89" s="61">
        <v>330</v>
      </c>
      <c r="X89" s="89">
        <v>5.1360120000000002E-2</v>
      </c>
      <c r="Y89" s="61">
        <v>330</v>
      </c>
      <c r="Z89" s="89">
        <v>4.5408122000000002E-2</v>
      </c>
      <c r="AA89" s="61">
        <v>330</v>
      </c>
      <c r="AB89" s="89">
        <v>8.5126183999999997E-4</v>
      </c>
      <c r="AC89" s="61">
        <v>330</v>
      </c>
    </row>
    <row r="90" spans="22:29">
      <c r="V90" s="89">
        <v>8.8122039999999999E-2</v>
      </c>
      <c r="W90" s="61">
        <v>331</v>
      </c>
      <c r="X90" s="89">
        <v>5.2453406000000001E-2</v>
      </c>
      <c r="Y90" s="61">
        <v>331</v>
      </c>
      <c r="Z90" s="89">
        <v>4.6958312000000002E-2</v>
      </c>
      <c r="AA90" s="61">
        <v>331</v>
      </c>
      <c r="AB90" s="89">
        <v>9.0288813000000004E-4</v>
      </c>
      <c r="AC90" s="61">
        <v>331</v>
      </c>
    </row>
    <row r="91" spans="22:29">
      <c r="V91" s="89">
        <v>8.9720090000000002E-2</v>
      </c>
      <c r="W91" s="61">
        <v>332</v>
      </c>
      <c r="X91" s="89">
        <v>5.356296E-2</v>
      </c>
      <c r="Y91" s="61">
        <v>332</v>
      </c>
      <c r="Z91" s="89">
        <v>4.8508506E-2</v>
      </c>
      <c r="AA91" s="61">
        <v>332</v>
      </c>
      <c r="AB91" s="89">
        <v>9.5741136E-4</v>
      </c>
      <c r="AC91" s="61">
        <v>332</v>
      </c>
    </row>
    <row r="92" spans="22:29">
      <c r="V92" s="89">
        <v>9.1318140000000006E-2</v>
      </c>
      <c r="W92" s="61">
        <v>333</v>
      </c>
      <c r="X92" s="89">
        <v>5.4701953999999997E-2</v>
      </c>
      <c r="Y92" s="61">
        <v>333</v>
      </c>
      <c r="Z92" s="89">
        <v>5.0073515999999998E-2</v>
      </c>
      <c r="AA92" s="61">
        <v>333</v>
      </c>
      <c r="AB92" s="89">
        <v>1.0149826E-3</v>
      </c>
      <c r="AC92" s="61">
        <v>333</v>
      </c>
    </row>
    <row r="93" spans="22:29">
      <c r="V93" s="89">
        <v>9.2916189999999996E-2</v>
      </c>
      <c r="W93" s="61">
        <v>334</v>
      </c>
      <c r="X93" s="89">
        <v>5.5844218000000001E-2</v>
      </c>
      <c r="Y93" s="61">
        <v>334</v>
      </c>
      <c r="Z93" s="89">
        <v>5.1830273000000003E-2</v>
      </c>
      <c r="AA93" s="61">
        <v>334</v>
      </c>
      <c r="AB93" s="89">
        <v>1.0757599E-3</v>
      </c>
      <c r="AC93" s="61">
        <v>334</v>
      </c>
    </row>
    <row r="94" spans="22:29">
      <c r="V94" s="89">
        <v>9.4618655999999995E-2</v>
      </c>
      <c r="W94" s="61">
        <v>335</v>
      </c>
      <c r="X94" s="89">
        <v>5.7014056E-2</v>
      </c>
      <c r="Y94" s="61">
        <v>335</v>
      </c>
      <c r="Z94" s="89">
        <v>5.3587030000000001E-2</v>
      </c>
      <c r="AA94" s="61">
        <v>335</v>
      </c>
      <c r="AB94" s="89">
        <v>1.1399095999999999E-3</v>
      </c>
      <c r="AC94" s="61">
        <v>335</v>
      </c>
    </row>
    <row r="95" spans="22:29">
      <c r="V95" s="89">
        <v>9.6347875999999999E-2</v>
      </c>
      <c r="W95" s="61">
        <v>336</v>
      </c>
      <c r="X95" s="89">
        <v>5.8183896999999998E-2</v>
      </c>
      <c r="Y95" s="61">
        <v>336</v>
      </c>
      <c r="Z95" s="89">
        <v>5.5343787999999998E-2</v>
      </c>
      <c r="AA95" s="61">
        <v>336</v>
      </c>
      <c r="AB95" s="89">
        <v>1.2076058000000001E-3</v>
      </c>
      <c r="AC95" s="61">
        <v>336</v>
      </c>
    </row>
    <row r="96" spans="22:29">
      <c r="V96" s="89">
        <v>9.8077096000000002E-2</v>
      </c>
      <c r="W96" s="61">
        <v>337</v>
      </c>
      <c r="X96" s="89">
        <v>5.9393830000000002E-2</v>
      </c>
      <c r="Y96" s="61">
        <v>337</v>
      </c>
      <c r="Z96" s="89">
        <v>5.7100546000000002E-2</v>
      </c>
      <c r="AA96" s="61">
        <v>337</v>
      </c>
      <c r="AB96" s="89">
        <v>1.2790313E-3</v>
      </c>
      <c r="AC96" s="61">
        <v>337</v>
      </c>
    </row>
    <row r="97" spans="22:29">
      <c r="V97" s="89">
        <v>9.9806316000000006E-2</v>
      </c>
      <c r="W97" s="61">
        <v>338</v>
      </c>
      <c r="X97" s="89">
        <v>6.0610518000000002E-2</v>
      </c>
      <c r="Y97" s="61">
        <v>338</v>
      </c>
      <c r="Z97" s="89">
        <v>5.8857303E-2</v>
      </c>
      <c r="AA97" s="61">
        <v>338</v>
      </c>
      <c r="AB97" s="89">
        <v>1.3543774000000001E-3</v>
      </c>
      <c r="AC97" s="61">
        <v>338</v>
      </c>
    </row>
    <row r="98" spans="22:29">
      <c r="V98" s="89">
        <v>0.10153553999999999</v>
      </c>
      <c r="W98" s="61">
        <v>339</v>
      </c>
      <c r="X98" s="89">
        <v>6.1827205000000003E-2</v>
      </c>
      <c r="Y98" s="61">
        <v>339</v>
      </c>
      <c r="Z98" s="89">
        <v>6.0691665999999998E-2</v>
      </c>
      <c r="AA98" s="61">
        <v>339</v>
      </c>
      <c r="AB98" s="89">
        <v>1.433845E-3</v>
      </c>
      <c r="AC98" s="61">
        <v>339</v>
      </c>
    </row>
    <row r="99" spans="22:29">
      <c r="V99" s="89">
        <v>0.10326476</v>
      </c>
      <c r="W99" s="61">
        <v>340</v>
      </c>
      <c r="X99" s="89">
        <v>6.3043890000000005E-2</v>
      </c>
      <c r="Y99" s="61">
        <v>340</v>
      </c>
      <c r="Z99" s="89">
        <v>6.2660283999999997E-2</v>
      </c>
      <c r="AA99" s="61">
        <v>340</v>
      </c>
      <c r="AB99" s="89">
        <v>1.5176445E-3</v>
      </c>
      <c r="AC99" s="61">
        <v>340</v>
      </c>
    </row>
    <row r="100" spans="22:29">
      <c r="V100" s="89">
        <v>0.10499398</v>
      </c>
      <c r="W100" s="61">
        <v>341</v>
      </c>
      <c r="X100" s="89">
        <v>6.4283160000000006E-2</v>
      </c>
      <c r="Y100" s="61">
        <v>341</v>
      </c>
      <c r="Z100" s="89">
        <v>6.4628900000000003E-2</v>
      </c>
      <c r="AA100" s="61">
        <v>341</v>
      </c>
      <c r="AB100" s="89">
        <v>1.6059965999999999E-3</v>
      </c>
      <c r="AC100" s="61">
        <v>341</v>
      </c>
    </row>
    <row r="101" spans="22:29">
      <c r="V101" s="89">
        <v>0.1067232</v>
      </c>
      <c r="W101" s="61">
        <v>342</v>
      </c>
      <c r="X101" s="89">
        <v>6.556331E-2</v>
      </c>
      <c r="Y101" s="61">
        <v>342</v>
      </c>
      <c r="Z101" s="89">
        <v>6.6597519999999993E-2</v>
      </c>
      <c r="AA101" s="61">
        <v>342</v>
      </c>
      <c r="AB101" s="89">
        <v>1.6991324E-3</v>
      </c>
      <c r="AC101" s="61">
        <v>342</v>
      </c>
    </row>
    <row r="102" spans="22:29">
      <c r="V102" s="89">
        <v>0.10845241999999999</v>
      </c>
      <c r="W102" s="61">
        <v>343</v>
      </c>
      <c r="X102" s="89">
        <v>6.6843465000000005E-2</v>
      </c>
      <c r="Y102" s="61">
        <v>343</v>
      </c>
      <c r="Z102" s="89">
        <v>6.8566136E-2</v>
      </c>
      <c r="AA102" s="61">
        <v>343</v>
      </c>
      <c r="AB102" s="89">
        <v>1.7972941999999999E-3</v>
      </c>
      <c r="AC102" s="61">
        <v>343</v>
      </c>
    </row>
    <row r="103" spans="22:29">
      <c r="V103" s="89">
        <v>0.11018164</v>
      </c>
      <c r="W103" s="61">
        <v>344</v>
      </c>
      <c r="X103" s="89">
        <v>6.8123610000000001E-2</v>
      </c>
      <c r="Y103" s="61">
        <v>344</v>
      </c>
      <c r="Z103" s="89">
        <v>7.0534749999999993E-2</v>
      </c>
      <c r="AA103" s="61">
        <v>344</v>
      </c>
      <c r="AB103" s="89">
        <v>1.9007360999999999E-3</v>
      </c>
      <c r="AC103" s="61">
        <v>344</v>
      </c>
    </row>
    <row r="104" spans="22:29">
      <c r="V104" s="89">
        <v>0.11191086</v>
      </c>
      <c r="W104" s="61">
        <v>345</v>
      </c>
      <c r="X104" s="89">
        <v>6.9403759999999995E-2</v>
      </c>
      <c r="Y104" s="61">
        <v>345</v>
      </c>
      <c r="Z104" s="89">
        <v>7.260925E-2</v>
      </c>
      <c r="AA104" s="61">
        <v>345</v>
      </c>
      <c r="AB104" s="89">
        <v>2.0097238E-3</v>
      </c>
      <c r="AC104" s="61">
        <v>345</v>
      </c>
    </row>
    <row r="105" spans="22:29">
      <c r="V105" s="89">
        <v>0.11377511</v>
      </c>
      <c r="W105" s="61">
        <v>346</v>
      </c>
      <c r="X105" s="89">
        <v>7.0739283999999999E-2</v>
      </c>
      <c r="Y105" s="61">
        <v>346</v>
      </c>
      <c r="Z105" s="89">
        <v>7.4738079999999998E-2</v>
      </c>
      <c r="AA105" s="61">
        <v>346</v>
      </c>
      <c r="AB105" s="89">
        <v>2.1245359999999998E-3</v>
      </c>
      <c r="AC105" s="61">
        <v>346</v>
      </c>
    </row>
    <row r="106" spans="22:29">
      <c r="V106" s="89">
        <v>0.11568349</v>
      </c>
      <c r="W106" s="61">
        <v>347</v>
      </c>
      <c r="X106" s="89">
        <v>7.2084120000000002E-2</v>
      </c>
      <c r="Y106" s="61">
        <v>347</v>
      </c>
      <c r="Z106" s="89">
        <v>7.6866900000000002E-2</v>
      </c>
      <c r="AA106" s="61">
        <v>347</v>
      </c>
      <c r="AB106" s="89">
        <v>2.2454646000000002E-3</v>
      </c>
      <c r="AC106" s="61">
        <v>347</v>
      </c>
    </row>
    <row r="107" spans="22:29">
      <c r="V107" s="89">
        <v>0.11759187</v>
      </c>
      <c r="W107" s="61">
        <v>348</v>
      </c>
      <c r="X107" s="89">
        <v>7.3428965999999998E-2</v>
      </c>
      <c r="Y107" s="61">
        <v>348</v>
      </c>
      <c r="Z107" s="89">
        <v>7.9081849999999995E-2</v>
      </c>
      <c r="AA107" s="61">
        <v>348</v>
      </c>
      <c r="AB107" s="89">
        <v>2.3728149999999999E-3</v>
      </c>
      <c r="AC107" s="61">
        <v>348</v>
      </c>
    </row>
    <row r="108" spans="22:29">
      <c r="V108" s="89">
        <v>0.11950026</v>
      </c>
      <c r="W108" s="61">
        <v>349</v>
      </c>
      <c r="X108" s="89">
        <v>7.4773809999999996E-2</v>
      </c>
      <c r="Y108" s="61">
        <v>349</v>
      </c>
      <c r="Z108" s="89">
        <v>8.1317230000000004E-2</v>
      </c>
      <c r="AA108" s="61">
        <v>349</v>
      </c>
      <c r="AB108" s="89">
        <v>2.5069073000000002E-3</v>
      </c>
      <c r="AC108" s="61">
        <v>349</v>
      </c>
    </row>
    <row r="109" spans="22:29">
      <c r="V109" s="89">
        <v>0.121408634</v>
      </c>
      <c r="W109" s="61">
        <v>350</v>
      </c>
      <c r="X109" s="89">
        <v>7.6142125000000005E-2</v>
      </c>
      <c r="Y109" s="61">
        <v>350</v>
      </c>
      <c r="Z109" s="89">
        <v>8.3552613999999997E-2</v>
      </c>
      <c r="AA109" s="61">
        <v>350</v>
      </c>
      <c r="AB109" s="89">
        <v>2.6480764999999998E-3</v>
      </c>
      <c r="AC109" s="61">
        <v>350</v>
      </c>
    </row>
    <row r="110" spans="22:29">
      <c r="V110" s="89">
        <v>0.12331702</v>
      </c>
      <c r="W110" s="61">
        <v>351</v>
      </c>
      <c r="X110" s="89">
        <v>7.7552910000000003E-2</v>
      </c>
      <c r="Y110" s="61">
        <v>351</v>
      </c>
      <c r="Z110" s="89">
        <v>8.5939080000000001E-2</v>
      </c>
      <c r="AA110" s="61">
        <v>351</v>
      </c>
      <c r="AB110" s="89">
        <v>2.7966732E-3</v>
      </c>
      <c r="AC110" s="61">
        <v>351</v>
      </c>
    </row>
    <row r="111" spans="22:29">
      <c r="V111" s="89">
        <v>0.12522539999999999</v>
      </c>
      <c r="W111" s="61">
        <v>352</v>
      </c>
      <c r="X111" s="89">
        <v>7.8963699999999998E-2</v>
      </c>
      <c r="Y111" s="61">
        <v>352</v>
      </c>
      <c r="Z111" s="89">
        <v>8.8332586000000005E-2</v>
      </c>
      <c r="AA111" s="61">
        <v>352</v>
      </c>
      <c r="AB111" s="89">
        <v>2.9530644000000002E-3</v>
      </c>
      <c r="AC111" s="61">
        <v>352</v>
      </c>
    </row>
    <row r="112" spans="22:29">
      <c r="V112" s="89">
        <v>0.12713377000000001</v>
      </c>
      <c r="W112" s="61">
        <v>353</v>
      </c>
      <c r="X112" s="89">
        <v>8.0374490000000007E-2</v>
      </c>
      <c r="Y112" s="61">
        <v>353</v>
      </c>
      <c r="Z112" s="89">
        <v>9.0726084999999998E-2</v>
      </c>
      <c r="AA112" s="61">
        <v>353</v>
      </c>
      <c r="AB112" s="89">
        <v>3.1176340000000002E-3</v>
      </c>
      <c r="AC112" s="61">
        <v>353</v>
      </c>
    </row>
    <row r="113" spans="22:29">
      <c r="V113" s="89">
        <v>0.12904215999999999</v>
      </c>
      <c r="W113" s="61">
        <v>354</v>
      </c>
      <c r="X113" s="89">
        <v>8.1785280000000002E-2</v>
      </c>
      <c r="Y113" s="61">
        <v>354</v>
      </c>
      <c r="Z113" s="89">
        <v>9.3119584000000005E-2</v>
      </c>
      <c r="AA113" s="61">
        <v>354</v>
      </c>
      <c r="AB113" s="89">
        <v>3.2907838000000001E-3</v>
      </c>
      <c r="AC113" s="61">
        <v>354</v>
      </c>
    </row>
    <row r="114" spans="22:29">
      <c r="V114" s="89">
        <v>0.13095054</v>
      </c>
      <c r="W114" s="61">
        <v>355</v>
      </c>
      <c r="X114" s="89">
        <v>8.328286E-2</v>
      </c>
      <c r="Y114" s="61">
        <v>355</v>
      </c>
      <c r="Z114" s="89">
        <v>9.551308E-2</v>
      </c>
      <c r="AA114" s="61">
        <v>355</v>
      </c>
      <c r="AB114" s="89">
        <v>3.472934E-3</v>
      </c>
      <c r="AC114" s="61">
        <v>355</v>
      </c>
    </row>
    <row r="115" spans="22:29">
      <c r="V115" s="89">
        <v>0.13285891999999999</v>
      </c>
      <c r="W115" s="61">
        <v>356</v>
      </c>
      <c r="X115" s="89">
        <v>8.4795060000000005E-2</v>
      </c>
      <c r="Y115" s="61">
        <v>356</v>
      </c>
      <c r="Z115" s="89">
        <v>9.7958080000000003E-2</v>
      </c>
      <c r="AA115" s="61">
        <v>356</v>
      </c>
      <c r="AB115" s="89">
        <v>3.6645240000000002E-3</v>
      </c>
      <c r="AC115" s="61">
        <v>356</v>
      </c>
    </row>
    <row r="116" spans="22:29">
      <c r="V116" s="89">
        <v>0.13489815999999999</v>
      </c>
      <c r="W116" s="61">
        <v>357</v>
      </c>
      <c r="X116" s="89">
        <v>8.6307259999999997E-2</v>
      </c>
      <c r="Y116" s="61">
        <v>357</v>
      </c>
      <c r="Z116" s="89">
        <v>0.100557484</v>
      </c>
      <c r="AA116" s="61">
        <v>357</v>
      </c>
      <c r="AB116" s="89">
        <v>3.8660127000000001E-3</v>
      </c>
      <c r="AC116" s="61">
        <v>357</v>
      </c>
    </row>
    <row r="117" spans="22:29">
      <c r="V117" s="89">
        <v>0.13699047</v>
      </c>
      <c r="W117" s="61">
        <v>358</v>
      </c>
      <c r="X117" s="89">
        <v>8.7819460000000002E-2</v>
      </c>
      <c r="Y117" s="61">
        <v>358</v>
      </c>
      <c r="Z117" s="89">
        <v>0.103156894</v>
      </c>
      <c r="AA117" s="61">
        <v>358</v>
      </c>
      <c r="AB117" s="89">
        <v>4.0778806000000001E-3</v>
      </c>
      <c r="AC117" s="61">
        <v>358</v>
      </c>
    </row>
    <row r="118" spans="22:29">
      <c r="V118" s="89">
        <v>0.13908279000000001</v>
      </c>
      <c r="W118" s="61">
        <v>359</v>
      </c>
      <c r="X118" s="89">
        <v>8.9331659999999993E-2</v>
      </c>
      <c r="Y118" s="61">
        <v>359</v>
      </c>
      <c r="Z118" s="89">
        <v>0.1057563</v>
      </c>
      <c r="AA118" s="61">
        <v>359</v>
      </c>
      <c r="AB118" s="89">
        <v>4.3006292999999999E-3</v>
      </c>
      <c r="AC118" s="61">
        <v>359</v>
      </c>
    </row>
    <row r="119" spans="22:29">
      <c r="V119" s="89">
        <v>0.1411751</v>
      </c>
      <c r="W119" s="61">
        <v>360</v>
      </c>
      <c r="X119" s="89">
        <v>9.0843863999999996E-2</v>
      </c>
      <c r="Y119" s="61">
        <v>360</v>
      </c>
      <c r="Z119" s="89">
        <v>0.1083557</v>
      </c>
      <c r="AA119" s="61">
        <v>360</v>
      </c>
      <c r="AB119" s="89">
        <v>4.5347824000000004E-3</v>
      </c>
      <c r="AC119" s="61">
        <v>360</v>
      </c>
    </row>
    <row r="120" spans="22:29">
      <c r="V120" s="89">
        <v>0.14326742000000001</v>
      </c>
      <c r="W120" s="61">
        <v>361</v>
      </c>
      <c r="X120" s="89">
        <v>9.2356060000000004E-2</v>
      </c>
      <c r="Y120" s="61">
        <v>361</v>
      </c>
      <c r="Z120" s="89">
        <v>0.11095511</v>
      </c>
      <c r="AA120" s="61">
        <v>361</v>
      </c>
      <c r="AB120" s="89">
        <v>4.7808876000000004E-3</v>
      </c>
      <c r="AC120" s="61">
        <v>361</v>
      </c>
    </row>
    <row r="121" spans="22:29">
      <c r="V121" s="89">
        <v>0.14535973999999999</v>
      </c>
      <c r="W121" s="61">
        <v>362</v>
      </c>
      <c r="X121" s="89">
        <v>9.3868259999999995E-2</v>
      </c>
      <c r="Y121" s="61">
        <v>362</v>
      </c>
      <c r="Z121" s="89">
        <v>0.11366219</v>
      </c>
      <c r="AA121" s="61">
        <v>362</v>
      </c>
      <c r="AB121" s="89">
        <v>5.039516E-3</v>
      </c>
      <c r="AC121" s="61">
        <v>362</v>
      </c>
    </row>
    <row r="122" spans="22:29">
      <c r="V122" s="89">
        <v>0.14745206</v>
      </c>
      <c r="W122" s="61">
        <v>363</v>
      </c>
      <c r="X122" s="89">
        <v>9.538046E-2</v>
      </c>
      <c r="Y122" s="61">
        <v>363</v>
      </c>
      <c r="Z122" s="89">
        <v>0.11645926500000001</v>
      </c>
      <c r="AA122" s="61">
        <v>363</v>
      </c>
      <c r="AB122" s="89">
        <v>5.3112636999999999E-3</v>
      </c>
      <c r="AC122" s="61">
        <v>363</v>
      </c>
    </row>
    <row r="123" spans="22:29">
      <c r="V123" s="89">
        <v>0.14954437000000001</v>
      </c>
      <c r="W123" s="61">
        <v>364</v>
      </c>
      <c r="X123" s="89">
        <v>9.7011829999999993E-2</v>
      </c>
      <c r="Y123" s="61">
        <v>364</v>
      </c>
      <c r="Z123" s="89">
        <v>0.11925634</v>
      </c>
      <c r="AA123" s="61">
        <v>364</v>
      </c>
      <c r="AB123" s="89">
        <v>5.5967530000000003E-3</v>
      </c>
      <c r="AC123" s="61">
        <v>364</v>
      </c>
    </row>
    <row r="124" spans="22:29">
      <c r="V124" s="89">
        <v>0.15163668999999999</v>
      </c>
      <c r="W124" s="61">
        <v>365</v>
      </c>
      <c r="X124" s="89">
        <v>9.8663260000000003E-2</v>
      </c>
      <c r="Y124" s="61">
        <v>365</v>
      </c>
      <c r="Z124" s="89">
        <v>0.12205342</v>
      </c>
      <c r="AA124" s="61">
        <v>365</v>
      </c>
      <c r="AB124" s="89">
        <v>5.8966330000000001E-3</v>
      </c>
      <c r="AC124" s="61">
        <v>365</v>
      </c>
    </row>
    <row r="125" spans="22:29">
      <c r="V125" s="89">
        <v>0.153729</v>
      </c>
      <c r="W125" s="61">
        <v>366</v>
      </c>
      <c r="X125" s="89">
        <v>0.10031469</v>
      </c>
      <c r="Y125" s="61">
        <v>366</v>
      </c>
      <c r="Z125" s="89">
        <v>0.1248505</v>
      </c>
      <c r="AA125" s="61">
        <v>366</v>
      </c>
      <c r="AB125" s="89">
        <v>6.2115792999999997E-3</v>
      </c>
      <c r="AC125" s="61">
        <v>366</v>
      </c>
    </row>
    <row r="126" spans="22:29">
      <c r="V126" s="89">
        <v>0.15582132000000001</v>
      </c>
      <c r="W126" s="61">
        <v>367</v>
      </c>
      <c r="X126" s="89">
        <v>0.10196613</v>
      </c>
      <c r="Y126" s="61">
        <v>367</v>
      </c>
      <c r="Z126" s="89">
        <v>0.12764758000000001</v>
      </c>
      <c r="AA126" s="61">
        <v>367</v>
      </c>
      <c r="AB126" s="89">
        <v>6.5422969999999999E-3</v>
      </c>
      <c r="AC126" s="61">
        <v>367</v>
      </c>
    </row>
    <row r="127" spans="22:29">
      <c r="V127" s="89">
        <v>0.15803939</v>
      </c>
      <c r="W127" s="61">
        <v>368</v>
      </c>
      <c r="X127" s="89">
        <v>0.10361756</v>
      </c>
      <c r="Y127" s="61">
        <v>368</v>
      </c>
      <c r="Z127" s="89">
        <v>0.13060209</v>
      </c>
      <c r="AA127" s="61">
        <v>368</v>
      </c>
      <c r="AB127" s="89">
        <v>6.8895199999999997E-3</v>
      </c>
      <c r="AC127" s="61">
        <v>368</v>
      </c>
    </row>
    <row r="128" spans="22:29">
      <c r="V128" s="89">
        <v>0.16031966</v>
      </c>
      <c r="W128" s="61">
        <v>369</v>
      </c>
      <c r="X128" s="89">
        <v>0.10526899000000001</v>
      </c>
      <c r="Y128" s="61">
        <v>369</v>
      </c>
      <c r="Z128" s="89">
        <v>0.13358675</v>
      </c>
      <c r="AA128" s="61">
        <v>369</v>
      </c>
      <c r="AB128" s="89">
        <v>7.2540139999999996E-3</v>
      </c>
      <c r="AC128" s="61">
        <v>369</v>
      </c>
    </row>
    <row r="129" spans="22:29">
      <c r="V129" s="89">
        <v>0.16259989999999999</v>
      </c>
      <c r="W129" s="61">
        <v>370</v>
      </c>
      <c r="X129" s="89">
        <v>0.10692043</v>
      </c>
      <c r="Y129" s="61">
        <v>370</v>
      </c>
      <c r="Z129" s="89">
        <v>0.13657140000000001</v>
      </c>
      <c r="AA129" s="61">
        <v>370</v>
      </c>
      <c r="AB129" s="89">
        <v>7.6365722000000004E-3</v>
      </c>
      <c r="AC129" s="61">
        <v>370</v>
      </c>
    </row>
    <row r="130" spans="22:29">
      <c r="V130" s="89">
        <v>0.16488016999999999</v>
      </c>
      <c r="W130" s="61">
        <v>371</v>
      </c>
      <c r="X130" s="89">
        <v>0.10857186000000001</v>
      </c>
      <c r="Y130" s="61">
        <v>371</v>
      </c>
      <c r="Z130" s="89">
        <v>0.13955607</v>
      </c>
      <c r="AA130" s="61">
        <v>371</v>
      </c>
      <c r="AB130" s="89">
        <v>8.0380234999999998E-3</v>
      </c>
      <c r="AC130" s="61">
        <v>371</v>
      </c>
    </row>
    <row r="131" spans="22:29">
      <c r="V131" s="89">
        <v>0.16716043999999999</v>
      </c>
      <c r="W131" s="61">
        <v>372</v>
      </c>
      <c r="X131" s="89">
        <v>0.11022329</v>
      </c>
      <c r="Y131" s="61">
        <v>372</v>
      </c>
      <c r="Z131" s="89">
        <v>0.14254072000000001</v>
      </c>
      <c r="AA131" s="61">
        <v>372</v>
      </c>
      <c r="AB131" s="89">
        <v>8.4592269999999997E-3</v>
      </c>
      <c r="AC131" s="61">
        <v>372</v>
      </c>
    </row>
    <row r="132" spans="22:29">
      <c r="V132" s="89">
        <v>0.16944069</v>
      </c>
      <c r="W132" s="61">
        <v>373</v>
      </c>
      <c r="X132" s="89">
        <v>0.111997664</v>
      </c>
      <c r="Y132" s="61">
        <v>373</v>
      </c>
      <c r="Z132" s="89">
        <v>0.14556015</v>
      </c>
      <c r="AA132" s="61">
        <v>373</v>
      </c>
      <c r="AB132" s="89">
        <v>8.9010760000000008E-3</v>
      </c>
      <c r="AC132" s="61">
        <v>373</v>
      </c>
    </row>
    <row r="133" spans="22:29">
      <c r="V133" s="89">
        <v>0.17172095000000001</v>
      </c>
      <c r="W133" s="61">
        <v>374</v>
      </c>
      <c r="X133" s="89">
        <v>0.11379274</v>
      </c>
      <c r="Y133" s="61">
        <v>374</v>
      </c>
      <c r="Z133" s="89">
        <v>0.14880435</v>
      </c>
      <c r="AA133" s="61">
        <v>374</v>
      </c>
      <c r="AB133" s="89">
        <v>9.3645010000000008E-3</v>
      </c>
      <c r="AC133" s="61">
        <v>374</v>
      </c>
    </row>
    <row r="134" spans="22:29">
      <c r="V134" s="89">
        <v>0.17400122000000001</v>
      </c>
      <c r="W134" s="61">
        <v>375</v>
      </c>
      <c r="X134" s="89">
        <v>0.11558781</v>
      </c>
      <c r="Y134" s="61">
        <v>375</v>
      </c>
      <c r="Z134" s="89">
        <v>0.15204856</v>
      </c>
      <c r="AA134" s="61">
        <v>375</v>
      </c>
      <c r="AB134" s="89">
        <v>9.8504630000000003E-3</v>
      </c>
      <c r="AC134" s="61">
        <v>375</v>
      </c>
    </row>
    <row r="135" spans="22:29">
      <c r="V135" s="89">
        <v>0.17628147</v>
      </c>
      <c r="W135" s="61">
        <v>376</v>
      </c>
      <c r="X135" s="89">
        <v>0.11738288400000001</v>
      </c>
      <c r="Y135" s="61">
        <v>376</v>
      </c>
      <c r="Z135" s="89">
        <v>0.15529277999999999</v>
      </c>
      <c r="AA135" s="61">
        <v>376</v>
      </c>
      <c r="AB135" s="89">
        <v>1.0359961000000001E-2</v>
      </c>
      <c r="AC135" s="61">
        <v>376</v>
      </c>
    </row>
    <row r="136" spans="22:29">
      <c r="V136" s="89">
        <v>0.17856173</v>
      </c>
      <c r="W136" s="61">
        <v>377</v>
      </c>
      <c r="X136" s="89">
        <v>0.11917796</v>
      </c>
      <c r="Y136" s="61">
        <v>377</v>
      </c>
      <c r="Z136" s="89">
        <v>0.15853698999999999</v>
      </c>
      <c r="AA136" s="61">
        <v>377</v>
      </c>
      <c r="AB136" s="89">
        <v>1.0894030000000001E-2</v>
      </c>
      <c r="AC136" s="61">
        <v>377</v>
      </c>
    </row>
    <row r="137" spans="22:29">
      <c r="V137" s="89">
        <v>0.180842</v>
      </c>
      <c r="W137" s="61">
        <v>378</v>
      </c>
      <c r="X137" s="89">
        <v>0.12097303600000001</v>
      </c>
      <c r="Y137" s="61">
        <v>378</v>
      </c>
      <c r="Z137" s="89">
        <v>0.16178118999999999</v>
      </c>
      <c r="AA137" s="61">
        <v>378</v>
      </c>
      <c r="AB137" s="89">
        <v>1.1453743000000001E-2</v>
      </c>
      <c r="AC137" s="61">
        <v>378</v>
      </c>
    </row>
    <row r="138" spans="22:29">
      <c r="V138" s="89">
        <v>0.18330224000000001</v>
      </c>
      <c r="W138" s="61">
        <v>379</v>
      </c>
      <c r="X138" s="89">
        <v>0.122768104</v>
      </c>
      <c r="Y138" s="61">
        <v>379</v>
      </c>
      <c r="Z138" s="89">
        <v>0.16502539999999999</v>
      </c>
      <c r="AA138" s="61">
        <v>379</v>
      </c>
      <c r="AB138" s="89">
        <v>1.2040210000000001E-2</v>
      </c>
      <c r="AC138" s="61">
        <v>379</v>
      </c>
    </row>
    <row r="139" spans="22:29">
      <c r="V139" s="89">
        <v>0.18586965</v>
      </c>
      <c r="W139" s="61">
        <v>380</v>
      </c>
      <c r="X139" s="89">
        <v>0.12456318</v>
      </c>
      <c r="Y139" s="61">
        <v>380</v>
      </c>
      <c r="Z139" s="89">
        <v>0.16826959999999999</v>
      </c>
      <c r="AA139" s="61">
        <v>380</v>
      </c>
      <c r="AB139" s="89">
        <v>1.2654578E-2</v>
      </c>
      <c r="AC139" s="61">
        <v>380</v>
      </c>
    </row>
    <row r="140" spans="22:29">
      <c r="V140" s="89">
        <v>0.18843705999999999</v>
      </c>
      <c r="W140" s="61">
        <v>381</v>
      </c>
      <c r="X140" s="89">
        <v>0.12635826</v>
      </c>
      <c r="Y140" s="61">
        <v>381</v>
      </c>
      <c r="Z140" s="89">
        <v>0.17151383000000001</v>
      </c>
      <c r="AA140" s="61">
        <v>381</v>
      </c>
      <c r="AB140" s="89">
        <v>1.3298034E-2</v>
      </c>
      <c r="AC140" s="61">
        <v>381</v>
      </c>
    </row>
    <row r="141" spans="22:29">
      <c r="V141" s="89">
        <v>0.19100448</v>
      </c>
      <c r="W141" s="61">
        <v>382</v>
      </c>
      <c r="X141" s="89">
        <v>0.12827942000000001</v>
      </c>
      <c r="Y141" s="61">
        <v>382</v>
      </c>
      <c r="Z141" s="89">
        <v>0.17475803000000001</v>
      </c>
      <c r="AA141" s="61">
        <v>382</v>
      </c>
      <c r="AB141" s="89">
        <v>1.3971801000000001E-2</v>
      </c>
      <c r="AC141" s="61">
        <v>382</v>
      </c>
    </row>
    <row r="142" spans="22:29">
      <c r="V142" s="89">
        <v>0.19357189999999999</v>
      </c>
      <c r="W142" s="61">
        <v>383</v>
      </c>
      <c r="X142" s="89">
        <v>0.13022183000000001</v>
      </c>
      <c r="Y142" s="61">
        <v>383</v>
      </c>
      <c r="Z142" s="89">
        <v>0.17800224000000001</v>
      </c>
      <c r="AA142" s="61">
        <v>383</v>
      </c>
      <c r="AB142" s="89">
        <v>1.4677145000000001E-2</v>
      </c>
      <c r="AC142" s="61">
        <v>383</v>
      </c>
    </row>
    <row r="143" spans="22:29">
      <c r="V143" s="89">
        <v>0.19613929999999999</v>
      </c>
      <c r="W143" s="61">
        <v>384</v>
      </c>
      <c r="X143" s="89">
        <v>0.13216422</v>
      </c>
      <c r="Y143" s="61">
        <v>384</v>
      </c>
      <c r="Z143" s="89">
        <v>0.18124644000000001</v>
      </c>
      <c r="AA143" s="61">
        <v>384</v>
      </c>
      <c r="AB143" s="89">
        <v>1.5415368E-2</v>
      </c>
      <c r="AC143" s="61">
        <v>384</v>
      </c>
    </row>
    <row r="144" spans="22:29">
      <c r="V144" s="89">
        <v>0.19870672</v>
      </c>
      <c r="W144" s="61">
        <v>385</v>
      </c>
      <c r="X144" s="89">
        <v>0.13410664</v>
      </c>
      <c r="Y144" s="61">
        <v>385</v>
      </c>
      <c r="Z144" s="89">
        <v>0.18471691000000001</v>
      </c>
      <c r="AA144" s="61">
        <v>385</v>
      </c>
      <c r="AB144" s="89">
        <v>1.618781E-2</v>
      </c>
      <c r="AC144" s="61">
        <v>385</v>
      </c>
    </row>
    <row r="145" spans="22:29">
      <c r="V145" s="89">
        <v>0.20127413999999999</v>
      </c>
      <c r="W145" s="61">
        <v>386</v>
      </c>
      <c r="X145" s="89">
        <v>0.13604902999999999</v>
      </c>
      <c r="Y145" s="61">
        <v>386</v>
      </c>
      <c r="Z145" s="89">
        <v>0.188274</v>
      </c>
      <c r="AA145" s="61">
        <v>386</v>
      </c>
      <c r="AB145" s="89">
        <v>1.6995850999999999E-2</v>
      </c>
      <c r="AC145" s="61">
        <v>386</v>
      </c>
    </row>
    <row r="146" spans="22:29">
      <c r="V146" s="89">
        <v>0.20384155000000001</v>
      </c>
      <c r="W146" s="61">
        <v>387</v>
      </c>
      <c r="X146" s="89">
        <v>0.13799143</v>
      </c>
      <c r="Y146" s="61">
        <v>387</v>
      </c>
      <c r="Z146" s="89">
        <v>0.19183106999999999</v>
      </c>
      <c r="AA146" s="61">
        <v>387</v>
      </c>
      <c r="AB146" s="89">
        <v>1.7840913E-2</v>
      </c>
      <c r="AC146" s="61">
        <v>387</v>
      </c>
    </row>
    <row r="147" spans="22:29">
      <c r="V147" s="89">
        <v>0.20640896</v>
      </c>
      <c r="W147" s="61">
        <v>388</v>
      </c>
      <c r="X147" s="89">
        <v>0.13993384</v>
      </c>
      <c r="Y147" s="61">
        <v>388</v>
      </c>
      <c r="Z147" s="89">
        <v>0.19538815000000001</v>
      </c>
      <c r="AA147" s="61">
        <v>388</v>
      </c>
      <c r="AB147" s="89">
        <v>1.8724449000000001E-2</v>
      </c>
      <c r="AC147" s="61">
        <v>388</v>
      </c>
    </row>
    <row r="148" spans="22:29">
      <c r="V148" s="89">
        <v>0.20897639000000001</v>
      </c>
      <c r="W148" s="61">
        <v>389</v>
      </c>
      <c r="X148" s="89">
        <v>0.14187623999999999</v>
      </c>
      <c r="Y148" s="61">
        <v>389</v>
      </c>
      <c r="Z148" s="89">
        <v>0.19894524</v>
      </c>
      <c r="AA148" s="61">
        <v>389</v>
      </c>
      <c r="AB148" s="89">
        <v>1.9647952E-2</v>
      </c>
      <c r="AC148" s="61">
        <v>389</v>
      </c>
    </row>
    <row r="149" spans="22:29">
      <c r="V149" s="89">
        <v>0.2115438</v>
      </c>
      <c r="W149" s="61">
        <v>390</v>
      </c>
      <c r="X149" s="89">
        <v>0.14381864999999999</v>
      </c>
      <c r="Y149" s="61">
        <v>390</v>
      </c>
      <c r="Z149" s="89">
        <v>0.20250233000000001</v>
      </c>
      <c r="AA149" s="61">
        <v>390</v>
      </c>
      <c r="AB149" s="89">
        <v>2.0612954999999999E-2</v>
      </c>
      <c r="AC149" s="61">
        <v>390</v>
      </c>
    </row>
    <row r="150" spans="22:29">
      <c r="V150" s="89">
        <v>0.21411121</v>
      </c>
      <c r="W150" s="61">
        <v>391</v>
      </c>
      <c r="X150" s="89">
        <v>0.14585714</v>
      </c>
      <c r="Y150" s="61">
        <v>391</v>
      </c>
      <c r="Z150" s="89">
        <v>0.20605941</v>
      </c>
      <c r="AA150" s="61">
        <v>391</v>
      </c>
      <c r="AB150" s="89">
        <v>2.1621023999999999E-2</v>
      </c>
      <c r="AC150" s="61">
        <v>391</v>
      </c>
    </row>
    <row r="151" spans="22:29">
      <c r="V151" s="89">
        <v>0.21667861999999999</v>
      </c>
      <c r="W151" s="61">
        <v>392</v>
      </c>
      <c r="X151" s="89">
        <v>0.14791182999999999</v>
      </c>
      <c r="Y151" s="61">
        <v>392</v>
      </c>
      <c r="Z151" s="89">
        <v>0.20961650000000001</v>
      </c>
      <c r="AA151" s="61">
        <v>392</v>
      </c>
      <c r="AB151" s="89">
        <v>2.2673756E-2</v>
      </c>
      <c r="AC151" s="61">
        <v>392</v>
      </c>
    </row>
    <row r="152" spans="22:29">
      <c r="V152" s="89">
        <v>0.21924604</v>
      </c>
      <c r="W152" s="61">
        <v>393</v>
      </c>
      <c r="X152" s="89">
        <v>0.14996651</v>
      </c>
      <c r="Y152" s="61">
        <v>393</v>
      </c>
      <c r="Z152" s="89">
        <v>0.21317358</v>
      </c>
      <c r="AA152" s="61">
        <v>393</v>
      </c>
      <c r="AB152" s="89">
        <v>2.3772784000000002E-2</v>
      </c>
      <c r="AC152" s="61">
        <v>393</v>
      </c>
    </row>
    <row r="153" spans="22:29">
      <c r="V153" s="89">
        <v>0.22181345999999999</v>
      </c>
      <c r="W153" s="61">
        <v>394</v>
      </c>
      <c r="X153" s="89">
        <v>0.1520212</v>
      </c>
      <c r="Y153" s="61">
        <v>394</v>
      </c>
      <c r="Z153" s="89">
        <v>0.21673066999999999</v>
      </c>
      <c r="AA153" s="61">
        <v>394</v>
      </c>
      <c r="AB153" s="89">
        <v>2.4919773999999999E-2</v>
      </c>
      <c r="AC153" s="61">
        <v>394</v>
      </c>
    </row>
    <row r="154" spans="22:29">
      <c r="V154" s="89">
        <v>0.22438087000000001</v>
      </c>
      <c r="W154" s="61">
        <v>395</v>
      </c>
      <c r="X154" s="89">
        <v>0.15410276000000001</v>
      </c>
      <c r="Y154" s="61">
        <v>395</v>
      </c>
      <c r="Z154" s="89">
        <v>0.22028774000000001</v>
      </c>
      <c r="AA154" s="61">
        <v>395</v>
      </c>
      <c r="AB154" s="89">
        <v>2.6116417999999999E-2</v>
      </c>
      <c r="AC154" s="61">
        <v>395</v>
      </c>
    </row>
    <row r="155" spans="22:29">
      <c r="V155" s="89">
        <v>0.22694829</v>
      </c>
      <c r="W155" s="61">
        <v>396</v>
      </c>
      <c r="X155" s="89">
        <v>0.15623297999999999</v>
      </c>
      <c r="Y155" s="61">
        <v>396</v>
      </c>
      <c r="Z155" s="89">
        <v>0.22393392000000001</v>
      </c>
      <c r="AA155" s="61">
        <v>396</v>
      </c>
      <c r="AB155" s="89">
        <v>2.7364434999999999E-2</v>
      </c>
      <c r="AC155" s="61">
        <v>396</v>
      </c>
    </row>
    <row r="156" spans="22:29">
      <c r="V156" s="89">
        <v>0.22951569999999999</v>
      </c>
      <c r="W156" s="61">
        <v>397</v>
      </c>
      <c r="X156" s="89">
        <v>0.15836320000000001</v>
      </c>
      <c r="Y156" s="61">
        <v>397</v>
      </c>
      <c r="Z156" s="89">
        <v>0.22777627</v>
      </c>
      <c r="AA156" s="61">
        <v>397</v>
      </c>
      <c r="AB156" s="89">
        <v>2.8665572E-2</v>
      </c>
      <c r="AC156" s="61">
        <v>397</v>
      </c>
    </row>
    <row r="157" spans="22:29">
      <c r="V157" s="89">
        <v>0.23208311000000001</v>
      </c>
      <c r="W157" s="61">
        <v>398</v>
      </c>
      <c r="X157" s="89">
        <v>0.16049342</v>
      </c>
      <c r="Y157" s="61">
        <v>398</v>
      </c>
      <c r="Z157" s="89">
        <v>0.23161861</v>
      </c>
      <c r="AA157" s="61">
        <v>398</v>
      </c>
      <c r="AB157" s="89">
        <v>3.0021592999999999E-2</v>
      </c>
      <c r="AC157" s="61">
        <v>398</v>
      </c>
    </row>
    <row r="158" spans="22:29">
      <c r="V158" s="89">
        <v>0.23465053999999999</v>
      </c>
      <c r="W158" s="61">
        <v>399</v>
      </c>
      <c r="X158" s="89">
        <v>0.16262362999999999</v>
      </c>
      <c r="Y158" s="61">
        <v>399</v>
      </c>
      <c r="Z158" s="89">
        <v>0.23546095</v>
      </c>
      <c r="AA158" s="61">
        <v>399</v>
      </c>
      <c r="AB158" s="89">
        <v>3.1434285999999999E-2</v>
      </c>
      <c r="AC158" s="61">
        <v>399</v>
      </c>
    </row>
    <row r="159" spans="22:29">
      <c r="V159" s="89">
        <v>0.23721795000000001</v>
      </c>
      <c r="W159" s="61">
        <v>400</v>
      </c>
      <c r="X159" s="89">
        <v>0.16485130000000001</v>
      </c>
      <c r="Y159" s="61">
        <v>400</v>
      </c>
      <c r="Z159" s="89">
        <v>0.23930329</v>
      </c>
      <c r="AA159" s="61">
        <v>400</v>
      </c>
      <c r="AB159" s="89">
        <v>3.2905452000000002E-2</v>
      </c>
      <c r="AC159" s="61">
        <v>400</v>
      </c>
    </row>
    <row r="160" spans="22:29">
      <c r="V160" s="89">
        <v>0.23991607000000001</v>
      </c>
      <c r="W160" s="61">
        <v>401</v>
      </c>
      <c r="X160" s="89">
        <v>0.16709536</v>
      </c>
      <c r="Y160" s="61">
        <v>401</v>
      </c>
      <c r="Z160" s="89">
        <v>0.24314563</v>
      </c>
      <c r="AA160" s="61">
        <v>401</v>
      </c>
      <c r="AB160" s="89">
        <v>3.4436899999999999E-2</v>
      </c>
      <c r="AC160" s="61">
        <v>401</v>
      </c>
    </row>
    <row r="161" spans="22:29">
      <c r="V161" s="89">
        <v>0.24272458</v>
      </c>
      <c r="W161" s="61">
        <v>402</v>
      </c>
      <c r="X161" s="89">
        <v>0.16933945</v>
      </c>
      <c r="Y161" s="61">
        <v>402</v>
      </c>
      <c r="Z161" s="89">
        <v>0.24698797</v>
      </c>
      <c r="AA161" s="61">
        <v>402</v>
      </c>
      <c r="AB161" s="89">
        <v>3.6030452999999997E-2</v>
      </c>
      <c r="AC161" s="61">
        <v>402</v>
      </c>
    </row>
    <row r="162" spans="22:29">
      <c r="V162" s="89">
        <v>0.2455331</v>
      </c>
      <c r="W162" s="61">
        <v>403</v>
      </c>
      <c r="X162" s="89">
        <v>0.17158351999999999</v>
      </c>
      <c r="Y162" s="61">
        <v>403</v>
      </c>
      <c r="Z162" s="89">
        <v>0.25083032</v>
      </c>
      <c r="AA162" s="61">
        <v>403</v>
      </c>
      <c r="AB162" s="89">
        <v>3.7687930000000001E-2</v>
      </c>
      <c r="AC162" s="61">
        <v>403</v>
      </c>
    </row>
    <row r="163" spans="22:29">
      <c r="V163" s="89">
        <v>0.24834159</v>
      </c>
      <c r="W163" s="61">
        <v>404</v>
      </c>
      <c r="X163" s="89">
        <v>0.17382759</v>
      </c>
      <c r="Y163" s="61">
        <v>404</v>
      </c>
      <c r="Z163" s="89">
        <v>0.25467265</v>
      </c>
      <c r="AA163" s="61">
        <v>404</v>
      </c>
      <c r="AB163" s="89">
        <v>3.9411157000000002E-2</v>
      </c>
      <c r="AC163" s="61">
        <v>404</v>
      </c>
    </row>
    <row r="164" spans="22:29">
      <c r="V164" s="89">
        <v>0.25115009999999999</v>
      </c>
      <c r="W164" s="61">
        <v>405</v>
      </c>
      <c r="X164" s="89">
        <v>0.17607167000000001</v>
      </c>
      <c r="Y164" s="61">
        <v>405</v>
      </c>
      <c r="Z164" s="89">
        <v>0.25851499999999999</v>
      </c>
      <c r="AA164" s="61">
        <v>405</v>
      </c>
      <c r="AB164" s="89">
        <v>4.1201952999999999E-2</v>
      </c>
      <c r="AC164" s="61">
        <v>405</v>
      </c>
    </row>
    <row r="165" spans="22:29">
      <c r="V165" s="89">
        <v>0.25396064000000002</v>
      </c>
      <c r="W165" s="61">
        <v>406</v>
      </c>
      <c r="X165" s="89">
        <v>0.17831574</v>
      </c>
      <c r="Y165" s="61">
        <v>406</v>
      </c>
      <c r="Z165" s="89">
        <v>0.26235734999999999</v>
      </c>
      <c r="AA165" s="61">
        <v>406</v>
      </c>
      <c r="AB165" s="89">
        <v>4.3062110000000001E-2</v>
      </c>
      <c r="AC165" s="61">
        <v>406</v>
      </c>
    </row>
    <row r="166" spans="22:29">
      <c r="V166" s="89">
        <v>0.25686562000000002</v>
      </c>
      <c r="W166" s="61">
        <v>407</v>
      </c>
      <c r="X166" s="89">
        <v>0.18055980999999999</v>
      </c>
      <c r="Y166" s="61">
        <v>407</v>
      </c>
      <c r="Z166" s="89">
        <v>0.26619967999999999</v>
      </c>
      <c r="AA166" s="61">
        <v>407</v>
      </c>
      <c r="AB166" s="89">
        <v>4.4993422999999998E-2</v>
      </c>
      <c r="AC166" s="61">
        <v>407</v>
      </c>
    </row>
    <row r="167" spans="22:29">
      <c r="V167" s="89">
        <v>0.25977060000000002</v>
      </c>
      <c r="W167" s="61">
        <v>408</v>
      </c>
      <c r="X167" s="89">
        <v>0.18280388</v>
      </c>
      <c r="Y167" s="61">
        <v>408</v>
      </c>
      <c r="Z167" s="89">
        <v>0.27029213000000002</v>
      </c>
      <c r="AA167" s="61">
        <v>408</v>
      </c>
      <c r="AB167" s="89">
        <v>4.6997648000000003E-2</v>
      </c>
      <c r="AC167" s="61">
        <v>408</v>
      </c>
    </row>
    <row r="168" spans="22:29">
      <c r="V168" s="89">
        <v>0.26267558000000002</v>
      </c>
      <c r="W168" s="61">
        <v>409</v>
      </c>
      <c r="X168" s="89">
        <v>0.18517801</v>
      </c>
      <c r="Y168" s="61">
        <v>409</v>
      </c>
      <c r="Z168" s="89">
        <v>0.27441191999999998</v>
      </c>
      <c r="AA168" s="61">
        <v>409</v>
      </c>
      <c r="AB168" s="89">
        <v>4.9076519999999998E-2</v>
      </c>
      <c r="AC168" s="61">
        <v>409</v>
      </c>
    </row>
    <row r="169" spans="22:29">
      <c r="V169" s="89">
        <v>0.26558056000000002</v>
      </c>
      <c r="W169" s="61">
        <v>410</v>
      </c>
      <c r="X169" s="89">
        <v>0.18757404</v>
      </c>
      <c r="Y169" s="61">
        <v>410</v>
      </c>
      <c r="Z169" s="89">
        <v>0.27853169999999999</v>
      </c>
      <c r="AA169" s="61">
        <v>410</v>
      </c>
      <c r="AB169" s="89">
        <v>5.1231734000000001E-2</v>
      </c>
      <c r="AC169" s="61">
        <v>410</v>
      </c>
    </row>
    <row r="170" spans="22:29">
      <c r="V170" s="89">
        <v>0.26848555000000002</v>
      </c>
      <c r="W170" s="61">
        <v>411</v>
      </c>
      <c r="X170" s="89">
        <v>0.18997006</v>
      </c>
      <c r="Y170" s="61">
        <v>411</v>
      </c>
      <c r="Z170" s="89">
        <v>0.28265148000000001</v>
      </c>
      <c r="AA170" s="61">
        <v>411</v>
      </c>
      <c r="AB170" s="89">
        <v>5.3464945E-2</v>
      </c>
      <c r="AC170" s="61">
        <v>411</v>
      </c>
    </row>
    <row r="171" spans="22:29">
      <c r="V171" s="89">
        <v>0.27146265000000003</v>
      </c>
      <c r="W171" s="61">
        <v>412</v>
      </c>
      <c r="X171" s="89">
        <v>0.19236610000000001</v>
      </c>
      <c r="Y171" s="61">
        <v>412</v>
      </c>
      <c r="Z171" s="89">
        <v>0.28677127000000002</v>
      </c>
      <c r="AA171" s="61">
        <v>412</v>
      </c>
      <c r="AB171" s="89">
        <v>5.5777750000000001E-2</v>
      </c>
      <c r="AC171" s="61">
        <v>412</v>
      </c>
    </row>
    <row r="172" spans="22:29">
      <c r="V172" s="89">
        <v>0.27451189999999998</v>
      </c>
      <c r="W172" s="61">
        <v>413</v>
      </c>
      <c r="X172" s="89">
        <v>0.19476210999999999</v>
      </c>
      <c r="Y172" s="61">
        <v>413</v>
      </c>
      <c r="Z172" s="89">
        <v>0.29089104999999998</v>
      </c>
      <c r="AA172" s="61">
        <v>413</v>
      </c>
      <c r="AB172" s="89">
        <v>5.8171703999999998E-2</v>
      </c>
      <c r="AC172" s="61">
        <v>413</v>
      </c>
    </row>
    <row r="173" spans="22:29">
      <c r="V173" s="89">
        <v>0.27756120000000001</v>
      </c>
      <c r="W173" s="61">
        <v>414</v>
      </c>
      <c r="X173" s="89">
        <v>0.19715814000000001</v>
      </c>
      <c r="Y173" s="61">
        <v>414</v>
      </c>
      <c r="Z173" s="89">
        <v>0.29501083</v>
      </c>
      <c r="AA173" s="61">
        <v>414</v>
      </c>
      <c r="AB173" s="89">
        <v>6.0648285000000003E-2</v>
      </c>
      <c r="AC173" s="61">
        <v>414</v>
      </c>
    </row>
    <row r="174" spans="22:29">
      <c r="V174" s="89">
        <v>0.28061047</v>
      </c>
      <c r="W174" s="61">
        <v>415</v>
      </c>
      <c r="X174" s="89">
        <v>0.19955418</v>
      </c>
      <c r="Y174" s="61">
        <v>415</v>
      </c>
      <c r="Z174" s="89">
        <v>0.29913060000000002</v>
      </c>
      <c r="AA174" s="61">
        <v>415</v>
      </c>
      <c r="AB174" s="89">
        <v>6.3208909999999993E-2</v>
      </c>
      <c r="AC174" s="61">
        <v>415</v>
      </c>
    </row>
    <row r="175" spans="22:29">
      <c r="V175" s="89">
        <v>0.28365973</v>
      </c>
      <c r="W175" s="61">
        <v>416</v>
      </c>
      <c r="X175" s="89">
        <v>0.20195019</v>
      </c>
      <c r="Y175" s="61">
        <v>416</v>
      </c>
      <c r="Z175" s="89">
        <v>0.30325036999999999</v>
      </c>
      <c r="AA175" s="61">
        <v>416</v>
      </c>
      <c r="AB175" s="89">
        <v>6.5854919999999997E-2</v>
      </c>
      <c r="AC175" s="61">
        <v>416</v>
      </c>
    </row>
    <row r="176" spans="22:29">
      <c r="V176" s="89">
        <v>0.28670899999999999</v>
      </c>
      <c r="W176" s="61">
        <v>417</v>
      </c>
      <c r="X176" s="89">
        <v>0.20434622</v>
      </c>
      <c r="Y176" s="61">
        <v>417</v>
      </c>
      <c r="Z176" s="89">
        <v>0.30737016</v>
      </c>
      <c r="AA176" s="61">
        <v>417</v>
      </c>
      <c r="AB176" s="89">
        <v>6.8587564000000004E-2</v>
      </c>
      <c r="AC176" s="61">
        <v>417</v>
      </c>
    </row>
    <row r="177" spans="22:29">
      <c r="V177" s="89">
        <v>0.28975826999999998</v>
      </c>
      <c r="W177" s="61">
        <v>418</v>
      </c>
      <c r="X177" s="89">
        <v>0.20687151000000001</v>
      </c>
      <c r="Y177" s="61">
        <v>418</v>
      </c>
      <c r="Z177" s="89">
        <v>0.31148994000000002</v>
      </c>
      <c r="AA177" s="61">
        <v>418</v>
      </c>
      <c r="AB177" s="89">
        <v>7.1408025999999999E-2</v>
      </c>
      <c r="AC177" s="61">
        <v>418</v>
      </c>
    </row>
    <row r="178" spans="22:29">
      <c r="V178" s="89">
        <v>0.29280755000000003</v>
      </c>
      <c r="W178" s="61">
        <v>419</v>
      </c>
      <c r="X178" s="89">
        <v>0.20941857</v>
      </c>
      <c r="Y178" s="61">
        <v>419</v>
      </c>
      <c r="Z178" s="89">
        <v>0.31571546</v>
      </c>
      <c r="AA178" s="61">
        <v>419</v>
      </c>
      <c r="AB178" s="89">
        <v>7.4317365999999996E-2</v>
      </c>
      <c r="AC178" s="61">
        <v>419</v>
      </c>
    </row>
    <row r="179" spans="22:29">
      <c r="V179" s="89">
        <v>0.29585679999999998</v>
      </c>
      <c r="W179" s="61">
        <v>420</v>
      </c>
      <c r="X179" s="89">
        <v>0.21196564000000001</v>
      </c>
      <c r="Y179" s="61">
        <v>420</v>
      </c>
      <c r="Z179" s="89">
        <v>0.32005072000000001</v>
      </c>
      <c r="AA179" s="61">
        <v>420</v>
      </c>
      <c r="AB179" s="89">
        <v>7.7316579999999996E-2</v>
      </c>
      <c r="AC179" s="61">
        <v>420</v>
      </c>
    </row>
    <row r="180" spans="22:29">
      <c r="V180" s="89">
        <v>0.29890610000000001</v>
      </c>
      <c r="W180" s="61">
        <v>421</v>
      </c>
      <c r="X180" s="89">
        <v>0.21451269000000001</v>
      </c>
      <c r="Y180" s="61">
        <v>421</v>
      </c>
      <c r="Z180" s="89">
        <v>0.32438597000000002</v>
      </c>
      <c r="AA180" s="61">
        <v>421</v>
      </c>
      <c r="AB180" s="89">
        <v>8.0406539999999999E-2</v>
      </c>
      <c r="AC180" s="61">
        <v>421</v>
      </c>
    </row>
    <row r="181" spans="22:29">
      <c r="V181" s="89">
        <v>0.30195534000000002</v>
      </c>
      <c r="W181" s="61">
        <v>422</v>
      </c>
      <c r="X181" s="89">
        <v>0.21705975</v>
      </c>
      <c r="Y181" s="61">
        <v>422</v>
      </c>
      <c r="Z181" s="89">
        <v>0.32872126000000002</v>
      </c>
      <c r="AA181" s="61">
        <v>422</v>
      </c>
      <c r="AB181" s="89">
        <v>8.3588019999999999E-2</v>
      </c>
      <c r="AC181" s="61">
        <v>422</v>
      </c>
    </row>
    <row r="182" spans="22:29">
      <c r="V182" s="89">
        <v>0.30509219999999998</v>
      </c>
      <c r="W182" s="61">
        <v>423</v>
      </c>
      <c r="X182" s="89">
        <v>0.21960679999999999</v>
      </c>
      <c r="Y182" s="61">
        <v>423</v>
      </c>
      <c r="Z182" s="89">
        <v>0.33305649999999998</v>
      </c>
      <c r="AA182" s="61">
        <v>423</v>
      </c>
      <c r="AB182" s="89">
        <v>8.6861690000000005E-2</v>
      </c>
      <c r="AC182" s="61">
        <v>423</v>
      </c>
    </row>
    <row r="183" spans="22:29">
      <c r="V183" s="89">
        <v>0.30833285999999999</v>
      </c>
      <c r="W183" s="61">
        <v>424</v>
      </c>
      <c r="X183" s="89">
        <v>0.22215387</v>
      </c>
      <c r="Y183" s="61">
        <v>424</v>
      </c>
      <c r="Z183" s="89">
        <v>0.33739175999999999</v>
      </c>
      <c r="AA183" s="61">
        <v>424</v>
      </c>
      <c r="AB183" s="89">
        <v>9.0228119999999995E-2</v>
      </c>
      <c r="AC183" s="61">
        <v>424</v>
      </c>
    </row>
    <row r="184" spans="22:29">
      <c r="V184" s="89">
        <v>0.3115735</v>
      </c>
      <c r="W184" s="61">
        <v>425</v>
      </c>
      <c r="X184" s="89">
        <v>0.22470092999999999</v>
      </c>
      <c r="Y184" s="61">
        <v>425</v>
      </c>
      <c r="Z184" s="89">
        <v>0.34184754000000001</v>
      </c>
      <c r="AA184" s="61">
        <v>425</v>
      </c>
      <c r="AB184" s="89">
        <v>9.368775E-2</v>
      </c>
      <c r="AC184" s="61">
        <v>425</v>
      </c>
    </row>
    <row r="185" spans="22:29">
      <c r="V185" s="89">
        <v>0.31481418</v>
      </c>
      <c r="W185" s="61">
        <v>426</v>
      </c>
      <c r="X185" s="89">
        <v>0.22724797999999999</v>
      </c>
      <c r="Y185" s="61">
        <v>426</v>
      </c>
      <c r="Z185" s="89">
        <v>0.34633625000000001</v>
      </c>
      <c r="AA185" s="61">
        <v>426</v>
      </c>
      <c r="AB185" s="89">
        <v>9.7240939999999998E-2</v>
      </c>
      <c r="AC185" s="61">
        <v>426</v>
      </c>
    </row>
    <row r="186" spans="22:29">
      <c r="V186" s="89">
        <v>0.31805485</v>
      </c>
      <c r="W186" s="61">
        <v>427</v>
      </c>
      <c r="X186" s="89">
        <v>0.22992255</v>
      </c>
      <c r="Y186" s="61">
        <v>427</v>
      </c>
      <c r="Z186" s="89">
        <v>0.35082495000000002</v>
      </c>
      <c r="AA186" s="61">
        <v>427</v>
      </c>
      <c r="AB186" s="89">
        <v>0.10088792000000001</v>
      </c>
      <c r="AC186" s="61">
        <v>427</v>
      </c>
    </row>
    <row r="187" spans="22:29">
      <c r="V187" s="89">
        <v>0.32129550000000001</v>
      </c>
      <c r="W187" s="61">
        <v>428</v>
      </c>
      <c r="X187" s="89">
        <v>0.23261858999999999</v>
      </c>
      <c r="Y187" s="61">
        <v>428</v>
      </c>
      <c r="Z187" s="89">
        <v>0.35531365999999998</v>
      </c>
      <c r="AA187" s="61">
        <v>428</v>
      </c>
      <c r="AB187" s="89">
        <v>0.10462882</v>
      </c>
      <c r="AC187" s="61">
        <v>428</v>
      </c>
    </row>
    <row r="188" spans="22:29">
      <c r="V188" s="89">
        <v>0.32453617000000001</v>
      </c>
      <c r="W188" s="61">
        <v>429</v>
      </c>
      <c r="X188" s="89">
        <v>0.23531461000000001</v>
      </c>
      <c r="Y188" s="61">
        <v>429</v>
      </c>
      <c r="Z188" s="89">
        <v>0.35980236999999998</v>
      </c>
      <c r="AA188" s="61">
        <v>429</v>
      </c>
      <c r="AB188" s="89">
        <v>0.1084637</v>
      </c>
      <c r="AC188" s="61">
        <v>429</v>
      </c>
    </row>
    <row r="189" spans="22:29">
      <c r="V189" s="89">
        <v>0.32777685000000001</v>
      </c>
      <c r="W189" s="61">
        <v>430</v>
      </c>
      <c r="X189" s="89">
        <v>0.23801064</v>
      </c>
      <c r="Y189" s="61">
        <v>430</v>
      </c>
      <c r="Z189" s="89">
        <v>0.36431137000000002</v>
      </c>
      <c r="AA189" s="61">
        <v>430</v>
      </c>
      <c r="AB189" s="89">
        <v>0.11239246999999999</v>
      </c>
      <c r="AC189" s="61">
        <v>430</v>
      </c>
    </row>
    <row r="190" spans="22:29">
      <c r="V190" s="89">
        <v>0.33101750000000002</v>
      </c>
      <c r="W190" s="61">
        <v>431</v>
      </c>
      <c r="X190" s="89">
        <v>0.24070668000000001</v>
      </c>
      <c r="Y190" s="61">
        <v>431</v>
      </c>
      <c r="Z190" s="89">
        <v>0.36905401999999998</v>
      </c>
      <c r="AA190" s="61">
        <v>431</v>
      </c>
      <c r="AB190" s="89">
        <v>0.11641499399999999</v>
      </c>
      <c r="AC190" s="61">
        <v>431</v>
      </c>
    </row>
    <row r="191" spans="22:29">
      <c r="V191" s="89">
        <v>0.33425817000000002</v>
      </c>
      <c r="W191" s="61">
        <v>432</v>
      </c>
      <c r="X191" s="89">
        <v>0.2434027</v>
      </c>
      <c r="Y191" s="61">
        <v>432</v>
      </c>
      <c r="Z191" s="89">
        <v>0.37379667</v>
      </c>
      <c r="AA191" s="61">
        <v>432</v>
      </c>
      <c r="AB191" s="89">
        <v>0.12053101500000001</v>
      </c>
      <c r="AC191" s="61">
        <v>432</v>
      </c>
    </row>
    <row r="192" spans="22:29">
      <c r="V192" s="89">
        <v>0.33749884000000002</v>
      </c>
      <c r="W192" s="61">
        <v>433</v>
      </c>
      <c r="X192" s="89">
        <v>0.24609874000000001</v>
      </c>
      <c r="Y192" s="61">
        <v>433</v>
      </c>
      <c r="Z192" s="89">
        <v>0.37853932000000001</v>
      </c>
      <c r="AA192" s="61">
        <v>433</v>
      </c>
      <c r="AB192" s="89">
        <v>0.12474022999999999</v>
      </c>
      <c r="AC192" s="61">
        <v>433</v>
      </c>
    </row>
    <row r="193" spans="22:29">
      <c r="V193" s="89">
        <v>0.34081850000000002</v>
      </c>
      <c r="W193" s="61">
        <v>434</v>
      </c>
      <c r="X193" s="89">
        <v>0.24879477999999999</v>
      </c>
      <c r="Y193" s="61">
        <v>434</v>
      </c>
      <c r="Z193" s="89">
        <v>0.38328198000000002</v>
      </c>
      <c r="AA193" s="61">
        <v>434</v>
      </c>
      <c r="AB193" s="89">
        <v>0.12904224</v>
      </c>
      <c r="AC193" s="61">
        <v>434</v>
      </c>
    </row>
    <row r="194" spans="22:29">
      <c r="V194" s="89">
        <v>0.34424937</v>
      </c>
      <c r="W194" s="61">
        <v>435</v>
      </c>
      <c r="X194" s="89">
        <v>0.25149080000000001</v>
      </c>
      <c r="Y194" s="61">
        <v>435</v>
      </c>
      <c r="Z194" s="89">
        <v>0.38802462999999998</v>
      </c>
      <c r="AA194" s="61">
        <v>435</v>
      </c>
      <c r="AB194" s="89">
        <v>0.13343656000000001</v>
      </c>
      <c r="AC194" s="61">
        <v>435</v>
      </c>
    </row>
    <row r="195" spans="22:29">
      <c r="V195" s="89">
        <v>0.34768027000000001</v>
      </c>
      <c r="W195" s="61">
        <v>436</v>
      </c>
      <c r="X195" s="89">
        <v>0.25428092000000002</v>
      </c>
      <c r="Y195" s="61">
        <v>436</v>
      </c>
      <c r="Z195" s="89">
        <v>0.39276728</v>
      </c>
      <c r="AA195" s="61">
        <v>436</v>
      </c>
      <c r="AB195" s="89">
        <v>0.13792270000000001</v>
      </c>
      <c r="AC195" s="61">
        <v>436</v>
      </c>
    </row>
    <row r="196" spans="22:29">
      <c r="V196" s="89">
        <v>0.35111113999999999</v>
      </c>
      <c r="W196" s="61">
        <v>437</v>
      </c>
      <c r="X196" s="89">
        <v>0.25708683999999998</v>
      </c>
      <c r="Y196" s="61">
        <v>437</v>
      </c>
      <c r="Z196" s="89">
        <v>0.39750993000000001</v>
      </c>
      <c r="AA196" s="61">
        <v>437</v>
      </c>
      <c r="AB196" s="89">
        <v>0.14250007000000001</v>
      </c>
      <c r="AC196" s="61">
        <v>437</v>
      </c>
    </row>
    <row r="197" spans="22:29">
      <c r="V197" s="89">
        <v>0.35454205</v>
      </c>
      <c r="W197" s="61">
        <v>438</v>
      </c>
      <c r="X197" s="89">
        <v>0.25989279999999998</v>
      </c>
      <c r="Y197" s="61">
        <v>438</v>
      </c>
      <c r="Z197" s="89">
        <v>0.40225258000000003</v>
      </c>
      <c r="AA197" s="61">
        <v>438</v>
      </c>
      <c r="AB197" s="89">
        <v>0.14716807000000001</v>
      </c>
      <c r="AC197" s="61">
        <v>438</v>
      </c>
    </row>
    <row r="198" spans="22:29">
      <c r="V198" s="89">
        <v>0.35797295000000001</v>
      </c>
      <c r="W198" s="61">
        <v>439</v>
      </c>
      <c r="X198" s="89">
        <v>0.26269873999999999</v>
      </c>
      <c r="Y198" s="61">
        <v>439</v>
      </c>
      <c r="Z198" s="89">
        <v>0.40699523999999998</v>
      </c>
      <c r="AA198" s="61">
        <v>439</v>
      </c>
      <c r="AB198" s="89">
        <v>0.15192601</v>
      </c>
      <c r="AC198" s="61">
        <v>439</v>
      </c>
    </row>
    <row r="199" spans="22:29">
      <c r="V199" s="89">
        <v>0.36140381999999999</v>
      </c>
      <c r="W199" s="61">
        <v>440</v>
      </c>
      <c r="X199" s="89">
        <v>0.26553035000000003</v>
      </c>
      <c r="Y199" s="61">
        <v>440</v>
      </c>
      <c r="Z199" s="89">
        <v>0.41173789999999999</v>
      </c>
      <c r="AA199" s="61">
        <v>440</v>
      </c>
      <c r="AB199" s="89">
        <v>0.15677324000000001</v>
      </c>
      <c r="AC199" s="61">
        <v>440</v>
      </c>
    </row>
    <row r="200" spans="22:29">
      <c r="V200" s="89">
        <v>0.36483473</v>
      </c>
      <c r="W200" s="61">
        <v>441</v>
      </c>
      <c r="X200" s="89">
        <v>0.26840841999999998</v>
      </c>
      <c r="Y200" s="61">
        <v>441</v>
      </c>
      <c r="Z200" s="89">
        <v>0.41648054000000001</v>
      </c>
      <c r="AA200" s="61">
        <v>441</v>
      </c>
      <c r="AB200" s="89">
        <v>0.16170904</v>
      </c>
      <c r="AC200" s="61">
        <v>441</v>
      </c>
    </row>
    <row r="201" spans="22:29">
      <c r="V201" s="89">
        <v>0.36826560000000003</v>
      </c>
      <c r="W201" s="61">
        <v>442</v>
      </c>
      <c r="X201" s="89">
        <v>0.27128646000000001</v>
      </c>
      <c r="Y201" s="61">
        <v>442</v>
      </c>
      <c r="Z201" s="89">
        <v>0.42148718000000002</v>
      </c>
      <c r="AA201" s="61">
        <v>442</v>
      </c>
      <c r="AB201" s="89">
        <v>0.16673270000000001</v>
      </c>
      <c r="AC201" s="61">
        <v>442</v>
      </c>
    </row>
    <row r="202" spans="22:29">
      <c r="V202" s="89">
        <v>0.37169649999999999</v>
      </c>
      <c r="W202" s="61">
        <v>443</v>
      </c>
      <c r="X202" s="89">
        <v>0.27416453000000002</v>
      </c>
      <c r="Y202" s="61">
        <v>443</v>
      </c>
      <c r="Z202" s="89">
        <v>0.42662435999999998</v>
      </c>
      <c r="AA202" s="61">
        <v>443</v>
      </c>
      <c r="AB202" s="89">
        <v>0.17184347</v>
      </c>
      <c r="AC202" s="61">
        <v>443</v>
      </c>
    </row>
    <row r="203" spans="22:29">
      <c r="V203" s="89">
        <v>0.3751274</v>
      </c>
      <c r="W203" s="61">
        <v>444</v>
      </c>
      <c r="X203" s="89">
        <v>0.27704260000000003</v>
      </c>
      <c r="Y203" s="61">
        <v>444</v>
      </c>
      <c r="Z203" s="89">
        <v>0.43176153</v>
      </c>
      <c r="AA203" s="61">
        <v>444</v>
      </c>
      <c r="AB203" s="89">
        <v>0.17704064999999999</v>
      </c>
      <c r="AC203" s="61">
        <v>444</v>
      </c>
    </row>
    <row r="204" spans="22:29">
      <c r="V204" s="89">
        <v>0.37862906000000002</v>
      </c>
      <c r="W204" s="61">
        <v>445</v>
      </c>
      <c r="X204" s="89">
        <v>0.28001160000000003</v>
      </c>
      <c r="Y204" s="61">
        <v>445</v>
      </c>
      <c r="Z204" s="89">
        <v>0.43689874000000001</v>
      </c>
      <c r="AA204" s="61">
        <v>445</v>
      </c>
      <c r="AB204" s="89">
        <v>0.18232351999999999</v>
      </c>
      <c r="AC204" s="61">
        <v>445</v>
      </c>
    </row>
    <row r="205" spans="22:29">
      <c r="V205" s="89">
        <v>0.38224970000000003</v>
      </c>
      <c r="W205" s="61">
        <v>446</v>
      </c>
      <c r="X205" s="89">
        <v>0.28299587999999998</v>
      </c>
      <c r="Y205" s="61">
        <v>446</v>
      </c>
      <c r="Z205" s="89">
        <v>0.44203589999999998</v>
      </c>
      <c r="AA205" s="61">
        <v>446</v>
      </c>
      <c r="AB205" s="89">
        <v>0.18769135000000001</v>
      </c>
      <c r="AC205" s="61">
        <v>446</v>
      </c>
    </row>
    <row r="206" spans="22:29">
      <c r="V206" s="89">
        <v>0.38587037000000002</v>
      </c>
      <c r="W206" s="61">
        <v>447</v>
      </c>
      <c r="X206" s="89">
        <v>0.28598020000000002</v>
      </c>
      <c r="Y206" s="61">
        <v>447</v>
      </c>
      <c r="Z206" s="89">
        <v>0.44717309999999999</v>
      </c>
      <c r="AA206" s="61">
        <v>447</v>
      </c>
      <c r="AB206" s="89">
        <v>0.19314345999999999</v>
      </c>
      <c r="AC206" s="61">
        <v>447</v>
      </c>
    </row>
    <row r="207" spans="22:29">
      <c r="V207" s="89">
        <v>0.38949102000000002</v>
      </c>
      <c r="W207" s="61">
        <v>448</v>
      </c>
      <c r="X207" s="89">
        <v>0.28896450000000001</v>
      </c>
      <c r="Y207" s="61">
        <v>448</v>
      </c>
      <c r="Z207" s="89">
        <v>0.45231026000000002</v>
      </c>
      <c r="AA207" s="61">
        <v>448</v>
      </c>
      <c r="AB207" s="89">
        <v>0.19867918000000001</v>
      </c>
      <c r="AC207" s="61">
        <v>448</v>
      </c>
    </row>
    <row r="208" spans="22:29">
      <c r="V208" s="89">
        <v>0.39311168000000002</v>
      </c>
      <c r="W208" s="61">
        <v>449</v>
      </c>
      <c r="X208" s="89">
        <v>0.29194880000000001</v>
      </c>
      <c r="Y208" s="61">
        <v>449</v>
      </c>
      <c r="Z208" s="89">
        <v>0.45744743999999998</v>
      </c>
      <c r="AA208" s="61">
        <v>449</v>
      </c>
      <c r="AB208" s="89">
        <v>0.20429786999999999</v>
      </c>
      <c r="AC208" s="61">
        <v>449</v>
      </c>
    </row>
    <row r="209" spans="22:29">
      <c r="V209" s="89">
        <v>0.39673233000000002</v>
      </c>
      <c r="W209" s="61">
        <v>450</v>
      </c>
      <c r="X209" s="89">
        <v>0.2949331</v>
      </c>
      <c r="Y209" s="61">
        <v>450</v>
      </c>
      <c r="Z209" s="89">
        <v>0.46258463999999999</v>
      </c>
      <c r="AA209" s="61">
        <v>450</v>
      </c>
      <c r="AB209" s="89">
        <v>0.20999889999999999</v>
      </c>
      <c r="AC209" s="61">
        <v>450</v>
      </c>
    </row>
    <row r="210" spans="22:29">
      <c r="V210" s="89">
        <v>0.40035298000000002</v>
      </c>
      <c r="W210" s="61">
        <v>451</v>
      </c>
      <c r="X210" s="89">
        <v>0.29791742999999998</v>
      </c>
      <c r="Y210" s="61">
        <v>451</v>
      </c>
      <c r="Z210" s="89">
        <v>0.46772182000000001</v>
      </c>
      <c r="AA210" s="61">
        <v>451</v>
      </c>
      <c r="AB210" s="89">
        <v>0.21578172000000001</v>
      </c>
      <c r="AC210" s="61">
        <v>451</v>
      </c>
    </row>
    <row r="211" spans="22:29">
      <c r="V211" s="89">
        <v>0.40397364000000002</v>
      </c>
      <c r="W211" s="61">
        <v>452</v>
      </c>
      <c r="X211" s="89">
        <v>0.30090173999999997</v>
      </c>
      <c r="Y211" s="61">
        <v>452</v>
      </c>
      <c r="Z211" s="89">
        <v>0.47285899999999997</v>
      </c>
      <c r="AA211" s="61">
        <v>452</v>
      </c>
      <c r="AB211" s="89">
        <v>0.22164576999999999</v>
      </c>
      <c r="AC211" s="61">
        <v>452</v>
      </c>
    </row>
    <row r="212" spans="22:29">
      <c r="V212" s="89">
        <v>0.40759430000000002</v>
      </c>
      <c r="W212" s="61">
        <v>453</v>
      </c>
      <c r="X212" s="89">
        <v>0.30388602999999997</v>
      </c>
      <c r="Y212" s="61">
        <v>453</v>
      </c>
      <c r="Z212" s="89">
        <v>0.47812222999999998</v>
      </c>
      <c r="AA212" s="61">
        <v>453</v>
      </c>
      <c r="AB212" s="89">
        <v>0.22759057999999999</v>
      </c>
      <c r="AC212" s="61">
        <v>453</v>
      </c>
    </row>
    <row r="213" spans="22:29">
      <c r="V213" s="89">
        <v>0.41121495000000002</v>
      </c>
      <c r="W213" s="61">
        <v>454</v>
      </c>
      <c r="X213" s="89">
        <v>0.30698871999999999</v>
      </c>
      <c r="Y213" s="61">
        <v>454</v>
      </c>
      <c r="Z213" s="89">
        <v>0.48374729999999999</v>
      </c>
      <c r="AA213" s="61">
        <v>454</v>
      </c>
      <c r="AB213" s="89">
        <v>0.23361567</v>
      </c>
      <c r="AC213" s="61">
        <v>454</v>
      </c>
    </row>
    <row r="214" spans="22:29">
      <c r="V214" s="89">
        <v>0.41483560000000003</v>
      </c>
      <c r="W214" s="61">
        <v>455</v>
      </c>
      <c r="X214" s="89">
        <v>0.31011137</v>
      </c>
      <c r="Y214" s="61">
        <v>455</v>
      </c>
      <c r="Z214" s="89">
        <v>0.48937234000000002</v>
      </c>
      <c r="AA214" s="61">
        <v>455</v>
      </c>
      <c r="AB214" s="89">
        <v>0.23972066</v>
      </c>
      <c r="AC214" s="61">
        <v>455</v>
      </c>
    </row>
    <row r="215" spans="22:29">
      <c r="V215" s="89">
        <v>0.41850349999999997</v>
      </c>
      <c r="W215" s="61">
        <v>456</v>
      </c>
      <c r="X215" s="89">
        <v>0.31323400000000001</v>
      </c>
      <c r="Y215" s="61">
        <v>456</v>
      </c>
      <c r="Z215" s="89">
        <v>0.49499739999999998</v>
      </c>
      <c r="AA215" s="61">
        <v>456</v>
      </c>
      <c r="AB215" s="89">
        <v>0.24590518</v>
      </c>
      <c r="AC215" s="61">
        <v>456</v>
      </c>
    </row>
    <row r="216" spans="22:29">
      <c r="V216" s="89">
        <v>0.42226701999999999</v>
      </c>
      <c r="W216" s="61">
        <v>457</v>
      </c>
      <c r="X216" s="89">
        <v>0.31635663000000003</v>
      </c>
      <c r="Y216" s="61">
        <v>457</v>
      </c>
      <c r="Z216" s="89">
        <v>0.50062249999999997</v>
      </c>
      <c r="AA216" s="61">
        <v>457</v>
      </c>
      <c r="AB216" s="89">
        <v>0.25216892000000002</v>
      </c>
      <c r="AC216" s="61">
        <v>457</v>
      </c>
    </row>
    <row r="217" spans="22:29">
      <c r="V217" s="89">
        <v>0.42603055000000001</v>
      </c>
      <c r="W217" s="61">
        <v>458</v>
      </c>
      <c r="X217" s="89">
        <v>0.31947925999999999</v>
      </c>
      <c r="Y217" s="61">
        <v>458</v>
      </c>
      <c r="Z217" s="89">
        <v>0.50624760000000002</v>
      </c>
      <c r="AA217" s="61">
        <v>458</v>
      </c>
      <c r="AB217" s="89">
        <v>0.25851170000000001</v>
      </c>
      <c r="AC217" s="61">
        <v>458</v>
      </c>
    </row>
    <row r="218" spans="22:29">
      <c r="V218" s="89">
        <v>0.42979406999999997</v>
      </c>
      <c r="W218" s="61">
        <v>459</v>
      </c>
      <c r="X218" s="89">
        <v>0.3226019</v>
      </c>
      <c r="Y218" s="61">
        <v>459</v>
      </c>
      <c r="Z218" s="89">
        <v>0.51187265000000004</v>
      </c>
      <c r="AA218" s="61">
        <v>459</v>
      </c>
      <c r="AB218" s="89">
        <v>0.26493323000000002</v>
      </c>
      <c r="AC218" s="61">
        <v>459</v>
      </c>
    </row>
    <row r="219" spans="22:29">
      <c r="V219" s="89">
        <v>0.43355759999999999</v>
      </c>
      <c r="W219" s="61">
        <v>460</v>
      </c>
      <c r="X219" s="89">
        <v>0.32572454000000001</v>
      </c>
      <c r="Y219" s="61">
        <v>460</v>
      </c>
      <c r="Z219" s="89">
        <v>0.51749765999999997</v>
      </c>
      <c r="AA219" s="61">
        <v>460</v>
      </c>
      <c r="AB219" s="89">
        <v>0.27143339999999999</v>
      </c>
      <c r="AC219" s="61">
        <v>460</v>
      </c>
    </row>
    <row r="220" spans="22:29">
      <c r="V220" s="89">
        <v>0.43732113</v>
      </c>
      <c r="W220" s="61">
        <v>461</v>
      </c>
      <c r="X220" s="89">
        <v>0.32884717000000002</v>
      </c>
      <c r="Y220" s="61">
        <v>461</v>
      </c>
      <c r="Z220" s="89">
        <v>0.52312270000000005</v>
      </c>
      <c r="AA220" s="61">
        <v>461</v>
      </c>
      <c r="AB220" s="89">
        <v>0.27801219999999999</v>
      </c>
      <c r="AC220" s="61">
        <v>461</v>
      </c>
    </row>
    <row r="221" spans="22:29">
      <c r="V221" s="89">
        <v>0.44116250000000001</v>
      </c>
      <c r="W221" s="61">
        <v>462</v>
      </c>
      <c r="X221" s="89">
        <v>0.33196979999999998</v>
      </c>
      <c r="Y221" s="61">
        <v>462</v>
      </c>
      <c r="Z221" s="89">
        <v>0.52874779999999999</v>
      </c>
      <c r="AA221" s="61">
        <v>462</v>
      </c>
      <c r="AB221" s="89">
        <v>0.28466950000000002</v>
      </c>
      <c r="AC221" s="61">
        <v>462</v>
      </c>
    </row>
    <row r="222" spans="22:29">
      <c r="V222" s="89">
        <v>0.44502216999999999</v>
      </c>
      <c r="W222" s="61">
        <v>463</v>
      </c>
      <c r="X222" s="89">
        <v>0.33520749999999999</v>
      </c>
      <c r="Y222" s="61">
        <v>463</v>
      </c>
      <c r="Z222" s="89">
        <v>0.53437287</v>
      </c>
      <c r="AA222" s="61">
        <v>463</v>
      </c>
      <c r="AB222" s="89">
        <v>0.29140539999999998</v>
      </c>
      <c r="AC222" s="61">
        <v>463</v>
      </c>
    </row>
    <row r="223" spans="22:29">
      <c r="V223" s="89">
        <v>0.44888182999999998</v>
      </c>
      <c r="W223" s="61">
        <v>464</v>
      </c>
      <c r="X223" s="89">
        <v>0.33846456000000003</v>
      </c>
      <c r="Y223" s="61">
        <v>464</v>
      </c>
      <c r="Z223" s="89">
        <v>0.53999794000000001</v>
      </c>
      <c r="AA223" s="61">
        <v>464</v>
      </c>
      <c r="AB223" s="89">
        <v>0.29822004000000002</v>
      </c>
      <c r="AC223" s="61">
        <v>464</v>
      </c>
    </row>
    <row r="224" spans="22:29">
      <c r="V224" s="89">
        <v>0.45274150000000002</v>
      </c>
      <c r="W224" s="61">
        <v>465</v>
      </c>
      <c r="X224" s="89">
        <v>0.34172164999999999</v>
      </c>
      <c r="Y224" s="61">
        <v>465</v>
      </c>
      <c r="Z224" s="89">
        <v>0.54614770000000001</v>
      </c>
      <c r="AA224" s="61">
        <v>465</v>
      </c>
      <c r="AB224" s="89">
        <v>0.30511349999999998</v>
      </c>
      <c r="AC224" s="61">
        <v>465</v>
      </c>
    </row>
    <row r="225" spans="22:29">
      <c r="V225" s="89">
        <v>0.45660117</v>
      </c>
      <c r="W225" s="61">
        <v>466</v>
      </c>
      <c r="X225" s="89">
        <v>0.34497872000000002</v>
      </c>
      <c r="Y225" s="61">
        <v>466</v>
      </c>
      <c r="Z225" s="89">
        <v>0.55239190000000005</v>
      </c>
      <c r="AA225" s="61">
        <v>466</v>
      </c>
      <c r="AB225" s="89">
        <v>0.31208607999999999</v>
      </c>
      <c r="AC225" s="61">
        <v>466</v>
      </c>
    </row>
    <row r="226" spans="22:29">
      <c r="V226" s="89">
        <v>0.4605032</v>
      </c>
      <c r="W226" s="61">
        <v>467</v>
      </c>
      <c r="X226" s="89">
        <v>0.34823579999999998</v>
      </c>
      <c r="Y226" s="61">
        <v>467</v>
      </c>
      <c r="Z226" s="89">
        <v>0.55863600000000002</v>
      </c>
      <c r="AA226" s="61">
        <v>467</v>
      </c>
      <c r="AB226" s="89">
        <v>0.31913802000000002</v>
      </c>
      <c r="AC226" s="61">
        <v>467</v>
      </c>
    </row>
    <row r="227" spans="22:29">
      <c r="V227" s="89">
        <v>0.46450973000000001</v>
      </c>
      <c r="W227" s="61">
        <v>468</v>
      </c>
      <c r="X227" s="89">
        <v>0.35149285000000002</v>
      </c>
      <c r="Y227" s="61">
        <v>468</v>
      </c>
      <c r="Z227" s="89">
        <v>0.56488013000000004</v>
      </c>
      <c r="AA227" s="61">
        <v>468</v>
      </c>
      <c r="AB227" s="89">
        <v>0.3262697</v>
      </c>
      <c r="AC227" s="61">
        <v>468</v>
      </c>
    </row>
    <row r="228" spans="22:29">
      <c r="V228" s="89">
        <v>0.4685163</v>
      </c>
      <c r="W228" s="61">
        <v>469</v>
      </c>
      <c r="X228" s="89">
        <v>0.35474992</v>
      </c>
      <c r="Y228" s="61">
        <v>469</v>
      </c>
      <c r="Z228" s="89">
        <v>0.57112430000000003</v>
      </c>
      <c r="AA228" s="61">
        <v>469</v>
      </c>
      <c r="AB228" s="89">
        <v>0.33348149999999999</v>
      </c>
      <c r="AC228" s="61">
        <v>469</v>
      </c>
    </row>
    <row r="229" spans="22:29">
      <c r="V229" s="89">
        <v>0.47252283</v>
      </c>
      <c r="W229" s="61">
        <v>470</v>
      </c>
      <c r="X229" s="89">
        <v>0.35800697999999997</v>
      </c>
      <c r="Y229" s="61">
        <v>470</v>
      </c>
      <c r="Z229" s="89">
        <v>0.57736843999999998</v>
      </c>
      <c r="AA229" s="61">
        <v>470</v>
      </c>
      <c r="AB229" s="89">
        <v>0.34077396999999998</v>
      </c>
      <c r="AC229" s="61">
        <v>470</v>
      </c>
    </row>
    <row r="230" spans="22:29">
      <c r="V230" s="89">
        <v>0.47652939999999999</v>
      </c>
      <c r="W230" s="61">
        <v>471</v>
      </c>
      <c r="X230" s="89">
        <v>0.36126407999999999</v>
      </c>
      <c r="Y230" s="61">
        <v>471</v>
      </c>
      <c r="Z230" s="89">
        <v>0.58361255999999995</v>
      </c>
      <c r="AA230" s="61">
        <v>471</v>
      </c>
      <c r="AB230" s="89">
        <v>0.34814766000000003</v>
      </c>
      <c r="AC230" s="61">
        <v>471</v>
      </c>
    </row>
    <row r="231" spans="22:29">
      <c r="V231" s="89">
        <v>0.48053594999999999</v>
      </c>
      <c r="W231" s="61">
        <v>472</v>
      </c>
      <c r="X231" s="89">
        <v>0.36463329999999999</v>
      </c>
      <c r="Y231" s="61">
        <v>472</v>
      </c>
      <c r="Z231" s="89">
        <v>0.58985673999999999</v>
      </c>
      <c r="AA231" s="61">
        <v>472</v>
      </c>
      <c r="AB231" s="89">
        <v>0.35560320000000001</v>
      </c>
      <c r="AC231" s="61">
        <v>472</v>
      </c>
    </row>
    <row r="232" spans="22:29">
      <c r="V232" s="89">
        <v>0.48454249999999999</v>
      </c>
      <c r="W232" s="61">
        <v>473</v>
      </c>
      <c r="X232" s="89">
        <v>0.36802142999999998</v>
      </c>
      <c r="Y232" s="61">
        <v>473</v>
      </c>
      <c r="Z232" s="89">
        <v>0.59610087</v>
      </c>
      <c r="AA232" s="61">
        <v>473</v>
      </c>
      <c r="AB232" s="89">
        <v>0.36314123999999998</v>
      </c>
      <c r="AC232" s="61">
        <v>473</v>
      </c>
    </row>
    <row r="233" spans="22:29">
      <c r="V233" s="89">
        <v>0.48854904999999998</v>
      </c>
      <c r="W233" s="61">
        <v>474</v>
      </c>
      <c r="X233" s="89">
        <v>0.37140957000000002</v>
      </c>
      <c r="Y233" s="61">
        <v>474</v>
      </c>
      <c r="Z233" s="89">
        <v>0.60234500000000002</v>
      </c>
      <c r="AA233" s="61">
        <v>474</v>
      </c>
      <c r="AB233" s="89">
        <v>0.37076261999999999</v>
      </c>
      <c r="AC233" s="61">
        <v>474</v>
      </c>
    </row>
    <row r="234" spans="22:29">
      <c r="V234" s="89">
        <v>0.49255559999999998</v>
      </c>
      <c r="W234" s="61">
        <v>475</v>
      </c>
      <c r="X234" s="89">
        <v>0.37479767000000003</v>
      </c>
      <c r="Y234" s="61">
        <v>475</v>
      </c>
      <c r="Z234" s="89">
        <v>0.60858920000000005</v>
      </c>
      <c r="AA234" s="61">
        <v>475</v>
      </c>
      <c r="AB234" s="89">
        <v>0.37846816</v>
      </c>
      <c r="AC234" s="61">
        <v>475</v>
      </c>
    </row>
    <row r="235" spans="22:29">
      <c r="V235" s="89">
        <v>0.49656214999999998</v>
      </c>
      <c r="W235" s="61">
        <v>476</v>
      </c>
      <c r="X235" s="89">
        <v>0.37818580000000002</v>
      </c>
      <c r="Y235" s="61">
        <v>476</v>
      </c>
      <c r="Z235" s="89">
        <v>0.61508410000000002</v>
      </c>
      <c r="AA235" s="61">
        <v>476</v>
      </c>
      <c r="AB235" s="89">
        <v>0.38625880000000001</v>
      </c>
      <c r="AC235" s="61">
        <v>476</v>
      </c>
    </row>
    <row r="236" spans="22:29">
      <c r="V236" s="89">
        <v>0.50056869999999998</v>
      </c>
      <c r="W236" s="61">
        <v>477</v>
      </c>
      <c r="X236" s="89">
        <v>0.38157395</v>
      </c>
      <c r="Y236" s="61">
        <v>477</v>
      </c>
      <c r="Z236" s="89">
        <v>0.62190239999999997</v>
      </c>
      <c r="AA236" s="61">
        <v>477</v>
      </c>
      <c r="AB236" s="89">
        <v>0.39413556</v>
      </c>
      <c r="AC236" s="61">
        <v>477</v>
      </c>
    </row>
    <row r="237" spans="22:29">
      <c r="V237" s="89">
        <v>0.50462525999999996</v>
      </c>
      <c r="W237" s="61">
        <v>478</v>
      </c>
      <c r="X237" s="89">
        <v>0.38496205</v>
      </c>
      <c r="Y237" s="61">
        <v>478</v>
      </c>
      <c r="Z237" s="89">
        <v>0.62872075999999999</v>
      </c>
      <c r="AA237" s="61">
        <v>478</v>
      </c>
      <c r="AB237" s="89">
        <v>0.40209951999999999</v>
      </c>
      <c r="AC237" s="61">
        <v>478</v>
      </c>
    </row>
    <row r="238" spans="22:29">
      <c r="V238" s="89">
        <v>0.50883520000000004</v>
      </c>
      <c r="W238" s="61">
        <v>479</v>
      </c>
      <c r="X238" s="89">
        <v>0.38835019999999998</v>
      </c>
      <c r="Y238" s="61">
        <v>479</v>
      </c>
      <c r="Z238" s="89">
        <v>0.63553910000000002</v>
      </c>
      <c r="AA238" s="61">
        <v>479</v>
      </c>
      <c r="AB238" s="89">
        <v>0.41015183999999999</v>
      </c>
      <c r="AC238" s="61">
        <v>479</v>
      </c>
    </row>
    <row r="239" spans="22:29">
      <c r="V239" s="89">
        <v>0.51304510000000003</v>
      </c>
      <c r="W239" s="61">
        <v>480</v>
      </c>
      <c r="X239" s="89">
        <v>0.39173833000000002</v>
      </c>
      <c r="Y239" s="61">
        <v>480</v>
      </c>
      <c r="Z239" s="89">
        <v>0.64235739999999997</v>
      </c>
      <c r="AA239" s="61">
        <v>480</v>
      </c>
      <c r="AB239" s="89">
        <v>0.41829379999999999</v>
      </c>
      <c r="AC239" s="61">
        <v>480</v>
      </c>
    </row>
    <row r="240" spans="22:29">
      <c r="V240" s="89">
        <v>0.51725500000000002</v>
      </c>
      <c r="W240" s="61">
        <v>481</v>
      </c>
      <c r="X240" s="89">
        <v>0.39520919999999998</v>
      </c>
      <c r="Y240" s="61">
        <v>481</v>
      </c>
      <c r="Z240" s="89">
        <v>0.64917575999999999</v>
      </c>
      <c r="AA240" s="61">
        <v>481</v>
      </c>
      <c r="AB240" s="89">
        <v>0.42652676</v>
      </c>
      <c r="AC240" s="61">
        <v>481</v>
      </c>
    </row>
    <row r="241" spans="22:29">
      <c r="V241" s="89">
        <v>0.52146490000000001</v>
      </c>
      <c r="W241" s="61">
        <v>482</v>
      </c>
      <c r="X241" s="89">
        <v>0.39869399999999999</v>
      </c>
      <c r="Y241" s="61">
        <v>482</v>
      </c>
      <c r="Z241" s="89">
        <v>0.65632970000000002</v>
      </c>
      <c r="AA241" s="61">
        <v>482</v>
      </c>
      <c r="AB241" s="89">
        <v>0.43485214999999999</v>
      </c>
      <c r="AC241" s="61">
        <v>482</v>
      </c>
    </row>
    <row r="242" spans="22:29">
      <c r="V242" s="89">
        <v>0.5256748</v>
      </c>
      <c r="W242" s="61">
        <v>483</v>
      </c>
      <c r="X242" s="89">
        <v>0.4021788</v>
      </c>
      <c r="Y242" s="61">
        <v>483</v>
      </c>
      <c r="Z242" s="89">
        <v>0.66360693999999998</v>
      </c>
      <c r="AA242" s="61">
        <v>483</v>
      </c>
      <c r="AB242" s="89">
        <v>0.44327151999999997</v>
      </c>
      <c r="AC242" s="61">
        <v>483</v>
      </c>
    </row>
    <row r="243" spans="22:29">
      <c r="V243" s="89">
        <v>0.52988469999999999</v>
      </c>
      <c r="W243" s="61">
        <v>484</v>
      </c>
      <c r="X243" s="89">
        <v>0.40566360000000001</v>
      </c>
      <c r="Y243" s="61">
        <v>484</v>
      </c>
      <c r="Z243" s="89">
        <v>0.67088413000000002</v>
      </c>
      <c r="AA243" s="61">
        <v>484</v>
      </c>
      <c r="AB243" s="89">
        <v>0.45178655000000001</v>
      </c>
      <c r="AC243" s="61">
        <v>484</v>
      </c>
    </row>
    <row r="244" spans="22:29">
      <c r="V244" s="89">
        <v>0.53409463000000001</v>
      </c>
      <c r="W244" s="61">
        <v>485</v>
      </c>
      <c r="X244" s="89">
        <v>0.40917115999999998</v>
      </c>
      <c r="Y244" s="61">
        <v>485</v>
      </c>
      <c r="Z244" s="89">
        <v>0.67816140000000003</v>
      </c>
      <c r="AA244" s="61">
        <v>485</v>
      </c>
      <c r="AB244" s="89">
        <v>0.46039897000000002</v>
      </c>
      <c r="AC244" s="61">
        <v>485</v>
      </c>
    </row>
    <row r="245" spans="22:29">
      <c r="V245" s="89">
        <v>0.53830449999999996</v>
      </c>
      <c r="W245" s="61">
        <v>486</v>
      </c>
      <c r="X245" s="89">
        <v>0.41271987999999998</v>
      </c>
      <c r="Y245" s="61">
        <v>486</v>
      </c>
      <c r="Z245" s="89">
        <v>0.68543863000000005</v>
      </c>
      <c r="AA245" s="61">
        <v>486</v>
      </c>
      <c r="AB245" s="89">
        <v>0.46911064000000002</v>
      </c>
      <c r="AC245" s="61">
        <v>486</v>
      </c>
    </row>
    <row r="246" spans="22:29">
      <c r="V246" s="89">
        <v>0.54251439999999995</v>
      </c>
      <c r="W246" s="61">
        <v>487</v>
      </c>
      <c r="X246" s="89">
        <v>0.41626861999999998</v>
      </c>
      <c r="Y246" s="61">
        <v>487</v>
      </c>
      <c r="Z246" s="89">
        <v>0.69272590000000001</v>
      </c>
      <c r="AA246" s="61">
        <v>487</v>
      </c>
      <c r="AB246" s="89">
        <v>0.47792353999999998</v>
      </c>
      <c r="AC246" s="61">
        <v>487</v>
      </c>
    </row>
    <row r="247" spans="22:29">
      <c r="V247" s="89">
        <v>0.54672430000000005</v>
      </c>
      <c r="W247" s="61">
        <v>488</v>
      </c>
      <c r="X247" s="89">
        <v>0.41981732999999999</v>
      </c>
      <c r="Y247" s="61">
        <v>488</v>
      </c>
      <c r="Z247" s="89">
        <v>0.70039119999999999</v>
      </c>
      <c r="AA247" s="61">
        <v>488</v>
      </c>
      <c r="AB247" s="89">
        <v>0.48683982999999997</v>
      </c>
      <c r="AC247" s="61">
        <v>488</v>
      </c>
    </row>
    <row r="248" spans="22:29">
      <c r="V248" s="89">
        <v>0.55097865999999995</v>
      </c>
      <c r="W248" s="61">
        <v>489</v>
      </c>
      <c r="X248" s="89">
        <v>0.42336606999999998</v>
      </c>
      <c r="Y248" s="61">
        <v>489</v>
      </c>
      <c r="Z248" s="89">
        <v>0.70805644999999995</v>
      </c>
      <c r="AA248" s="61">
        <v>489</v>
      </c>
      <c r="AB248" s="89">
        <v>0.49586168000000003</v>
      </c>
      <c r="AC248" s="61">
        <v>489</v>
      </c>
    </row>
    <row r="249" spans="22:29">
      <c r="V249" s="89">
        <v>0.55540687</v>
      </c>
      <c r="W249" s="61">
        <v>490</v>
      </c>
      <c r="X249" s="89">
        <v>0.42699670000000001</v>
      </c>
      <c r="Y249" s="61">
        <v>490</v>
      </c>
      <c r="Z249" s="89">
        <v>0.71577120000000005</v>
      </c>
      <c r="AA249" s="61">
        <v>490</v>
      </c>
      <c r="AB249" s="89">
        <v>0.50499150000000004</v>
      </c>
      <c r="AC249" s="61">
        <v>490</v>
      </c>
    </row>
    <row r="250" spans="22:29">
      <c r="V250" s="89">
        <v>0.55983514000000001</v>
      </c>
      <c r="W250" s="61">
        <v>491</v>
      </c>
      <c r="X250" s="89">
        <v>0.4306411</v>
      </c>
      <c r="Y250" s="61">
        <v>491</v>
      </c>
      <c r="Z250" s="89">
        <v>0.72372230000000004</v>
      </c>
      <c r="AA250" s="61">
        <v>491</v>
      </c>
      <c r="AB250" s="89">
        <v>0.51423174000000005</v>
      </c>
      <c r="AC250" s="61">
        <v>491</v>
      </c>
    </row>
    <row r="251" spans="22:29">
      <c r="V251" s="89">
        <v>0.56426334</v>
      </c>
      <c r="W251" s="61">
        <v>492</v>
      </c>
      <c r="X251" s="89">
        <v>0.43428555000000002</v>
      </c>
      <c r="Y251" s="61">
        <v>492</v>
      </c>
      <c r="Z251" s="89">
        <v>0.73167336000000005</v>
      </c>
      <c r="AA251" s="61">
        <v>492</v>
      </c>
      <c r="AB251" s="89">
        <v>0.52358514</v>
      </c>
      <c r="AC251" s="61">
        <v>492</v>
      </c>
    </row>
    <row r="252" spans="22:29">
      <c r="V252" s="89">
        <v>0.56869155000000005</v>
      </c>
      <c r="W252" s="61">
        <v>493</v>
      </c>
      <c r="X252" s="89">
        <v>0.43792999999999999</v>
      </c>
      <c r="Y252" s="61">
        <v>493</v>
      </c>
      <c r="Z252" s="89">
        <v>0.73977714999999999</v>
      </c>
      <c r="AA252" s="61">
        <v>493</v>
      </c>
      <c r="AB252" s="89">
        <v>0.53305449999999999</v>
      </c>
      <c r="AC252" s="61">
        <v>493</v>
      </c>
    </row>
    <row r="253" spans="22:29">
      <c r="V253" s="89">
        <v>0.57311975999999998</v>
      </c>
      <c r="W253" s="61">
        <v>494</v>
      </c>
      <c r="X253" s="89">
        <v>0.44157442000000002</v>
      </c>
      <c r="Y253" s="61">
        <v>494</v>
      </c>
      <c r="Z253" s="89">
        <v>0.74820450000000005</v>
      </c>
      <c r="AA253" s="61">
        <v>494</v>
      </c>
      <c r="AB253" s="89">
        <v>0.54264279999999998</v>
      </c>
      <c r="AC253" s="61">
        <v>494</v>
      </c>
    </row>
    <row r="254" spans="22:29">
      <c r="V254" s="89">
        <v>0.57754797000000002</v>
      </c>
      <c r="W254" s="61">
        <v>495</v>
      </c>
      <c r="X254" s="89">
        <v>0.44521885999999999</v>
      </c>
      <c r="Y254" s="61">
        <v>495</v>
      </c>
      <c r="Z254" s="89">
        <v>0.75663199999999997</v>
      </c>
      <c r="AA254" s="61">
        <v>495</v>
      </c>
      <c r="AB254" s="89">
        <v>0.55235319999999999</v>
      </c>
      <c r="AC254" s="61">
        <v>495</v>
      </c>
    </row>
    <row r="255" spans="22:29">
      <c r="V255" s="89">
        <v>0.58197620000000005</v>
      </c>
      <c r="W255" s="61">
        <v>496</v>
      </c>
      <c r="X255" s="89">
        <v>0.44886330000000002</v>
      </c>
      <c r="Y255" s="61">
        <v>496</v>
      </c>
      <c r="Z255" s="89">
        <v>0.76505935000000003</v>
      </c>
      <c r="AA255" s="61">
        <v>496</v>
      </c>
      <c r="AB255" s="89">
        <v>0.56218904000000003</v>
      </c>
      <c r="AC255" s="61">
        <v>496</v>
      </c>
    </row>
    <row r="256" spans="22:29">
      <c r="V256" s="89">
        <v>0.58640440000000005</v>
      </c>
      <c r="W256" s="61">
        <v>497</v>
      </c>
      <c r="X256" s="89">
        <v>0.45250773</v>
      </c>
      <c r="Y256" s="61">
        <v>497</v>
      </c>
      <c r="Z256" s="89">
        <v>0.77348673000000001</v>
      </c>
      <c r="AA256" s="61">
        <v>497</v>
      </c>
      <c r="AB256" s="89">
        <v>0.57215389999999999</v>
      </c>
      <c r="AC256" s="61">
        <v>497</v>
      </c>
    </row>
    <row r="257" spans="22:29">
      <c r="V257" s="89">
        <v>0.59083260000000004</v>
      </c>
      <c r="W257" s="61">
        <v>498</v>
      </c>
      <c r="X257" s="89">
        <v>0.45615213999999998</v>
      </c>
      <c r="Y257" s="61">
        <v>498</v>
      </c>
      <c r="Z257" s="89">
        <v>0.78191409999999995</v>
      </c>
      <c r="AA257" s="61">
        <v>498</v>
      </c>
      <c r="AB257" s="89">
        <v>0.58225159999999998</v>
      </c>
      <c r="AC257" s="61">
        <v>498</v>
      </c>
    </row>
    <row r="258" spans="22:29">
      <c r="V258" s="89">
        <v>0.59526086</v>
      </c>
      <c r="W258" s="61">
        <v>499</v>
      </c>
      <c r="X258" s="89">
        <v>0.4599067</v>
      </c>
      <c r="Y258" s="61">
        <v>499</v>
      </c>
      <c r="Z258" s="89">
        <v>0.79078996000000001</v>
      </c>
      <c r="AA258" s="61">
        <v>499</v>
      </c>
      <c r="AB258" s="89">
        <v>0.59248613999999999</v>
      </c>
      <c r="AC258" s="61">
        <v>499</v>
      </c>
    </row>
    <row r="259" spans="22:29">
      <c r="V259" s="89">
        <v>0.59972820000000004</v>
      </c>
      <c r="W259" s="61">
        <v>500</v>
      </c>
      <c r="X259" s="89">
        <v>0.46367979999999998</v>
      </c>
      <c r="Y259" s="61">
        <v>500</v>
      </c>
      <c r="Z259" s="89">
        <v>0.79994624999999997</v>
      </c>
      <c r="AA259" s="61">
        <v>500</v>
      </c>
      <c r="AB259" s="89">
        <v>0.60286169999999994</v>
      </c>
      <c r="AC259" s="61">
        <v>500</v>
      </c>
    </row>
    <row r="260" spans="22:29">
      <c r="V260" s="89">
        <v>0.60439944000000001</v>
      </c>
      <c r="W260" s="61">
        <v>501</v>
      </c>
      <c r="X260" s="89">
        <v>0.46745288000000002</v>
      </c>
      <c r="Y260" s="61">
        <v>501</v>
      </c>
      <c r="Z260" s="89">
        <v>0.80910254000000004</v>
      </c>
      <c r="AA260" s="61">
        <v>501</v>
      </c>
      <c r="AB260" s="89">
        <v>0.61338289999999995</v>
      </c>
      <c r="AC260" s="61">
        <v>501</v>
      </c>
    </row>
    <row r="261" spans="22:29">
      <c r="V261" s="89">
        <v>0.60907065999999999</v>
      </c>
      <c r="W261" s="61">
        <v>502</v>
      </c>
      <c r="X261" s="89">
        <v>0.47122597999999999</v>
      </c>
      <c r="Y261" s="61">
        <v>502</v>
      </c>
      <c r="Z261" s="89">
        <v>0.81825890000000001</v>
      </c>
      <c r="AA261" s="61">
        <v>502</v>
      </c>
      <c r="AB261" s="89">
        <v>0.62405440000000001</v>
      </c>
      <c r="AC261" s="61">
        <v>502</v>
      </c>
    </row>
    <row r="262" spans="22:29">
      <c r="V262" s="89">
        <v>0.61374189999999995</v>
      </c>
      <c r="W262" s="61">
        <v>503</v>
      </c>
      <c r="X262" s="89">
        <v>0.47499907000000002</v>
      </c>
      <c r="Y262" s="61">
        <v>503</v>
      </c>
      <c r="Z262" s="89">
        <v>0.82741516999999998</v>
      </c>
      <c r="AA262" s="61">
        <v>503</v>
      </c>
      <c r="AB262" s="89">
        <v>0.63488129999999998</v>
      </c>
      <c r="AC262" s="61">
        <v>503</v>
      </c>
    </row>
    <row r="263" spans="22:29">
      <c r="V263" s="89">
        <v>0.61841303000000003</v>
      </c>
      <c r="W263" s="61">
        <v>504</v>
      </c>
      <c r="X263" s="89">
        <v>0.47877216</v>
      </c>
      <c r="Y263" s="61">
        <v>504</v>
      </c>
      <c r="Z263" s="89">
        <v>0.83657150000000002</v>
      </c>
      <c r="AA263" s="61">
        <v>504</v>
      </c>
      <c r="AB263" s="89">
        <v>0.64586920000000003</v>
      </c>
      <c r="AC263" s="61">
        <v>504</v>
      </c>
    </row>
    <row r="264" spans="22:29">
      <c r="V264" s="89">
        <v>0.62308425000000001</v>
      </c>
      <c r="W264" s="61">
        <v>505</v>
      </c>
      <c r="X264" s="89">
        <v>0.48254525999999998</v>
      </c>
      <c r="Y264" s="61">
        <v>505</v>
      </c>
      <c r="Z264" s="89">
        <v>0.84641975000000003</v>
      </c>
      <c r="AA264" s="61">
        <v>505</v>
      </c>
      <c r="AB264" s="89">
        <v>0.65702366999999995</v>
      </c>
      <c r="AC264" s="61">
        <v>505</v>
      </c>
    </row>
    <row r="265" spans="22:29">
      <c r="V265" s="89">
        <v>0.62775546000000004</v>
      </c>
      <c r="W265" s="61">
        <v>506</v>
      </c>
      <c r="X265" s="89">
        <v>0.48631835000000001</v>
      </c>
      <c r="Y265" s="61">
        <v>506</v>
      </c>
      <c r="Z265" s="89">
        <v>0.8563366</v>
      </c>
      <c r="AA265" s="61">
        <v>506</v>
      </c>
      <c r="AB265" s="89">
        <v>0.66835093000000001</v>
      </c>
      <c r="AC265" s="61">
        <v>506</v>
      </c>
    </row>
    <row r="266" spans="22:29">
      <c r="V266" s="89">
        <v>0.63242670000000001</v>
      </c>
      <c r="W266" s="61">
        <v>507</v>
      </c>
      <c r="X266" s="89">
        <v>0.49009140000000001</v>
      </c>
      <c r="Y266" s="61">
        <v>507</v>
      </c>
      <c r="Z266" s="89">
        <v>0.86625344000000004</v>
      </c>
      <c r="AA266" s="61">
        <v>507</v>
      </c>
      <c r="AB266" s="89">
        <v>0.6798575</v>
      </c>
      <c r="AC266" s="61">
        <v>507</v>
      </c>
    </row>
    <row r="267" spans="22:29">
      <c r="V267" s="89">
        <v>0.63709784000000003</v>
      </c>
      <c r="W267" s="61">
        <v>508</v>
      </c>
      <c r="X267" s="89">
        <v>0.49397766999999998</v>
      </c>
      <c r="Y267" s="61">
        <v>508</v>
      </c>
      <c r="Z267" s="89">
        <v>0.87617034000000005</v>
      </c>
      <c r="AA267" s="61">
        <v>508</v>
      </c>
      <c r="AB267" s="89">
        <v>0.69155043000000005</v>
      </c>
      <c r="AC267" s="61">
        <v>508</v>
      </c>
    </row>
    <row r="268" spans="22:29">
      <c r="V268" s="89">
        <v>0.64176904999999995</v>
      </c>
      <c r="W268" s="61">
        <v>509</v>
      </c>
      <c r="X268" s="89">
        <v>0.49788293</v>
      </c>
      <c r="Y268" s="61">
        <v>509</v>
      </c>
      <c r="Z268" s="89">
        <v>0.88645333000000004</v>
      </c>
      <c r="AA268" s="61">
        <v>509</v>
      </c>
      <c r="AB268" s="89">
        <v>0.70343710000000004</v>
      </c>
      <c r="AC268" s="61">
        <v>509</v>
      </c>
    </row>
    <row r="269" spans="22:29">
      <c r="V269" s="89">
        <v>0.64644027000000004</v>
      </c>
      <c r="W269" s="61">
        <v>510</v>
      </c>
      <c r="X269" s="89">
        <v>0.50178820000000002</v>
      </c>
      <c r="Y269" s="61">
        <v>510</v>
      </c>
      <c r="Z269" s="89">
        <v>0.89714897000000005</v>
      </c>
      <c r="AA269" s="61">
        <v>510</v>
      </c>
      <c r="AB269" s="89">
        <v>0.71552545000000001</v>
      </c>
      <c r="AC269" s="61">
        <v>510</v>
      </c>
    </row>
    <row r="270" spans="22:29">
      <c r="V270" s="89">
        <v>0.65113589999999999</v>
      </c>
      <c r="W270" s="61">
        <v>511</v>
      </c>
      <c r="X270" s="89">
        <v>0.50569350000000002</v>
      </c>
      <c r="Y270" s="61">
        <v>511</v>
      </c>
      <c r="Z270" s="89">
        <v>0.9078446</v>
      </c>
      <c r="AA270" s="61">
        <v>511</v>
      </c>
      <c r="AB270" s="89">
        <v>0.72782402999999996</v>
      </c>
      <c r="AC270" s="61">
        <v>511</v>
      </c>
    </row>
    <row r="271" spans="22:29">
      <c r="V271" s="89">
        <v>0.65601235999999996</v>
      </c>
      <c r="W271" s="61">
        <v>512</v>
      </c>
      <c r="X271" s="89">
        <v>0.50959880000000002</v>
      </c>
      <c r="Y271" s="61">
        <v>512</v>
      </c>
      <c r="Z271" s="89">
        <v>0.91854029999999998</v>
      </c>
      <c r="AA271" s="61">
        <v>512</v>
      </c>
      <c r="AB271" s="89">
        <v>0.74034199999999994</v>
      </c>
      <c r="AC271" s="61">
        <v>512</v>
      </c>
    </row>
    <row r="272" spans="22:29">
      <c r="V272" s="89">
        <v>0.66088880000000005</v>
      </c>
      <c r="W272" s="61">
        <v>513</v>
      </c>
      <c r="X272" s="89">
        <v>0.51350410000000002</v>
      </c>
      <c r="Y272" s="61">
        <v>513</v>
      </c>
      <c r="Z272" s="89">
        <v>0.92925435000000001</v>
      </c>
      <c r="AA272" s="61">
        <v>513</v>
      </c>
      <c r="AB272" s="89">
        <v>0.75308909999999996</v>
      </c>
      <c r="AC272" s="61">
        <v>513</v>
      </c>
    </row>
    <row r="273" spans="22:29">
      <c r="V273" s="89">
        <v>0.6657653</v>
      </c>
      <c r="W273" s="61">
        <v>514</v>
      </c>
      <c r="X273" s="89">
        <v>0.51740940000000002</v>
      </c>
      <c r="Y273" s="61">
        <v>514</v>
      </c>
      <c r="Z273" s="89">
        <v>0.94055295000000005</v>
      </c>
      <c r="AA273" s="61">
        <v>514</v>
      </c>
      <c r="AB273" s="89">
        <v>0.76607579999999997</v>
      </c>
      <c r="AC273" s="61">
        <v>514</v>
      </c>
    </row>
    <row r="274" spans="22:29">
      <c r="V274" s="89">
        <v>0.67064170000000001</v>
      </c>
      <c r="W274" s="61">
        <v>515</v>
      </c>
      <c r="X274" s="89">
        <v>0.52131459999999996</v>
      </c>
      <c r="Y274" s="61">
        <v>515</v>
      </c>
      <c r="Z274" s="89">
        <v>0.95198435000000003</v>
      </c>
      <c r="AA274" s="61">
        <v>515</v>
      </c>
      <c r="AB274" s="89">
        <v>0.77931344999999996</v>
      </c>
      <c r="AC274" s="61">
        <v>515</v>
      </c>
    </row>
    <row r="275" spans="22:29">
      <c r="V275" s="89">
        <v>0.67551819999999996</v>
      </c>
      <c r="W275" s="61">
        <v>516</v>
      </c>
      <c r="X275" s="89">
        <v>0.52521989999999996</v>
      </c>
      <c r="Y275" s="61">
        <v>516</v>
      </c>
      <c r="Z275" s="89">
        <v>0.96364289999999997</v>
      </c>
      <c r="AA275" s="61">
        <v>516</v>
      </c>
      <c r="AB275" s="89">
        <v>0.79281409999999997</v>
      </c>
      <c r="AC275" s="61">
        <v>516</v>
      </c>
    </row>
    <row r="276" spans="22:29">
      <c r="V276" s="89">
        <v>0.6804867</v>
      </c>
      <c r="W276" s="61">
        <v>517</v>
      </c>
      <c r="X276" s="89">
        <v>0.5292441</v>
      </c>
      <c r="Y276" s="61">
        <v>517</v>
      </c>
      <c r="Z276" s="89">
        <v>0.97549229999999998</v>
      </c>
      <c r="AA276" s="61">
        <v>517</v>
      </c>
      <c r="AB276" s="89">
        <v>0.80659080000000005</v>
      </c>
      <c r="AC276" s="61">
        <v>517</v>
      </c>
    </row>
    <row r="277" spans="22:29">
      <c r="V277" s="89">
        <v>0.68551709999999999</v>
      </c>
      <c r="W277" s="61">
        <v>518</v>
      </c>
      <c r="X277" s="89">
        <v>0.53328836000000002</v>
      </c>
      <c r="Y277" s="61">
        <v>518</v>
      </c>
      <c r="Z277" s="89">
        <v>0.98762446999999998</v>
      </c>
      <c r="AA277" s="61">
        <v>518</v>
      </c>
      <c r="AB277" s="89">
        <v>0.82065772999999997</v>
      </c>
      <c r="AC277" s="61">
        <v>518</v>
      </c>
    </row>
    <row r="278" spans="22:29" ht="15" thickBot="1">
      <c r="V278" s="89">
        <v>0.69054747000000005</v>
      </c>
      <c r="W278" s="61">
        <v>519</v>
      </c>
      <c r="X278" s="89">
        <v>0.53733260000000005</v>
      </c>
      <c r="Y278" s="61">
        <v>519</v>
      </c>
      <c r="Z278" s="90">
        <v>1</v>
      </c>
      <c r="AA278" s="112">
        <v>519</v>
      </c>
      <c r="AB278" s="89">
        <v>0.8350301</v>
      </c>
      <c r="AC278" s="61">
        <v>519</v>
      </c>
    </row>
    <row r="279" spans="22:29">
      <c r="V279" s="89">
        <v>0.69557789999999997</v>
      </c>
      <c r="W279" s="61">
        <v>520</v>
      </c>
      <c r="X279" s="89">
        <v>0.54137679999999999</v>
      </c>
      <c r="Y279" s="61">
        <v>520</v>
      </c>
      <c r="AB279" s="89">
        <v>0.84972429999999999</v>
      </c>
      <c r="AC279" s="61">
        <v>520</v>
      </c>
    </row>
    <row r="280" spans="22:29">
      <c r="V280" s="89">
        <v>0.70060829999999996</v>
      </c>
      <c r="W280" s="61">
        <v>521</v>
      </c>
      <c r="X280" s="89">
        <v>0.54542106000000001</v>
      </c>
      <c r="Y280" s="61">
        <v>521</v>
      </c>
      <c r="AB280" s="89">
        <v>0.86475829999999998</v>
      </c>
      <c r="AC280" s="61">
        <v>521</v>
      </c>
    </row>
    <row r="281" spans="22:29">
      <c r="V281" s="89">
        <v>0.70565920000000004</v>
      </c>
      <c r="W281" s="61">
        <v>522</v>
      </c>
      <c r="X281" s="89">
        <v>0.54946530000000005</v>
      </c>
      <c r="Y281" s="61">
        <v>522</v>
      </c>
      <c r="AB281" s="89">
        <v>0.88015144999999995</v>
      </c>
      <c r="AC281" s="61">
        <v>522</v>
      </c>
    </row>
    <row r="282" spans="22:29">
      <c r="V282" s="89">
        <v>0.71095660000000005</v>
      </c>
      <c r="W282" s="61">
        <v>523</v>
      </c>
      <c r="X282" s="89">
        <v>0.55350953000000003</v>
      </c>
      <c r="Y282" s="61">
        <v>523</v>
      </c>
      <c r="AB282" s="89">
        <v>0.89592479999999997</v>
      </c>
      <c r="AC282" s="61">
        <v>523</v>
      </c>
    </row>
    <row r="283" spans="22:29">
      <c r="V283" s="89">
        <v>0.71625393999999998</v>
      </c>
      <c r="W283" s="61">
        <v>524</v>
      </c>
      <c r="X283" s="89">
        <v>0.55755376999999995</v>
      </c>
      <c r="Y283" s="61">
        <v>524</v>
      </c>
      <c r="AB283" s="89">
        <v>0.91210144999999998</v>
      </c>
      <c r="AC283" s="61">
        <v>524</v>
      </c>
    </row>
    <row r="284" spans="22:29">
      <c r="V284" s="89">
        <v>0.72155130000000001</v>
      </c>
      <c r="W284" s="61">
        <v>525</v>
      </c>
      <c r="X284" s="89">
        <v>0.56159800000000004</v>
      </c>
      <c r="Y284" s="61">
        <v>525</v>
      </c>
      <c r="AB284" s="89">
        <v>0.92870635000000001</v>
      </c>
      <c r="AC284" s="61">
        <v>525</v>
      </c>
    </row>
    <row r="285" spans="22:29">
      <c r="V285" s="89">
        <v>0.72684866000000004</v>
      </c>
      <c r="W285" s="61">
        <v>526</v>
      </c>
      <c r="X285" s="89">
        <v>0.56573689999999999</v>
      </c>
      <c r="Y285" s="61">
        <v>526</v>
      </c>
      <c r="AB285" s="89">
        <v>0.94576700000000002</v>
      </c>
      <c r="AC285" s="61">
        <v>526</v>
      </c>
    </row>
    <row r="286" spans="22:29">
      <c r="V286" s="89">
        <v>0.73214599999999996</v>
      </c>
      <c r="W286" s="61">
        <v>527</v>
      </c>
      <c r="X286" s="89">
        <v>0.5698917</v>
      </c>
      <c r="Y286" s="61">
        <v>527</v>
      </c>
      <c r="AB286" s="89">
        <v>0.96331359999999999</v>
      </c>
      <c r="AC286" s="61">
        <v>527</v>
      </c>
    </row>
    <row r="287" spans="22:29">
      <c r="V287" s="89">
        <v>0.73744339999999997</v>
      </c>
      <c r="W287" s="61">
        <v>528</v>
      </c>
      <c r="X287" s="89">
        <v>0.57404655000000004</v>
      </c>
      <c r="Y287" s="61">
        <v>528</v>
      </c>
      <c r="AB287" s="89">
        <v>0.98137909999999995</v>
      </c>
      <c r="AC287" s="61">
        <v>528</v>
      </c>
    </row>
    <row r="288" spans="22:29" ht="15" thickBot="1">
      <c r="V288" s="89">
        <v>0.74274074999999995</v>
      </c>
      <c r="W288" s="61">
        <v>529</v>
      </c>
      <c r="X288" s="89">
        <v>0.57820134999999995</v>
      </c>
      <c r="Y288" s="61">
        <v>529</v>
      </c>
      <c r="AB288" s="90">
        <v>1</v>
      </c>
      <c r="AC288" s="112">
        <v>529</v>
      </c>
    </row>
    <row r="289" spans="22:25">
      <c r="V289" s="89">
        <v>0.74803810000000004</v>
      </c>
      <c r="W289" s="61">
        <v>530</v>
      </c>
      <c r="X289" s="89">
        <v>0.58238409999999996</v>
      </c>
      <c r="Y289" s="61">
        <v>530</v>
      </c>
    </row>
    <row r="290" spans="22:25">
      <c r="V290" s="89">
        <v>0.75333550000000005</v>
      </c>
      <c r="W290" s="61">
        <v>531</v>
      </c>
      <c r="X290" s="89">
        <v>0.58661722999999999</v>
      </c>
      <c r="Y290" s="61">
        <v>531</v>
      </c>
    </row>
    <row r="291" spans="22:25">
      <c r="V291" s="89">
        <v>0.75863283999999997</v>
      </c>
      <c r="W291" s="61">
        <v>532</v>
      </c>
      <c r="X291" s="89">
        <v>0.59085034999999997</v>
      </c>
      <c r="Y291" s="61">
        <v>532</v>
      </c>
    </row>
    <row r="292" spans="22:25">
      <c r="V292" s="89">
        <v>0.76393900000000003</v>
      </c>
      <c r="W292" s="61">
        <v>533</v>
      </c>
      <c r="X292" s="89">
        <v>0.59508353000000003</v>
      </c>
      <c r="Y292" s="61">
        <v>533</v>
      </c>
    </row>
    <row r="293" spans="22:25">
      <c r="V293" s="89">
        <v>0.76949279999999998</v>
      </c>
      <c r="W293" s="61">
        <v>534</v>
      </c>
      <c r="X293" s="89">
        <v>0.59931665999999995</v>
      </c>
      <c r="Y293" s="61">
        <v>534</v>
      </c>
    </row>
    <row r="294" spans="22:25">
      <c r="V294" s="89">
        <v>0.77504664999999995</v>
      </c>
      <c r="W294" s="61">
        <v>535</v>
      </c>
      <c r="X294" s="89">
        <v>0.60365809999999998</v>
      </c>
      <c r="Y294" s="61">
        <v>535</v>
      </c>
    </row>
    <row r="295" spans="22:25">
      <c r="V295" s="89">
        <v>0.78063256000000003</v>
      </c>
      <c r="W295" s="61">
        <v>536</v>
      </c>
      <c r="X295" s="89">
        <v>0.60801773999999997</v>
      </c>
      <c r="Y295" s="61">
        <v>536</v>
      </c>
    </row>
    <row r="296" spans="22:25">
      <c r="V296" s="89">
        <v>0.78630370000000005</v>
      </c>
      <c r="W296" s="61">
        <v>537</v>
      </c>
      <c r="X296" s="89">
        <v>0.61237739999999996</v>
      </c>
      <c r="Y296" s="61">
        <v>537</v>
      </c>
    </row>
    <row r="297" spans="22:25">
      <c r="V297" s="89">
        <v>0.79197479999999998</v>
      </c>
      <c r="W297" s="61">
        <v>538</v>
      </c>
      <c r="X297" s="89">
        <v>0.61673707</v>
      </c>
      <c r="Y297" s="61">
        <v>538</v>
      </c>
    </row>
    <row r="298" spans="22:25">
      <c r="V298" s="89">
        <v>0.79774575999999997</v>
      </c>
      <c r="W298" s="61">
        <v>539</v>
      </c>
      <c r="X298" s="89">
        <v>0.62109669999999995</v>
      </c>
      <c r="Y298" s="61">
        <v>539</v>
      </c>
    </row>
    <row r="299" spans="22:25">
      <c r="V299" s="89">
        <v>0.80361146000000006</v>
      </c>
      <c r="W299" s="61">
        <v>540</v>
      </c>
      <c r="X299" s="89">
        <v>0.62545633</v>
      </c>
      <c r="Y299" s="61">
        <v>540</v>
      </c>
    </row>
    <row r="300" spans="22:25">
      <c r="V300" s="89">
        <v>0.80947709999999995</v>
      </c>
      <c r="W300" s="61">
        <v>541</v>
      </c>
      <c r="X300" s="89">
        <v>0.62981600000000004</v>
      </c>
      <c r="Y300" s="61">
        <v>541</v>
      </c>
    </row>
    <row r="301" spans="22:25">
      <c r="V301" s="89">
        <v>0.81534280000000003</v>
      </c>
      <c r="W301" s="61">
        <v>542</v>
      </c>
      <c r="X301" s="89">
        <v>0.63417566000000003</v>
      </c>
      <c r="Y301" s="61">
        <v>542</v>
      </c>
    </row>
    <row r="302" spans="22:25">
      <c r="V302" s="89">
        <v>0.82120850000000001</v>
      </c>
      <c r="W302" s="61">
        <v>543</v>
      </c>
      <c r="X302" s="89">
        <v>0.63853526000000005</v>
      </c>
      <c r="Y302" s="61">
        <v>543</v>
      </c>
    </row>
    <row r="303" spans="22:25">
      <c r="V303" s="89">
        <v>0.82707417000000005</v>
      </c>
      <c r="W303" s="61">
        <v>544</v>
      </c>
      <c r="X303" s="89">
        <v>0.64305586000000003</v>
      </c>
      <c r="Y303" s="61">
        <v>544</v>
      </c>
    </row>
    <row r="304" spans="22:25">
      <c r="V304" s="89">
        <v>0.83323466999999996</v>
      </c>
      <c r="W304" s="61">
        <v>545</v>
      </c>
      <c r="X304" s="89">
        <v>0.64760359999999995</v>
      </c>
      <c r="Y304" s="61">
        <v>545</v>
      </c>
    </row>
    <row r="305" spans="22:25">
      <c r="V305" s="89">
        <v>0.83939755000000005</v>
      </c>
      <c r="W305" s="61">
        <v>546</v>
      </c>
      <c r="X305" s="89">
        <v>0.65215129999999999</v>
      </c>
      <c r="Y305" s="61">
        <v>546</v>
      </c>
    </row>
    <row r="306" spans="22:25">
      <c r="V306" s="89">
        <v>0.84556043000000003</v>
      </c>
      <c r="W306" s="61">
        <v>547</v>
      </c>
      <c r="X306" s="89">
        <v>0.65669893999999995</v>
      </c>
      <c r="Y306" s="61">
        <v>547</v>
      </c>
    </row>
    <row r="307" spans="22:25">
      <c r="V307" s="89">
        <v>0.85172329999999996</v>
      </c>
      <c r="W307" s="61">
        <v>548</v>
      </c>
      <c r="X307" s="89">
        <v>0.66124665999999999</v>
      </c>
      <c r="Y307" s="61">
        <v>548</v>
      </c>
    </row>
    <row r="308" spans="22:25">
      <c r="V308" s="89">
        <v>0.85788620000000004</v>
      </c>
      <c r="W308" s="61">
        <v>549</v>
      </c>
      <c r="X308" s="89">
        <v>0.66579440000000001</v>
      </c>
      <c r="Y308" s="61">
        <v>549</v>
      </c>
    </row>
    <row r="309" spans="22:25">
      <c r="V309" s="89">
        <v>0.86421599999999998</v>
      </c>
      <c r="W309" s="61">
        <v>550</v>
      </c>
      <c r="X309" s="89">
        <v>0.67034210000000005</v>
      </c>
      <c r="Y309" s="61">
        <v>550</v>
      </c>
    </row>
    <row r="310" spans="22:25">
      <c r="V310" s="89">
        <v>0.87073339999999999</v>
      </c>
      <c r="W310" s="61">
        <v>551</v>
      </c>
      <c r="X310" s="89">
        <v>0.67488974000000002</v>
      </c>
      <c r="Y310" s="61">
        <v>551</v>
      </c>
    </row>
    <row r="311" spans="22:25">
      <c r="V311" s="89">
        <v>0.8772508</v>
      </c>
      <c r="W311" s="61">
        <v>552</v>
      </c>
      <c r="X311" s="89">
        <v>0.67943746000000005</v>
      </c>
      <c r="Y311" s="61">
        <v>552</v>
      </c>
    </row>
    <row r="312" spans="22:25">
      <c r="V312" s="89">
        <v>0.8837682</v>
      </c>
      <c r="W312" s="61">
        <v>553</v>
      </c>
      <c r="X312" s="89">
        <v>0.68409735000000005</v>
      </c>
      <c r="Y312" s="61">
        <v>553</v>
      </c>
    </row>
    <row r="313" spans="22:25">
      <c r="V313" s="89">
        <v>0.89028560000000001</v>
      </c>
      <c r="W313" s="61">
        <v>554</v>
      </c>
      <c r="X313" s="89">
        <v>0.68877613999999998</v>
      </c>
      <c r="Y313" s="61">
        <v>554</v>
      </c>
    </row>
    <row r="314" spans="22:25">
      <c r="V314" s="89">
        <v>0.89680300000000002</v>
      </c>
      <c r="W314" s="61">
        <v>555</v>
      </c>
      <c r="X314" s="89">
        <v>0.69348929999999998</v>
      </c>
      <c r="Y314" s="61">
        <v>555</v>
      </c>
    </row>
    <row r="315" spans="22:25">
      <c r="V315" s="89">
        <v>0.90372943999999999</v>
      </c>
      <c r="W315" s="61">
        <v>556</v>
      </c>
      <c r="X315" s="89">
        <v>0.69822490000000004</v>
      </c>
      <c r="Y315" s="61">
        <v>556</v>
      </c>
    </row>
    <row r="316" spans="22:25">
      <c r="V316" s="89">
        <v>0.91067750000000003</v>
      </c>
      <c r="W316" s="61">
        <v>557</v>
      </c>
      <c r="X316" s="89">
        <v>0.70299255999999999</v>
      </c>
      <c r="Y316" s="61">
        <v>557</v>
      </c>
    </row>
    <row r="317" spans="22:25">
      <c r="V317" s="89">
        <v>0.91762560000000004</v>
      </c>
      <c r="W317" s="61">
        <v>558</v>
      </c>
      <c r="X317" s="89">
        <v>0.70781844999999999</v>
      </c>
      <c r="Y317" s="61">
        <v>558</v>
      </c>
    </row>
    <row r="318" spans="22:25">
      <c r="V318" s="89">
        <v>0.92457365999999996</v>
      </c>
      <c r="W318" s="61">
        <v>559</v>
      </c>
      <c r="X318" s="89">
        <v>0.71264430000000001</v>
      </c>
      <c r="Y318" s="61">
        <v>559</v>
      </c>
    </row>
    <row r="319" spans="22:25">
      <c r="V319" s="89">
        <v>0.93152170000000001</v>
      </c>
      <c r="W319" s="61">
        <v>560</v>
      </c>
      <c r="X319" s="89">
        <v>0.7174701</v>
      </c>
      <c r="Y319" s="61">
        <v>560</v>
      </c>
    </row>
    <row r="320" spans="22:25">
      <c r="V320" s="89">
        <v>0.93862504000000002</v>
      </c>
      <c r="W320" s="61">
        <v>561</v>
      </c>
      <c r="X320" s="89">
        <v>0.72229600000000005</v>
      </c>
      <c r="Y320" s="61">
        <v>561</v>
      </c>
    </row>
    <row r="321" spans="22:25">
      <c r="V321" s="89">
        <v>0.94593525000000001</v>
      </c>
      <c r="W321" s="61">
        <v>562</v>
      </c>
      <c r="X321" s="89">
        <v>0.72723293</v>
      </c>
      <c r="Y321" s="61">
        <v>562</v>
      </c>
    </row>
    <row r="322" spans="22:25">
      <c r="V322" s="89">
        <v>0.95327200000000001</v>
      </c>
      <c r="W322" s="61">
        <v>563</v>
      </c>
      <c r="X322" s="89">
        <v>0.73218863999999995</v>
      </c>
      <c r="Y322" s="61">
        <v>563</v>
      </c>
    </row>
    <row r="323" spans="22:25">
      <c r="V323" s="89">
        <v>0.96082840000000003</v>
      </c>
      <c r="W323" s="61">
        <v>564</v>
      </c>
      <c r="X323" s="89">
        <v>0.73714435</v>
      </c>
      <c r="Y323" s="61">
        <v>564</v>
      </c>
    </row>
    <row r="324" spans="22:25">
      <c r="V324" s="89">
        <v>0.96838480000000005</v>
      </c>
      <c r="W324" s="61">
        <v>565</v>
      </c>
      <c r="X324" s="89">
        <v>0.74210005999999995</v>
      </c>
      <c r="Y324" s="61">
        <v>565</v>
      </c>
    </row>
    <row r="325" spans="22:25">
      <c r="V325" s="89">
        <v>0.97609115000000002</v>
      </c>
      <c r="W325" s="61">
        <v>566</v>
      </c>
      <c r="X325" s="89">
        <v>0.74710659999999995</v>
      </c>
      <c r="Y325" s="61">
        <v>566</v>
      </c>
    </row>
    <row r="326" spans="22:25">
      <c r="V326" s="89">
        <v>0.98393730000000001</v>
      </c>
      <c r="W326" s="61">
        <v>567</v>
      </c>
      <c r="X326" s="89">
        <v>0.75220525000000005</v>
      </c>
      <c r="Y326" s="61">
        <v>567</v>
      </c>
    </row>
    <row r="327" spans="22:25">
      <c r="V327" s="89">
        <v>0.99189579999999999</v>
      </c>
      <c r="W327" s="61">
        <v>568</v>
      </c>
      <c r="X327" s="89">
        <v>0.75730383000000001</v>
      </c>
      <c r="Y327" s="61">
        <v>568</v>
      </c>
    </row>
    <row r="328" spans="22:25" ht="15" thickBot="1">
      <c r="V328" s="90">
        <v>1</v>
      </c>
      <c r="W328" s="112">
        <v>569</v>
      </c>
      <c r="X328" s="89">
        <v>0.76240240000000004</v>
      </c>
      <c r="Y328" s="61">
        <v>569</v>
      </c>
    </row>
    <row r="329" spans="22:25">
      <c r="X329" s="89">
        <v>0.76750099999999999</v>
      </c>
      <c r="Y329" s="61">
        <v>570</v>
      </c>
    </row>
    <row r="330" spans="22:25">
      <c r="X330" s="89">
        <v>0.7727349</v>
      </c>
      <c r="Y330" s="61">
        <v>571</v>
      </c>
    </row>
    <row r="331" spans="22:25">
      <c r="X331" s="89">
        <v>0.77799160000000001</v>
      </c>
      <c r="Y331" s="61">
        <v>572</v>
      </c>
    </row>
    <row r="332" spans="22:25">
      <c r="X332" s="89">
        <v>0.78324824999999998</v>
      </c>
      <c r="Y332" s="61">
        <v>573</v>
      </c>
    </row>
    <row r="333" spans="22:25">
      <c r="X333" s="89">
        <v>0.78850489999999995</v>
      </c>
      <c r="Y333" s="61">
        <v>574</v>
      </c>
    </row>
    <row r="334" spans="22:25">
      <c r="X334" s="89">
        <v>0.79380759999999995</v>
      </c>
      <c r="Y334" s="61">
        <v>575</v>
      </c>
    </row>
    <row r="335" spans="22:25">
      <c r="X335" s="89">
        <v>0.79919373999999999</v>
      </c>
      <c r="Y335" s="61">
        <v>576</v>
      </c>
    </row>
    <row r="336" spans="22:25">
      <c r="X336" s="89">
        <v>0.80458960000000002</v>
      </c>
      <c r="Y336" s="61">
        <v>577</v>
      </c>
    </row>
    <row r="337" spans="24:25">
      <c r="X337" s="89">
        <v>0.81006855</v>
      </c>
      <c r="Y337" s="61">
        <v>578</v>
      </c>
    </row>
    <row r="338" spans="24:25">
      <c r="X338" s="89">
        <v>0.81554747000000005</v>
      </c>
      <c r="Y338" s="61">
        <v>579</v>
      </c>
    </row>
    <row r="339" spans="24:25">
      <c r="X339" s="89">
        <v>0.82115495000000005</v>
      </c>
      <c r="Y339" s="61">
        <v>580</v>
      </c>
    </row>
    <row r="340" spans="24:25">
      <c r="X340" s="89">
        <v>0.82678412999999995</v>
      </c>
      <c r="Y340" s="61">
        <v>581</v>
      </c>
    </row>
    <row r="341" spans="24:25">
      <c r="X341" s="89">
        <v>0.83241326000000004</v>
      </c>
      <c r="Y341" s="61">
        <v>582</v>
      </c>
    </row>
    <row r="342" spans="24:25">
      <c r="X342" s="89">
        <v>0.83804244000000006</v>
      </c>
      <c r="Y342" s="61">
        <v>583</v>
      </c>
    </row>
    <row r="343" spans="24:25">
      <c r="X343" s="89">
        <v>0.84375029999999995</v>
      </c>
      <c r="Y343" s="61">
        <v>584</v>
      </c>
    </row>
    <row r="344" spans="24:25">
      <c r="X344" s="89">
        <v>0.84960069999999999</v>
      </c>
      <c r="Y344" s="61">
        <v>585</v>
      </c>
    </row>
    <row r="345" spans="24:25">
      <c r="X345" s="89">
        <v>0.85545099999999996</v>
      </c>
      <c r="Y345" s="61">
        <v>586</v>
      </c>
    </row>
    <row r="346" spans="24:25">
      <c r="X346" s="89">
        <v>0.86130136000000002</v>
      </c>
      <c r="Y346" s="61">
        <v>587</v>
      </c>
    </row>
    <row r="347" spans="24:25">
      <c r="X347" s="89">
        <v>0.86715169999999997</v>
      </c>
      <c r="Y347" s="61">
        <v>588</v>
      </c>
    </row>
    <row r="348" spans="24:25">
      <c r="X348" s="89">
        <v>0.8732162</v>
      </c>
      <c r="Y348" s="61">
        <v>589</v>
      </c>
    </row>
    <row r="349" spans="24:25">
      <c r="X349" s="89">
        <v>0.87931674999999998</v>
      </c>
      <c r="Y349" s="61">
        <v>590</v>
      </c>
    </row>
    <row r="350" spans="24:25">
      <c r="X350" s="89">
        <v>0.88541734000000005</v>
      </c>
      <c r="Y350" s="61">
        <v>591</v>
      </c>
    </row>
    <row r="351" spans="24:25">
      <c r="X351" s="89">
        <v>0.89151793999999995</v>
      </c>
      <c r="Y351" s="61">
        <v>592</v>
      </c>
    </row>
    <row r="352" spans="24:25">
      <c r="X352" s="89">
        <v>0.89771986000000004</v>
      </c>
      <c r="Y352" s="61">
        <v>593</v>
      </c>
    </row>
    <row r="353" spans="24:25">
      <c r="X353" s="89">
        <v>0.90410537000000002</v>
      </c>
      <c r="Y353" s="61">
        <v>594</v>
      </c>
    </row>
    <row r="354" spans="24:25">
      <c r="X354" s="89">
        <v>0.91049080000000004</v>
      </c>
      <c r="Y354" s="61">
        <v>595</v>
      </c>
    </row>
    <row r="355" spans="24:25">
      <c r="X355" s="89">
        <v>0.91687626</v>
      </c>
      <c r="Y355" s="61">
        <v>596</v>
      </c>
    </row>
    <row r="356" spans="24:25">
      <c r="X356" s="89">
        <v>0.92326169999999996</v>
      </c>
      <c r="Y356" s="61">
        <v>597</v>
      </c>
    </row>
    <row r="357" spans="24:25">
      <c r="X357" s="89">
        <v>0.92985180000000001</v>
      </c>
      <c r="Y357" s="61">
        <v>598</v>
      </c>
    </row>
    <row r="358" spans="24:25">
      <c r="X358" s="89">
        <v>0.93647623000000002</v>
      </c>
      <c r="Y358" s="61">
        <v>599</v>
      </c>
    </row>
    <row r="359" spans="24:25">
      <c r="X359" s="89">
        <v>0.94320669999999995</v>
      </c>
      <c r="Y359" s="61">
        <v>600</v>
      </c>
    </row>
    <row r="360" spans="24:25">
      <c r="X360" s="89">
        <v>0.95000620000000002</v>
      </c>
      <c r="Y360" s="61">
        <v>601</v>
      </c>
    </row>
    <row r="361" spans="24:25">
      <c r="X361" s="89">
        <v>0.95690863999999998</v>
      </c>
      <c r="Y361" s="61">
        <v>602</v>
      </c>
    </row>
    <row r="362" spans="24:25">
      <c r="X362" s="89">
        <v>0.96399765999999998</v>
      </c>
      <c r="Y362" s="61">
        <v>603</v>
      </c>
    </row>
    <row r="363" spans="24:25">
      <c r="X363" s="89">
        <v>0.97108669999999997</v>
      </c>
      <c r="Y363" s="61">
        <v>604</v>
      </c>
    </row>
    <row r="364" spans="24:25">
      <c r="X364" s="89">
        <v>0.97817564000000001</v>
      </c>
      <c r="Y364" s="61">
        <v>605</v>
      </c>
    </row>
    <row r="365" spans="24:25">
      <c r="X365" s="89">
        <v>0.98526466000000001</v>
      </c>
      <c r="Y365" s="61">
        <v>606</v>
      </c>
    </row>
    <row r="366" spans="24:25">
      <c r="X366" s="89">
        <v>0.99256979999999995</v>
      </c>
      <c r="Y366" s="61">
        <v>607</v>
      </c>
    </row>
    <row r="367" spans="24:25" ht="15" thickBot="1">
      <c r="X367" s="90">
        <v>1</v>
      </c>
      <c r="Y367" s="112">
        <v>608</v>
      </c>
    </row>
  </sheetData>
  <mergeCells count="23">
    <mergeCell ref="V6:W7"/>
    <mergeCell ref="X6:Y7"/>
    <mergeCell ref="Z6:AA7"/>
    <mergeCell ref="AB6:AC7"/>
    <mergeCell ref="B2:AC2"/>
    <mergeCell ref="B3:AC3"/>
    <mergeCell ref="B4:AC4"/>
    <mergeCell ref="V5:AC5"/>
    <mergeCell ref="R7:S7"/>
    <mergeCell ref="T7:U7"/>
    <mergeCell ref="R6:U6"/>
    <mergeCell ref="B5:U5"/>
    <mergeCell ref="J7:K7"/>
    <mergeCell ref="L7:M7"/>
    <mergeCell ref="N7:O7"/>
    <mergeCell ref="J6:O6"/>
    <mergeCell ref="P7:Q7"/>
    <mergeCell ref="P6:Q6"/>
    <mergeCell ref="B7:C7"/>
    <mergeCell ref="D7:E7"/>
    <mergeCell ref="F7:G7"/>
    <mergeCell ref="H7:I7"/>
    <mergeCell ref="B6:I6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07299-C857-42C1-9460-B73D8AA37831}">
  <dimension ref="B1:M110"/>
  <sheetViews>
    <sheetView topLeftCell="B6" zoomScale="85" zoomScaleNormal="85" workbookViewId="0">
      <selection activeCell="K45" sqref="K45:K50"/>
    </sheetView>
  </sheetViews>
  <sheetFormatPr defaultRowHeight="14.5"/>
  <cols>
    <col min="1" max="1" width="8.7265625" style="1"/>
    <col min="2" max="4" width="38.26953125" style="1" customWidth="1"/>
    <col min="5" max="13" width="30.81640625" style="1" customWidth="1"/>
    <col min="14" max="16384" width="8.7265625" style="1"/>
  </cols>
  <sheetData>
    <row r="1" spans="2:13" ht="15" thickBot="1"/>
    <row r="2" spans="2:13">
      <c r="B2" s="227" t="s">
        <v>584</v>
      </c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9"/>
    </row>
    <row r="3" spans="2:13">
      <c r="B3" s="233" t="s">
        <v>586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5"/>
    </row>
    <row r="4" spans="2:13" ht="15" thickBot="1">
      <c r="B4" s="230" t="s">
        <v>399</v>
      </c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2"/>
    </row>
    <row r="5" spans="2:13" ht="15" thickBot="1">
      <c r="B5" s="311" t="s">
        <v>561</v>
      </c>
      <c r="C5" s="312"/>
      <c r="D5" s="313"/>
      <c r="E5" s="307" t="s">
        <v>578</v>
      </c>
      <c r="F5" s="307"/>
      <c r="G5" s="307"/>
      <c r="H5" s="311" t="s">
        <v>580</v>
      </c>
      <c r="I5" s="312"/>
      <c r="J5" s="313"/>
      <c r="K5" s="307" t="s">
        <v>581</v>
      </c>
      <c r="L5" s="307"/>
      <c r="M5" s="307"/>
    </row>
    <row r="6" spans="2:13" ht="16.5">
      <c r="B6" s="31" t="s">
        <v>588</v>
      </c>
      <c r="C6" s="36" t="s">
        <v>587</v>
      </c>
      <c r="D6" s="157" t="s">
        <v>11</v>
      </c>
      <c r="E6" s="31" t="s">
        <v>588</v>
      </c>
      <c r="F6" s="36" t="s">
        <v>587</v>
      </c>
      <c r="G6" s="157" t="s">
        <v>11</v>
      </c>
      <c r="H6" s="31" t="s">
        <v>588</v>
      </c>
      <c r="I6" s="36" t="s">
        <v>587</v>
      </c>
      <c r="J6" s="157" t="s">
        <v>11</v>
      </c>
      <c r="K6" s="31" t="s">
        <v>588</v>
      </c>
      <c r="L6" s="36" t="s">
        <v>587</v>
      </c>
      <c r="M6" s="157" t="s">
        <v>11</v>
      </c>
    </row>
    <row r="7" spans="2:13">
      <c r="B7" s="9"/>
      <c r="C7" s="76">
        <v>4.402387E-2</v>
      </c>
      <c r="D7" s="309" t="s">
        <v>564</v>
      </c>
      <c r="E7" s="5"/>
      <c r="F7" s="38">
        <v>9.3267790000000003E-3</v>
      </c>
      <c r="G7" s="309" t="s">
        <v>400</v>
      </c>
      <c r="H7" s="5"/>
      <c r="I7" s="38">
        <v>2.7306451999999999E-3</v>
      </c>
      <c r="J7" s="309" t="s">
        <v>400</v>
      </c>
      <c r="K7" s="5"/>
      <c r="L7" s="38">
        <v>1.7699532999999999E-5</v>
      </c>
      <c r="M7" s="309" t="s">
        <v>400</v>
      </c>
    </row>
    <row r="8" spans="2:13">
      <c r="B8" s="9"/>
      <c r="C8" s="76">
        <v>6.2243020000000003E-2</v>
      </c>
      <c r="D8" s="309"/>
      <c r="E8" s="5"/>
      <c r="F8" s="38">
        <v>1.1440419E-2</v>
      </c>
      <c r="G8" s="309"/>
      <c r="H8" s="5"/>
      <c r="I8" s="38">
        <v>3.8283587999999999E-3</v>
      </c>
      <c r="J8" s="309"/>
      <c r="K8" s="5"/>
      <c r="L8" s="38">
        <v>2.618726E-5</v>
      </c>
      <c r="M8" s="309"/>
    </row>
    <row r="9" spans="2:13">
      <c r="B9" s="9"/>
      <c r="C9" s="76">
        <v>7.6653354000000007E-2</v>
      </c>
      <c r="D9" s="309"/>
      <c r="E9" s="5"/>
      <c r="F9" s="38">
        <v>1.3828356E-2</v>
      </c>
      <c r="G9" s="309"/>
      <c r="H9" s="5"/>
      <c r="I9" s="38">
        <v>5.2345569999999999E-3</v>
      </c>
      <c r="J9" s="309"/>
      <c r="K9" s="5"/>
      <c r="L9" s="38">
        <v>3.8296507999999997E-5</v>
      </c>
      <c r="M9" s="309"/>
    </row>
    <row r="10" spans="2:13">
      <c r="B10" s="9"/>
      <c r="C10" s="76">
        <v>9.1625209999999999E-2</v>
      </c>
      <c r="D10" s="309"/>
      <c r="E10" s="5"/>
      <c r="F10" s="38">
        <v>1.6529820000000001E-2</v>
      </c>
      <c r="G10" s="309"/>
      <c r="H10" s="5"/>
      <c r="I10" s="38">
        <v>7.0456590000000001E-3</v>
      </c>
      <c r="J10" s="309"/>
      <c r="K10" s="5"/>
      <c r="L10" s="38">
        <v>5.5391189999999998E-5</v>
      </c>
      <c r="M10" s="309"/>
    </row>
    <row r="11" spans="2:13">
      <c r="B11" s="9"/>
      <c r="C11" s="76"/>
      <c r="D11" s="158"/>
      <c r="E11" s="5"/>
      <c r="F11" s="38">
        <v>1.9578943000000001E-2</v>
      </c>
      <c r="G11" s="309"/>
      <c r="H11" s="5"/>
      <c r="I11" s="38">
        <v>9.3781070000000001E-3</v>
      </c>
      <c r="J11" s="309"/>
      <c r="K11" s="5"/>
      <c r="L11" s="38">
        <v>7.9285510000000006E-5</v>
      </c>
      <c r="M11" s="309"/>
    </row>
    <row r="12" spans="2:13">
      <c r="B12" s="9"/>
      <c r="C12" s="76">
        <v>2.115264E-2</v>
      </c>
      <c r="D12" s="309" t="s">
        <v>400</v>
      </c>
      <c r="E12" s="5"/>
      <c r="F12" s="38">
        <v>2.2890463E-2</v>
      </c>
      <c r="G12" s="309"/>
      <c r="H12" s="5"/>
      <c r="I12" s="38">
        <v>1.2151824E-2</v>
      </c>
      <c r="J12" s="309"/>
      <c r="K12" s="5"/>
      <c r="L12" s="38">
        <v>1.1237433E-4</v>
      </c>
      <c r="M12" s="309"/>
    </row>
    <row r="13" spans="2:13">
      <c r="B13" s="9"/>
      <c r="C13" s="76">
        <v>2.5001865000000002E-2</v>
      </c>
      <c r="D13" s="309"/>
      <c r="E13" s="5"/>
      <c r="F13" s="38">
        <v>2.6507644E-2</v>
      </c>
      <c r="G13" s="309"/>
      <c r="H13" s="5"/>
      <c r="I13" s="38">
        <v>1.5482592999999999E-2</v>
      </c>
      <c r="J13" s="309"/>
      <c r="K13" s="5"/>
      <c r="L13" s="38">
        <v>1.5779739999999999E-4</v>
      </c>
      <c r="M13" s="309"/>
    </row>
    <row r="14" spans="2:13">
      <c r="B14" s="9"/>
      <c r="C14" s="76">
        <v>2.9320318000000001E-2</v>
      </c>
      <c r="D14" s="309"/>
      <c r="E14" s="5"/>
      <c r="F14" s="38">
        <v>3.0433416000000001E-2</v>
      </c>
      <c r="G14" s="309"/>
      <c r="H14" s="5"/>
      <c r="I14" s="38">
        <v>1.9426494999999998E-2</v>
      </c>
      <c r="J14" s="309"/>
      <c r="K14" s="5"/>
      <c r="L14" s="38">
        <v>2.1964561999999999E-4</v>
      </c>
      <c r="M14" s="309"/>
    </row>
    <row r="15" spans="2:13">
      <c r="B15" s="9"/>
      <c r="C15" s="76">
        <v>3.3801153E-2</v>
      </c>
      <c r="D15" s="309"/>
      <c r="E15" s="5"/>
      <c r="F15" s="38">
        <v>3.4701593000000003E-2</v>
      </c>
      <c r="G15" s="309"/>
      <c r="H15" s="5"/>
      <c r="I15" s="38">
        <v>2.4003839999999999E-2</v>
      </c>
      <c r="J15" s="309"/>
      <c r="K15" s="5"/>
      <c r="L15" s="38">
        <v>3.0322024E-4</v>
      </c>
      <c r="M15" s="309"/>
    </row>
    <row r="16" spans="2:13">
      <c r="B16" s="9"/>
      <c r="C16" s="76">
        <v>3.8848309999999997E-2</v>
      </c>
      <c r="D16" s="309"/>
      <c r="E16" s="5"/>
      <c r="F16" s="38">
        <v>3.9398009999999997E-2</v>
      </c>
      <c r="G16" s="309"/>
      <c r="H16" s="5"/>
      <c r="I16" s="38">
        <v>2.9375697999999999E-2</v>
      </c>
      <c r="J16" s="309"/>
      <c r="K16" s="5"/>
      <c r="L16" s="38">
        <v>4.1535825999999999E-4</v>
      </c>
      <c r="M16" s="309"/>
    </row>
    <row r="17" spans="2:13">
      <c r="B17" s="9"/>
      <c r="C17" s="76">
        <v>4.402387E-2</v>
      </c>
      <c r="D17" s="309"/>
      <c r="E17" s="5"/>
      <c r="F17" s="38">
        <v>4.4100907000000002E-2</v>
      </c>
      <c r="G17" s="309"/>
      <c r="H17" s="5"/>
      <c r="I17" s="38">
        <v>3.5487957000000001E-2</v>
      </c>
      <c r="J17" s="309"/>
      <c r="K17" s="5"/>
      <c r="L17" s="38">
        <v>5.6484060000000003E-4</v>
      </c>
      <c r="M17" s="309"/>
    </row>
    <row r="18" spans="2:13">
      <c r="B18" s="9"/>
      <c r="C18" s="76">
        <v>4.9817703999999997E-2</v>
      </c>
      <c r="D18" s="309"/>
      <c r="E18" s="5"/>
      <c r="F18" s="38">
        <v>4.950947E-2</v>
      </c>
      <c r="G18" s="309"/>
      <c r="H18" s="5"/>
      <c r="I18" s="38">
        <v>4.2493887000000001E-2</v>
      </c>
      <c r="J18" s="309"/>
      <c r="K18" s="5"/>
      <c r="L18" s="38">
        <v>7.629046E-4</v>
      </c>
      <c r="M18" s="309"/>
    </row>
    <row r="19" spans="2:13">
      <c r="B19" s="9"/>
      <c r="C19" s="76">
        <v>5.5782619999999998E-2</v>
      </c>
      <c r="D19" s="309"/>
      <c r="E19" s="5"/>
      <c r="F19" s="38">
        <v>5.491803E-2</v>
      </c>
      <c r="G19" s="309"/>
      <c r="H19" s="5"/>
      <c r="I19" s="38">
        <v>5.0379787000000002E-2</v>
      </c>
      <c r="J19" s="309"/>
      <c r="K19" s="5"/>
      <c r="L19" s="38">
        <v>1.0238860999999999E-3</v>
      </c>
      <c r="M19" s="309"/>
    </row>
    <row r="20" spans="2:13">
      <c r="B20" s="9"/>
      <c r="C20" s="76">
        <v>6.2243020000000003E-2</v>
      </c>
      <c r="D20" s="309"/>
      <c r="E20" s="5"/>
      <c r="F20" s="38">
        <v>6.3413639999999993E-2</v>
      </c>
      <c r="G20" s="309"/>
      <c r="H20" s="5"/>
      <c r="I20" s="38">
        <v>5.9167280000000003E-2</v>
      </c>
      <c r="J20" s="309"/>
      <c r="K20" s="5"/>
      <c r="L20" s="38">
        <v>1.3660237000000001E-3</v>
      </c>
      <c r="M20" s="309"/>
    </row>
    <row r="21" spans="2:13">
      <c r="B21" s="9"/>
      <c r="C21" s="76">
        <v>6.9167430000000002E-2</v>
      </c>
      <c r="D21" s="309"/>
      <c r="E21" s="5"/>
      <c r="F21" s="38">
        <v>6.7104234999999998E-2</v>
      </c>
      <c r="G21" s="309"/>
      <c r="H21" s="5"/>
      <c r="I21" s="38">
        <v>6.9260925000000001E-2</v>
      </c>
      <c r="J21" s="309"/>
      <c r="K21" s="5"/>
      <c r="L21" s="38">
        <v>1.8124596E-3</v>
      </c>
      <c r="M21" s="309"/>
    </row>
    <row r="22" spans="2:13">
      <c r="B22" s="9"/>
      <c r="C22" s="76">
        <v>7.6653354000000007E-2</v>
      </c>
      <c r="D22" s="309"/>
      <c r="E22" s="5"/>
      <c r="F22" s="38">
        <v>7.3782780000000006E-2</v>
      </c>
      <c r="G22" s="309"/>
      <c r="H22" s="5"/>
      <c r="I22" s="38">
        <v>7.9715469999999997E-2</v>
      </c>
      <c r="J22" s="309"/>
      <c r="K22" s="5"/>
      <c r="L22" s="38">
        <v>2.3924803999999999E-3</v>
      </c>
      <c r="M22" s="309"/>
    </row>
    <row r="23" spans="2:13" ht="15" thickBot="1">
      <c r="B23" s="9"/>
      <c r="C23" s="76">
        <v>8.4139290000000005E-2</v>
      </c>
      <c r="D23" s="309"/>
      <c r="E23" s="5"/>
      <c r="F23" s="38">
        <v>0.112767585</v>
      </c>
      <c r="G23" s="309"/>
      <c r="H23" s="23"/>
      <c r="I23" s="39">
        <v>0.14618927000000001</v>
      </c>
      <c r="J23" s="310"/>
      <c r="K23" s="5"/>
      <c r="L23" s="38">
        <v>8.9691549999999995E-3</v>
      </c>
      <c r="M23" s="309"/>
    </row>
    <row r="24" spans="2:13" ht="15" thickBot="1">
      <c r="B24" s="9"/>
      <c r="C24" s="76">
        <v>9.1625209999999999E-2</v>
      </c>
      <c r="D24" s="309"/>
      <c r="E24" s="5"/>
      <c r="F24" s="38"/>
      <c r="G24" s="158"/>
      <c r="H24" s="307" t="s">
        <v>599</v>
      </c>
      <c r="I24" s="307"/>
      <c r="J24" s="307"/>
      <c r="K24" s="5"/>
      <c r="L24" s="38"/>
      <c r="M24" s="158"/>
    </row>
    <row r="25" spans="2:13" ht="16.5">
      <c r="B25" s="9"/>
      <c r="C25" s="76">
        <v>0.10031055</v>
      </c>
      <c r="D25" s="309"/>
      <c r="E25" s="5"/>
      <c r="F25" s="38"/>
      <c r="G25" s="162"/>
      <c r="H25" s="31" t="s">
        <v>588</v>
      </c>
      <c r="I25" s="36" t="s">
        <v>587</v>
      </c>
      <c r="J25" s="157" t="s">
        <v>11</v>
      </c>
      <c r="K25" s="5"/>
      <c r="L25" s="38">
        <v>7.9285510000000006E-5</v>
      </c>
      <c r="M25" s="309" t="s">
        <v>401</v>
      </c>
    </row>
    <row r="26" spans="2:13">
      <c r="B26" s="9"/>
      <c r="C26" s="76">
        <v>0.109217495</v>
      </c>
      <c r="D26" s="309"/>
      <c r="E26" s="5"/>
      <c r="F26" s="38">
        <v>1.3828356E-2</v>
      </c>
      <c r="G26" s="314" t="s">
        <v>579</v>
      </c>
      <c r="H26" s="5"/>
      <c r="I26" s="38">
        <v>1.1467221999999999E-5</v>
      </c>
      <c r="J26" s="309" t="s">
        <v>608</v>
      </c>
      <c r="K26" s="5"/>
      <c r="L26" s="38">
        <v>1.5779739999999999E-4</v>
      </c>
      <c r="M26" s="309"/>
    </row>
    <row r="27" spans="2:13">
      <c r="B27" s="9"/>
      <c r="C27" s="76">
        <v>0.11812444</v>
      </c>
      <c r="D27" s="309"/>
      <c r="E27" s="5"/>
      <c r="F27" s="38">
        <v>1.9578943000000001E-2</v>
      </c>
      <c r="G27" s="314"/>
      <c r="H27" s="5"/>
      <c r="I27" s="38">
        <v>1.5834087999999999E-5</v>
      </c>
      <c r="J27" s="309"/>
      <c r="K27" s="5"/>
      <c r="L27" s="38">
        <v>3.0322024E-4</v>
      </c>
      <c r="M27" s="309"/>
    </row>
    <row r="28" spans="2:13">
      <c r="B28" s="9"/>
      <c r="C28" s="76">
        <v>0.16992518000000001</v>
      </c>
      <c r="D28" s="309"/>
      <c r="E28" s="5"/>
      <c r="F28" s="38">
        <v>2.6507644E-2</v>
      </c>
      <c r="G28" s="314"/>
      <c r="H28" s="5"/>
      <c r="I28" s="38">
        <v>2.1108526000000001E-5</v>
      </c>
      <c r="J28" s="309"/>
      <c r="K28" s="5"/>
      <c r="L28" s="38">
        <v>5.6484060000000003E-4</v>
      </c>
      <c r="M28" s="309"/>
    </row>
    <row r="29" spans="2:13">
      <c r="B29" s="9"/>
      <c r="C29" s="76"/>
      <c r="D29" s="158"/>
      <c r="E29" s="5"/>
      <c r="F29" s="38">
        <v>3.4701593000000003E-2</v>
      </c>
      <c r="G29" s="314"/>
      <c r="H29" s="5"/>
      <c r="I29" s="38"/>
      <c r="J29" s="164"/>
      <c r="K29" s="5"/>
      <c r="L29" s="38">
        <v>1.0238860999999999E-3</v>
      </c>
      <c r="M29" s="309"/>
    </row>
    <row r="30" spans="2:13" ht="15" thickBot="1">
      <c r="B30" s="9"/>
      <c r="C30" s="76">
        <v>2.5001865000000002E-2</v>
      </c>
      <c r="D30" s="309" t="s">
        <v>401</v>
      </c>
      <c r="E30" s="23"/>
      <c r="F30" s="39">
        <v>4.4100907000000002E-2</v>
      </c>
      <c r="G30" s="315"/>
      <c r="H30" s="5"/>
      <c r="I30" s="38">
        <v>5.7845896E-6</v>
      </c>
      <c r="J30" s="309" t="s">
        <v>615</v>
      </c>
      <c r="K30" s="23"/>
      <c r="L30" s="39">
        <v>1.8124596E-3</v>
      </c>
      <c r="M30" s="310"/>
    </row>
    <row r="31" spans="2:13" ht="15" thickBot="1">
      <c r="B31" s="9"/>
      <c r="C31" s="76">
        <v>2.9320318000000001E-2</v>
      </c>
      <c r="D31" s="309"/>
      <c r="E31" s="307" t="s">
        <v>593</v>
      </c>
      <c r="F31" s="307"/>
      <c r="G31" s="307"/>
      <c r="H31" s="5"/>
      <c r="I31" s="38">
        <v>8.1380930000000001E-6</v>
      </c>
      <c r="J31" s="309"/>
      <c r="K31" s="311" t="s">
        <v>602</v>
      </c>
      <c r="L31" s="312"/>
      <c r="M31" s="313"/>
    </row>
    <row r="32" spans="2:13" ht="16.5">
      <c r="B32" s="9"/>
      <c r="C32" s="76">
        <v>3.3801153E-2</v>
      </c>
      <c r="D32" s="309"/>
      <c r="E32" s="31" t="s">
        <v>588</v>
      </c>
      <c r="F32" s="36" t="s">
        <v>587</v>
      </c>
      <c r="G32" s="157" t="s">
        <v>11</v>
      </c>
      <c r="H32" s="5"/>
      <c r="I32" s="38">
        <v>1.1467221999999999E-5</v>
      </c>
      <c r="J32" s="309"/>
      <c r="K32" s="31" t="s">
        <v>588</v>
      </c>
      <c r="L32" s="36" t="s">
        <v>587</v>
      </c>
      <c r="M32" s="157" t="s">
        <v>11</v>
      </c>
    </row>
    <row r="33" spans="2:13">
      <c r="B33" s="9"/>
      <c r="C33" s="76">
        <v>3.8848309999999997E-2</v>
      </c>
      <c r="D33" s="309"/>
      <c r="E33" s="5"/>
      <c r="F33" s="38">
        <v>1.7593253999999999E-4</v>
      </c>
      <c r="G33" s="158" t="s">
        <v>605</v>
      </c>
      <c r="H33" s="5"/>
      <c r="I33" s="38">
        <v>1.5834087999999999E-5</v>
      </c>
      <c r="J33" s="309"/>
      <c r="K33" s="5"/>
      <c r="L33" s="38">
        <v>1.1512611000000001E-5</v>
      </c>
      <c r="M33" s="309" t="s">
        <v>616</v>
      </c>
    </row>
    <row r="34" spans="2:13">
      <c r="B34" s="9"/>
      <c r="C34" s="76">
        <v>4.402387E-2</v>
      </c>
      <c r="D34" s="309"/>
      <c r="E34" s="5"/>
      <c r="F34" s="38"/>
      <c r="G34" s="158"/>
      <c r="H34" s="5"/>
      <c r="I34" s="38">
        <v>2.1108526000000001E-5</v>
      </c>
      <c r="J34" s="309"/>
      <c r="K34" s="5"/>
      <c r="L34" s="38">
        <v>2.4924961999999999E-5</v>
      </c>
      <c r="M34" s="309"/>
    </row>
    <row r="35" spans="2:13">
      <c r="B35" s="9"/>
      <c r="C35" s="76">
        <v>4.9817703999999997E-2</v>
      </c>
      <c r="D35" s="309"/>
      <c r="E35" s="5"/>
      <c r="F35" s="38">
        <v>8.1288470000000004E-5</v>
      </c>
      <c r="G35" s="309" t="s">
        <v>579</v>
      </c>
      <c r="H35" s="5"/>
      <c r="I35" s="38">
        <v>2.8464503E-5</v>
      </c>
      <c r="J35" s="309"/>
      <c r="K35" s="5"/>
      <c r="L35" s="38">
        <v>5.1559610000000001E-5</v>
      </c>
      <c r="M35" s="309"/>
    </row>
    <row r="36" spans="2:13">
      <c r="B36" s="9"/>
      <c r="C36" s="76">
        <v>5.5782619999999998E-2</v>
      </c>
      <c r="D36" s="309"/>
      <c r="E36" s="5"/>
      <c r="F36" s="38">
        <v>1.387096E-4</v>
      </c>
      <c r="G36" s="309"/>
      <c r="H36" s="5"/>
      <c r="I36" s="38">
        <v>3.7980630000000002E-5</v>
      </c>
      <c r="J36" s="309"/>
      <c r="K36" s="5"/>
      <c r="L36" s="38">
        <v>1.0230659000000001E-4</v>
      </c>
      <c r="M36" s="309"/>
    </row>
    <row r="37" spans="2:13" ht="15" thickBot="1">
      <c r="B37" s="10"/>
      <c r="C37" s="137">
        <v>6.2243020000000003E-2</v>
      </c>
      <c r="D37" s="310"/>
      <c r="E37" s="5"/>
      <c r="F37" s="38">
        <v>2.2428612000000001E-4</v>
      </c>
      <c r="G37" s="309"/>
      <c r="H37" s="5"/>
      <c r="I37" s="38">
        <v>4.9861297000000002E-5</v>
      </c>
      <c r="J37" s="309"/>
      <c r="K37" s="5"/>
      <c r="L37" s="38">
        <v>1.9541858999999999E-4</v>
      </c>
      <c r="M37" s="309"/>
    </row>
    <row r="38" spans="2:13" ht="15" thickBot="1">
      <c r="B38" s="311" t="s">
        <v>589</v>
      </c>
      <c r="C38" s="312"/>
      <c r="D38" s="313"/>
      <c r="E38" s="5"/>
      <c r="F38" s="38">
        <v>3.5908183999999998E-4</v>
      </c>
      <c r="G38" s="309"/>
      <c r="H38" s="5"/>
      <c r="I38" s="38">
        <v>6.5110055999999998E-5</v>
      </c>
      <c r="J38" s="309"/>
      <c r="K38" s="5"/>
      <c r="L38" s="38">
        <v>3.6053540000000002E-4</v>
      </c>
      <c r="M38" s="309"/>
    </row>
    <row r="39" spans="2:13" ht="16.5">
      <c r="B39" s="31" t="s">
        <v>588</v>
      </c>
      <c r="C39" s="36" t="s">
        <v>587</v>
      </c>
      <c r="D39" s="157" t="s">
        <v>11</v>
      </c>
      <c r="E39" s="5"/>
      <c r="F39" s="38">
        <v>5.5804970000000005E-4</v>
      </c>
      <c r="G39" s="309"/>
      <c r="H39" s="5"/>
      <c r="I39" s="38">
        <v>8.4319289999999997E-5</v>
      </c>
      <c r="J39" s="309"/>
      <c r="K39" s="5"/>
      <c r="L39" s="38"/>
      <c r="M39" s="158"/>
    </row>
    <row r="40" spans="2:13">
      <c r="B40" s="5"/>
      <c r="C40" s="38">
        <v>1.4031733999999999E-4</v>
      </c>
      <c r="D40" s="158" t="s">
        <v>604</v>
      </c>
      <c r="E40" s="5"/>
      <c r="F40" s="38"/>
      <c r="G40" s="158"/>
      <c r="H40" s="5"/>
      <c r="I40" s="38">
        <v>1.08282E-4</v>
      </c>
      <c r="J40" s="309"/>
      <c r="K40" s="5"/>
      <c r="L40" s="38">
        <v>7.6812970000000006E-6</v>
      </c>
      <c r="M40" s="309" t="s">
        <v>608</v>
      </c>
    </row>
    <row r="41" spans="2:13" ht="15" thickBot="1">
      <c r="B41" s="5"/>
      <c r="C41" s="38"/>
      <c r="D41" s="158"/>
      <c r="E41" s="5"/>
      <c r="F41" s="38">
        <v>1.7593253999999999E-4</v>
      </c>
      <c r="G41" s="309" t="s">
        <v>609</v>
      </c>
      <c r="H41" s="23"/>
      <c r="I41" s="39">
        <v>1.3773193000000001E-4</v>
      </c>
      <c r="J41" s="310"/>
      <c r="K41" s="5"/>
      <c r="L41" s="38">
        <v>1.1512611000000001E-5</v>
      </c>
      <c r="M41" s="309"/>
    </row>
    <row r="42" spans="2:13" ht="15" thickBot="1">
      <c r="B42" s="5"/>
      <c r="C42" s="38">
        <v>1.4031733999999999E-4</v>
      </c>
      <c r="D42" s="158" t="s">
        <v>605</v>
      </c>
      <c r="E42" s="5"/>
      <c r="F42" s="38">
        <v>3.5908183999999998E-4</v>
      </c>
      <c r="G42" s="309"/>
      <c r="H42" s="311" t="s">
        <v>600</v>
      </c>
      <c r="I42" s="312"/>
      <c r="J42" s="313"/>
      <c r="K42" s="23"/>
      <c r="L42" s="39">
        <v>1.704088E-5</v>
      </c>
      <c r="M42" s="309"/>
    </row>
    <row r="43" spans="2:13" ht="17" thickBot="1">
      <c r="B43" s="5"/>
      <c r="C43" s="38"/>
      <c r="D43" s="158"/>
      <c r="E43" s="5"/>
      <c r="F43" s="38">
        <v>8.5121253999999996E-4</v>
      </c>
      <c r="G43" s="309"/>
      <c r="H43" s="31" t="s">
        <v>588</v>
      </c>
      <c r="I43" s="36" t="s">
        <v>587</v>
      </c>
      <c r="J43" s="157" t="s">
        <v>11</v>
      </c>
      <c r="K43" s="312" t="s">
        <v>603</v>
      </c>
      <c r="L43" s="312"/>
      <c r="M43" s="313"/>
    </row>
    <row r="44" spans="2:13" ht="16.5">
      <c r="B44" s="5"/>
      <c r="C44" s="38">
        <v>1.4031733999999999E-4</v>
      </c>
      <c r="D44" s="309" t="s">
        <v>564</v>
      </c>
      <c r="E44" s="5"/>
      <c r="F44" s="38"/>
      <c r="G44" s="158"/>
      <c r="H44" s="5"/>
      <c r="I44" s="38">
        <v>4.299167E-6</v>
      </c>
      <c r="J44" s="164" t="s">
        <v>612</v>
      </c>
      <c r="K44" s="31" t="s">
        <v>588</v>
      </c>
      <c r="L44" s="36" t="s">
        <v>587</v>
      </c>
      <c r="M44" s="157" t="s">
        <v>11</v>
      </c>
    </row>
    <row r="45" spans="2:13">
      <c r="B45" s="5"/>
      <c r="C45" s="38">
        <v>2.8655150000000002E-4</v>
      </c>
      <c r="D45" s="309"/>
      <c r="E45" s="5"/>
      <c r="F45" s="38">
        <v>1.06299856E-4</v>
      </c>
      <c r="G45" s="309" t="s">
        <v>608</v>
      </c>
      <c r="H45" s="5"/>
      <c r="I45" s="38"/>
      <c r="J45" s="158"/>
      <c r="K45" s="5"/>
      <c r="L45" s="38">
        <v>9.8384250000000003E-5</v>
      </c>
      <c r="M45" s="309" t="s">
        <v>616</v>
      </c>
    </row>
    <row r="46" spans="2:13">
      <c r="B46" s="5"/>
      <c r="C46" s="38">
        <v>4.4352174000000002E-4</v>
      </c>
      <c r="D46" s="309"/>
      <c r="E46" s="5"/>
      <c r="F46" s="38">
        <v>1.387096E-4</v>
      </c>
      <c r="G46" s="309"/>
      <c r="H46" s="5"/>
      <c r="I46" s="38">
        <v>1.0291473000000001E-6</v>
      </c>
      <c r="J46" s="309" t="s">
        <v>615</v>
      </c>
      <c r="K46" s="5"/>
      <c r="L46" s="38">
        <v>1.7696359999999999E-4</v>
      </c>
      <c r="M46" s="309"/>
    </row>
    <row r="47" spans="2:13">
      <c r="B47" s="5"/>
      <c r="C47" s="38">
        <v>6.6762720000000002E-4</v>
      </c>
      <c r="D47" s="309"/>
      <c r="E47" s="5"/>
      <c r="F47" s="38">
        <v>1.7593253999999999E-4</v>
      </c>
      <c r="G47" s="309"/>
      <c r="H47" s="5"/>
      <c r="I47" s="38">
        <v>1.5563783000000001E-6</v>
      </c>
      <c r="J47" s="309"/>
      <c r="K47" s="5"/>
      <c r="L47" s="38">
        <v>3.1049700000000002E-4</v>
      </c>
      <c r="M47" s="309"/>
    </row>
    <row r="48" spans="2:13">
      <c r="B48" s="5"/>
      <c r="C48" s="38"/>
      <c r="D48" s="158"/>
      <c r="E48" s="5"/>
      <c r="F48" s="38"/>
      <c r="G48" s="158"/>
      <c r="H48" s="5"/>
      <c r="I48" s="38">
        <v>2.1521703000000002E-6</v>
      </c>
      <c r="J48" s="309"/>
      <c r="K48" s="5"/>
      <c r="L48" s="38">
        <v>5.3188370000000005E-4</v>
      </c>
      <c r="M48" s="309"/>
    </row>
    <row r="49" spans="2:13">
      <c r="B49" s="5"/>
      <c r="C49" s="38">
        <v>5.1165753000000002E-5</v>
      </c>
      <c r="D49" s="309" t="s">
        <v>606</v>
      </c>
      <c r="E49" s="5"/>
      <c r="F49" s="38">
        <v>1.7593253999999999E-4</v>
      </c>
      <c r="G49" s="158" t="s">
        <v>607</v>
      </c>
      <c r="H49" s="5"/>
      <c r="I49" s="38">
        <v>3.0655289999999999E-6</v>
      </c>
      <c r="J49" s="309"/>
      <c r="K49" s="5"/>
      <c r="L49" s="38">
        <v>8.9004760000000003E-4</v>
      </c>
      <c r="M49" s="309"/>
    </row>
    <row r="50" spans="2:13" ht="15" thickBot="1">
      <c r="B50" s="5"/>
      <c r="C50" s="38">
        <v>6.7876214999999993E-5</v>
      </c>
      <c r="D50" s="309"/>
      <c r="E50" s="5"/>
      <c r="F50" s="38"/>
      <c r="G50" s="158"/>
      <c r="H50" s="5"/>
      <c r="I50" s="38">
        <v>4.299167E-6</v>
      </c>
      <c r="J50" s="309"/>
      <c r="K50" s="23"/>
      <c r="L50" s="39">
        <v>1.4556225999999999E-3</v>
      </c>
      <c r="M50" s="310"/>
    </row>
    <row r="51" spans="2:13">
      <c r="B51" s="5"/>
      <c r="C51" s="38">
        <v>8.458668E-5</v>
      </c>
      <c r="D51" s="309"/>
      <c r="E51" s="5"/>
      <c r="F51" s="38">
        <v>1.7593253999999999E-4</v>
      </c>
      <c r="G51" s="309" t="s">
        <v>564</v>
      </c>
      <c r="H51" s="5"/>
      <c r="I51" s="38">
        <v>6.1060719999999999E-6</v>
      </c>
      <c r="J51" s="309"/>
    </row>
    <row r="52" spans="2:13">
      <c r="B52" s="5"/>
      <c r="C52" s="38">
        <v>1.0944242E-4</v>
      </c>
      <c r="D52" s="309"/>
      <c r="E52" s="5"/>
      <c r="F52" s="38">
        <v>3.5908183999999998E-4</v>
      </c>
      <c r="G52" s="309"/>
      <c r="H52" s="5"/>
      <c r="I52" s="38">
        <v>8.2017749999999999E-6</v>
      </c>
      <c r="J52" s="309"/>
    </row>
    <row r="53" spans="2:13" ht="15" thickBot="1">
      <c r="B53" s="5"/>
      <c r="C53" s="38">
        <v>1.4031733999999999E-4</v>
      </c>
      <c r="D53" s="309"/>
      <c r="E53" s="23"/>
      <c r="F53" s="39">
        <v>8.5121253999999996E-4</v>
      </c>
      <c r="G53" s="310"/>
      <c r="H53" s="5"/>
      <c r="I53" s="38">
        <v>1.1130906E-5</v>
      </c>
      <c r="J53" s="309"/>
    </row>
    <row r="54" spans="2:13" ht="15" thickBot="1">
      <c r="B54" s="5"/>
      <c r="C54" s="38">
        <v>1.7818656999999999E-4</v>
      </c>
      <c r="D54" s="309"/>
      <c r="E54" s="307" t="s">
        <v>594</v>
      </c>
      <c r="F54" s="307"/>
      <c r="G54" s="307"/>
      <c r="H54" s="5"/>
      <c r="I54" s="38">
        <v>1.4998989999999999E-5</v>
      </c>
      <c r="J54" s="309"/>
    </row>
    <row r="55" spans="2:13" ht="16.5">
      <c r="B55" s="5"/>
      <c r="C55" s="38">
        <v>2.2782029E-4</v>
      </c>
      <c r="D55" s="309"/>
      <c r="E55" s="31" t="s">
        <v>588</v>
      </c>
      <c r="F55" s="36" t="s">
        <v>587</v>
      </c>
      <c r="G55" s="163" t="s">
        <v>11</v>
      </c>
      <c r="H55" s="5"/>
      <c r="I55" s="38">
        <v>1.9947673000000002E-5</v>
      </c>
      <c r="J55" s="309"/>
    </row>
    <row r="56" spans="2:13">
      <c r="B56" s="5"/>
      <c r="C56" s="38">
        <v>2.8655150000000002E-4</v>
      </c>
      <c r="D56" s="309"/>
      <c r="E56" s="11"/>
      <c r="F56" s="38">
        <v>9.7904810000000006E-5</v>
      </c>
      <c r="G56" s="162" t="s">
        <v>614</v>
      </c>
      <c r="H56" s="5"/>
      <c r="I56" s="38">
        <v>2.6605815999999999E-5</v>
      </c>
      <c r="J56" s="309"/>
    </row>
    <row r="57" spans="2:13" ht="15" thickBot="1">
      <c r="B57" s="5"/>
      <c r="C57" s="38">
        <v>3.5444327000000003E-4</v>
      </c>
      <c r="D57" s="309"/>
      <c r="E57" s="11"/>
      <c r="F57" s="38"/>
      <c r="G57" s="162"/>
      <c r="H57" s="23"/>
      <c r="I57" s="39">
        <v>3.4187687999999998E-5</v>
      </c>
      <c r="J57" s="310"/>
    </row>
    <row r="58" spans="2:13" ht="15" thickBot="1">
      <c r="B58" s="5"/>
      <c r="C58" s="38">
        <v>4.4352174000000002E-4</v>
      </c>
      <c r="D58" s="309"/>
      <c r="E58" s="11"/>
      <c r="F58" s="38">
        <v>4.3106535E-5</v>
      </c>
      <c r="G58" s="314" t="s">
        <v>579</v>
      </c>
      <c r="H58" s="311" t="s">
        <v>601</v>
      </c>
      <c r="I58" s="312"/>
      <c r="J58" s="313"/>
    </row>
    <row r="59" spans="2:13" ht="16.5">
      <c r="B59" s="5"/>
      <c r="C59" s="38">
        <v>5.484013E-4</v>
      </c>
      <c r="D59" s="309"/>
      <c r="E59" s="11"/>
      <c r="F59" s="38">
        <v>7.6141339999999998E-5</v>
      </c>
      <c r="G59" s="314"/>
      <c r="H59" s="31" t="s">
        <v>588</v>
      </c>
      <c r="I59" s="36" t="s">
        <v>587</v>
      </c>
      <c r="J59" s="157" t="s">
        <v>11</v>
      </c>
    </row>
    <row r="60" spans="2:13">
      <c r="B60" s="5"/>
      <c r="C60" s="38"/>
      <c r="D60" s="158"/>
      <c r="E60" s="11"/>
      <c r="F60" s="38">
        <v>1.2661751999999999E-4</v>
      </c>
      <c r="G60" s="314"/>
      <c r="H60" s="5"/>
      <c r="I60" s="38">
        <v>1.328816E-5</v>
      </c>
      <c r="J60" s="309" t="s">
        <v>615</v>
      </c>
    </row>
    <row r="61" spans="2:13">
      <c r="B61" s="5"/>
      <c r="C61" s="38">
        <v>1.4031733999999999E-4</v>
      </c>
      <c r="D61" s="158" t="s">
        <v>607</v>
      </c>
      <c r="E61" s="11"/>
      <c r="F61" s="38">
        <v>2.0821998000000001E-4</v>
      </c>
      <c r="G61" s="314"/>
      <c r="H61" s="5"/>
      <c r="I61" s="38">
        <v>1.8302517E-5</v>
      </c>
      <c r="J61" s="309"/>
    </row>
    <row r="62" spans="2:13">
      <c r="B62" s="5"/>
      <c r="C62" s="38"/>
      <c r="D62" s="158"/>
      <c r="E62" s="11"/>
      <c r="F62" s="38">
        <v>3.3114043999999998E-4</v>
      </c>
      <c r="G62" s="314"/>
      <c r="H62" s="5"/>
      <c r="I62" s="38">
        <v>2.5031461999999998E-5</v>
      </c>
      <c r="J62" s="309"/>
    </row>
    <row r="63" spans="2:13">
      <c r="B63" s="5"/>
      <c r="C63" s="38">
        <v>8.458668E-5</v>
      </c>
      <c r="D63" s="309" t="s">
        <v>608</v>
      </c>
      <c r="E63" s="11"/>
      <c r="F63" s="38"/>
      <c r="G63" s="162"/>
      <c r="H63" s="5"/>
      <c r="I63" s="38">
        <v>3.4371023999999999E-5</v>
      </c>
      <c r="J63" s="309"/>
    </row>
    <row r="64" spans="2:13">
      <c r="B64" s="5"/>
      <c r="C64" s="38">
        <v>1.0944242E-4</v>
      </c>
      <c r="D64" s="309"/>
      <c r="E64" s="11"/>
      <c r="F64" s="38">
        <v>9.7904810000000006E-5</v>
      </c>
      <c r="G64" s="314" t="s">
        <v>564</v>
      </c>
      <c r="H64" s="5"/>
      <c r="I64" s="38">
        <v>4.6227112999999999E-5</v>
      </c>
      <c r="J64" s="309"/>
    </row>
    <row r="65" spans="2:10">
      <c r="B65" s="5"/>
      <c r="C65" s="38">
        <v>1.4031733999999999E-4</v>
      </c>
      <c r="D65" s="309"/>
      <c r="E65" s="11"/>
      <c r="F65" s="38">
        <v>2.0821998000000001E-4</v>
      </c>
      <c r="G65" s="314"/>
      <c r="H65" s="5"/>
      <c r="I65" s="38">
        <v>6.0858540000000003E-5</v>
      </c>
      <c r="J65" s="309"/>
    </row>
    <row r="66" spans="2:10">
      <c r="B66" s="5"/>
      <c r="C66" s="38"/>
      <c r="D66" s="158"/>
      <c r="E66" s="11"/>
      <c r="F66" s="38">
        <v>5.1550206000000002E-4</v>
      </c>
      <c r="G66" s="314"/>
      <c r="H66" s="5"/>
      <c r="I66" s="38">
        <v>8.0102864999999999E-5</v>
      </c>
      <c r="J66" s="309"/>
    </row>
    <row r="67" spans="2:10">
      <c r="B67" s="5"/>
      <c r="C67" s="38">
        <v>1.4031733999999999E-4</v>
      </c>
      <c r="D67" s="309" t="s">
        <v>609</v>
      </c>
      <c r="E67" s="11"/>
      <c r="F67" s="38"/>
      <c r="G67" s="162"/>
      <c r="H67" s="5"/>
      <c r="I67" s="38">
        <v>1.0519202000000001E-4</v>
      </c>
      <c r="J67" s="309"/>
    </row>
    <row r="68" spans="2:10">
      <c r="B68" s="5"/>
      <c r="C68" s="38">
        <v>2.8655150000000002E-4</v>
      </c>
      <c r="D68" s="309"/>
      <c r="E68" s="11"/>
      <c r="F68" s="38">
        <v>9.7904810000000006E-5</v>
      </c>
      <c r="G68" s="314" t="s">
        <v>609</v>
      </c>
      <c r="H68" s="5"/>
      <c r="I68" s="38">
        <v>1.3642757E-4</v>
      </c>
      <c r="J68" s="309"/>
    </row>
    <row r="69" spans="2:10">
      <c r="B69" s="5"/>
      <c r="C69" s="38">
        <v>4.4352174000000002E-4</v>
      </c>
      <c r="D69" s="309"/>
      <c r="E69" s="11"/>
      <c r="F69" s="38">
        <v>2.0821998000000001E-4</v>
      </c>
      <c r="G69" s="314"/>
      <c r="H69" s="5"/>
      <c r="I69" s="38">
        <v>1.7539463E-4</v>
      </c>
      <c r="J69" s="309"/>
    </row>
    <row r="70" spans="2:10" ht="15" thickBot="1">
      <c r="B70" s="5"/>
      <c r="C70" s="38">
        <v>6.6762720000000002E-4</v>
      </c>
      <c r="D70" s="309"/>
      <c r="E70" s="11"/>
      <c r="F70" s="38">
        <v>5.1550206000000002E-4</v>
      </c>
      <c r="G70" s="314"/>
      <c r="H70" s="5"/>
      <c r="I70" s="38">
        <v>2.2402633000000001E-4</v>
      </c>
      <c r="J70" s="309"/>
    </row>
    <row r="71" spans="2:10" ht="15" thickBot="1">
      <c r="B71" s="5"/>
      <c r="C71" s="38"/>
      <c r="D71" s="158"/>
      <c r="E71" s="311" t="s">
        <v>595</v>
      </c>
      <c r="F71" s="312"/>
      <c r="G71" s="313"/>
      <c r="H71" s="23"/>
      <c r="I71" s="39">
        <v>2.8468150000000002E-4</v>
      </c>
      <c r="J71" s="310"/>
    </row>
    <row r="72" spans="2:10" ht="17" thickBot="1">
      <c r="B72" s="23"/>
      <c r="C72" s="39">
        <v>1.4031733999999999E-4</v>
      </c>
      <c r="D72" s="161" t="s">
        <v>610</v>
      </c>
      <c r="E72" s="31" t="s">
        <v>588</v>
      </c>
      <c r="F72" s="36" t="s">
        <v>587</v>
      </c>
      <c r="G72" s="157" t="s">
        <v>11</v>
      </c>
    </row>
    <row r="73" spans="2:10" ht="15" thickBot="1">
      <c r="B73" s="306" t="s">
        <v>590</v>
      </c>
      <c r="C73" s="307"/>
      <c r="D73" s="308"/>
      <c r="E73" s="5"/>
      <c r="F73" s="38">
        <v>1.5421364000000001E-3</v>
      </c>
      <c r="G73" s="158" t="s">
        <v>614</v>
      </c>
    </row>
    <row r="74" spans="2:10" ht="16.5">
      <c r="B74" s="31" t="s">
        <v>588</v>
      </c>
      <c r="C74" s="36" t="s">
        <v>587</v>
      </c>
      <c r="D74" s="157" t="s">
        <v>11</v>
      </c>
      <c r="E74" s="5"/>
      <c r="F74" s="38"/>
      <c r="G74" s="158"/>
    </row>
    <row r="75" spans="2:10">
      <c r="B75" s="5"/>
      <c r="C75" s="38">
        <v>7.208677E-5</v>
      </c>
      <c r="D75" s="158" t="s">
        <v>609</v>
      </c>
      <c r="E75" s="5"/>
      <c r="F75" s="38">
        <v>9.7876610000000009E-4</v>
      </c>
      <c r="G75" s="309" t="s">
        <v>579</v>
      </c>
    </row>
    <row r="76" spans="2:10">
      <c r="B76" s="5"/>
      <c r="C76" s="38"/>
      <c r="D76" s="158"/>
      <c r="E76" s="5"/>
      <c r="F76" s="38">
        <v>1.3228738000000001E-3</v>
      </c>
      <c r="G76" s="309"/>
    </row>
    <row r="77" spans="2:10" ht="15" thickBot="1">
      <c r="B77" s="5"/>
      <c r="C77" s="38">
        <v>7.208677E-5</v>
      </c>
      <c r="D77" s="158" t="s">
        <v>564</v>
      </c>
      <c r="E77" s="5"/>
      <c r="F77" s="38">
        <v>1.8004504E-3</v>
      </c>
      <c r="G77" s="309"/>
    </row>
    <row r="78" spans="2:10" ht="15" thickBot="1">
      <c r="B78" s="311" t="s">
        <v>591</v>
      </c>
      <c r="C78" s="312"/>
      <c r="D78" s="313"/>
      <c r="E78" s="5"/>
      <c r="F78" s="38">
        <v>2.4210176999999999E-3</v>
      </c>
      <c r="G78" s="309"/>
    </row>
    <row r="79" spans="2:10" ht="16.5">
      <c r="B79" s="31" t="s">
        <v>588</v>
      </c>
      <c r="C79" s="36" t="s">
        <v>587</v>
      </c>
      <c r="D79" s="157" t="s">
        <v>11</v>
      </c>
      <c r="E79" s="5"/>
      <c r="F79" s="38">
        <v>3.2195025000000001E-3</v>
      </c>
      <c r="G79" s="309"/>
    </row>
    <row r="80" spans="2:10">
      <c r="B80" s="5"/>
      <c r="C80" s="38">
        <v>1.1549844999999999E-3</v>
      </c>
      <c r="D80" s="158" t="s">
        <v>604</v>
      </c>
      <c r="E80" s="5"/>
      <c r="F80" s="38"/>
      <c r="G80" s="158"/>
    </row>
    <row r="81" spans="2:7">
      <c r="B81" s="5"/>
      <c r="C81" s="38"/>
      <c r="D81" s="158"/>
      <c r="E81" s="5"/>
      <c r="F81" s="38">
        <v>1.5421364000000001E-3</v>
      </c>
      <c r="G81" s="309" t="s">
        <v>609</v>
      </c>
    </row>
    <row r="82" spans="2:7">
      <c r="B82" s="5"/>
      <c r="C82" s="38">
        <v>1.6602762999999999E-3</v>
      </c>
      <c r="D82" s="158" t="s">
        <v>611</v>
      </c>
      <c r="E82" s="5"/>
      <c r="F82" s="38">
        <v>2.4210176999999999E-3</v>
      </c>
      <c r="G82" s="309"/>
    </row>
    <row r="83" spans="2:7">
      <c r="B83" s="5"/>
      <c r="C83" s="38"/>
      <c r="D83" s="158"/>
      <c r="E83" s="5"/>
      <c r="F83" s="38">
        <v>4.2546954999999999E-3</v>
      </c>
      <c r="G83" s="309"/>
    </row>
    <row r="84" spans="2:7" ht="15" thickBot="1">
      <c r="B84" s="5"/>
      <c r="C84" s="38">
        <v>1.1549844999999999E-3</v>
      </c>
      <c r="D84" s="158" t="s">
        <v>564</v>
      </c>
      <c r="E84" s="5"/>
      <c r="F84" s="38"/>
      <c r="G84" s="158"/>
    </row>
    <row r="85" spans="2:7" ht="15" thickBot="1">
      <c r="B85" s="311" t="s">
        <v>592</v>
      </c>
      <c r="C85" s="312"/>
      <c r="D85" s="313"/>
      <c r="E85" s="5"/>
      <c r="F85" s="38">
        <v>1.5421364000000001E-3</v>
      </c>
      <c r="G85" s="309" t="s">
        <v>564</v>
      </c>
    </row>
    <row r="86" spans="2:7" ht="16.5">
      <c r="B86" s="31" t="s">
        <v>588</v>
      </c>
      <c r="C86" s="36" t="s">
        <v>587</v>
      </c>
      <c r="D86" s="157" t="s">
        <v>11</v>
      </c>
      <c r="E86" s="5"/>
      <c r="F86" s="38">
        <v>2.4210176999999999E-3</v>
      </c>
      <c r="G86" s="309"/>
    </row>
    <row r="87" spans="2:7" ht="15" thickBot="1">
      <c r="B87" s="5"/>
      <c r="C87" s="38">
        <v>4.564092E-5</v>
      </c>
      <c r="D87" s="158" t="s">
        <v>604</v>
      </c>
      <c r="E87" s="23"/>
      <c r="F87" s="39">
        <v>4.2546954999999999E-3</v>
      </c>
      <c r="G87" s="310"/>
    </row>
    <row r="88" spans="2:7" ht="15" thickBot="1">
      <c r="B88" s="5"/>
      <c r="C88" s="38"/>
      <c r="D88" s="158"/>
      <c r="E88" s="311" t="s">
        <v>596</v>
      </c>
      <c r="F88" s="312"/>
      <c r="G88" s="313"/>
    </row>
    <row r="89" spans="2:7" ht="16.5">
      <c r="B89" s="5"/>
      <c r="C89" s="38">
        <v>4.564092E-5</v>
      </c>
      <c r="D89" s="158" t="s">
        <v>612</v>
      </c>
      <c r="E89" s="31" t="s">
        <v>588</v>
      </c>
      <c r="F89" s="36" t="s">
        <v>587</v>
      </c>
      <c r="G89" s="157" t="s">
        <v>11</v>
      </c>
    </row>
    <row r="90" spans="2:7">
      <c r="B90" s="5"/>
      <c r="C90" s="38"/>
      <c r="D90" s="158"/>
      <c r="E90" s="5"/>
      <c r="F90" s="38">
        <v>1.9887793E-5</v>
      </c>
      <c r="G90" s="309" t="s">
        <v>579</v>
      </c>
    </row>
    <row r="91" spans="2:7" ht="15" thickBot="1">
      <c r="B91" s="23"/>
      <c r="C91" s="39">
        <v>4.564092E-5</v>
      </c>
      <c r="D91" s="161" t="s">
        <v>613</v>
      </c>
      <c r="E91" s="5"/>
      <c r="F91" s="38">
        <v>3.6377147000000003E-5</v>
      </c>
      <c r="G91" s="309"/>
    </row>
    <row r="92" spans="2:7">
      <c r="E92" s="5"/>
      <c r="F92" s="38">
        <v>6.2237360000000005E-5</v>
      </c>
      <c r="G92" s="309"/>
    </row>
    <row r="93" spans="2:7">
      <c r="E93" s="5"/>
      <c r="F93" s="38">
        <v>1.0521638E-4</v>
      </c>
      <c r="G93" s="309"/>
    </row>
    <row r="94" spans="2:7" ht="15" thickBot="1">
      <c r="E94" s="23"/>
      <c r="F94" s="39">
        <v>1.7140727E-4</v>
      </c>
      <c r="G94" s="310"/>
    </row>
    <row r="95" spans="2:7" ht="15" thickBot="1">
      <c r="E95" s="311" t="s">
        <v>597</v>
      </c>
      <c r="F95" s="312"/>
      <c r="G95" s="313"/>
    </row>
    <row r="96" spans="2:7" ht="16.5">
      <c r="E96" s="31" t="s">
        <v>588</v>
      </c>
      <c r="F96" s="36" t="s">
        <v>587</v>
      </c>
      <c r="G96" s="157" t="s">
        <v>11</v>
      </c>
    </row>
    <row r="97" spans="5:7">
      <c r="E97" s="5"/>
      <c r="F97" s="38">
        <v>6.4661599999999998E-5</v>
      </c>
      <c r="G97" s="164" t="s">
        <v>612</v>
      </c>
    </row>
    <row r="98" spans="5:7">
      <c r="E98" s="5"/>
      <c r="F98" s="38"/>
      <c r="G98" s="164"/>
    </row>
    <row r="99" spans="5:7">
      <c r="E99" s="5"/>
      <c r="F99" s="38">
        <v>2.7490902E-5</v>
      </c>
      <c r="G99" s="316" t="s">
        <v>579</v>
      </c>
    </row>
    <row r="100" spans="5:7">
      <c r="E100" s="5"/>
      <c r="F100" s="38">
        <v>4.9793947E-5</v>
      </c>
      <c r="G100" s="316"/>
    </row>
    <row r="101" spans="5:7">
      <c r="E101" s="5"/>
      <c r="F101" s="38">
        <v>8.4500110000000002E-5</v>
      </c>
      <c r="G101" s="316"/>
    </row>
    <row r="102" spans="5:7">
      <c r="E102" s="5"/>
      <c r="F102" s="38">
        <v>1.4169249999999999E-4</v>
      </c>
      <c r="G102" s="316"/>
    </row>
    <row r="103" spans="5:7" ht="15" thickBot="1">
      <c r="E103" s="5"/>
      <c r="F103" s="38">
        <v>2.2915901999999999E-4</v>
      </c>
      <c r="G103" s="316"/>
    </row>
    <row r="104" spans="5:7" ht="15" thickBot="1">
      <c r="E104" s="311" t="s">
        <v>598</v>
      </c>
      <c r="F104" s="312"/>
      <c r="G104" s="313"/>
    </row>
    <row r="105" spans="5:7" ht="16.5">
      <c r="E105" s="31" t="s">
        <v>588</v>
      </c>
      <c r="F105" s="36" t="s">
        <v>587</v>
      </c>
      <c r="G105" s="157" t="s">
        <v>11</v>
      </c>
    </row>
    <row r="106" spans="5:7">
      <c r="E106" s="5"/>
      <c r="F106" s="38">
        <v>7.3198613000000003E-4</v>
      </c>
      <c r="G106" s="309" t="s">
        <v>579</v>
      </c>
    </row>
    <row r="107" spans="5:7">
      <c r="E107" s="5"/>
      <c r="F107" s="38">
        <v>1.0037071E-3</v>
      </c>
      <c r="G107" s="309"/>
    </row>
    <row r="108" spans="5:7">
      <c r="E108" s="5"/>
      <c r="F108" s="38">
        <v>1.3858761999999999E-3</v>
      </c>
      <c r="G108" s="309"/>
    </row>
    <row r="109" spans="5:7">
      <c r="E109" s="5"/>
      <c r="F109" s="38">
        <v>1.8868347E-3</v>
      </c>
      <c r="G109" s="309"/>
    </row>
    <row r="110" spans="5:7" ht="15" thickBot="1">
      <c r="E110" s="23"/>
      <c r="F110" s="39">
        <v>2.5356509999999999E-3</v>
      </c>
      <c r="G110" s="310"/>
    </row>
  </sheetData>
  <mergeCells count="54">
    <mergeCell ref="K43:M43"/>
    <mergeCell ref="M45:M50"/>
    <mergeCell ref="B4:M4"/>
    <mergeCell ref="B3:M3"/>
    <mergeCell ref="B2:M2"/>
    <mergeCell ref="K5:M5"/>
    <mergeCell ref="M7:M23"/>
    <mergeCell ref="M25:M30"/>
    <mergeCell ref="K31:M31"/>
    <mergeCell ref="M33:M38"/>
    <mergeCell ref="M40:M42"/>
    <mergeCell ref="E5:G5"/>
    <mergeCell ref="G106:G110"/>
    <mergeCell ref="H5:J5"/>
    <mergeCell ref="J7:J23"/>
    <mergeCell ref="H24:J24"/>
    <mergeCell ref="J26:J28"/>
    <mergeCell ref="J30:J41"/>
    <mergeCell ref="H42:J42"/>
    <mergeCell ref="J46:J57"/>
    <mergeCell ref="H58:J58"/>
    <mergeCell ref="J60:J71"/>
    <mergeCell ref="G85:G87"/>
    <mergeCell ref="E88:G88"/>
    <mergeCell ref="G90:G94"/>
    <mergeCell ref="E95:G95"/>
    <mergeCell ref="G99:G103"/>
    <mergeCell ref="E104:G104"/>
    <mergeCell ref="G58:G62"/>
    <mergeCell ref="G64:G66"/>
    <mergeCell ref="G68:G70"/>
    <mergeCell ref="E71:G71"/>
    <mergeCell ref="G75:G79"/>
    <mergeCell ref="G81:G83"/>
    <mergeCell ref="B78:D78"/>
    <mergeCell ref="B85:D85"/>
    <mergeCell ref="G7:G23"/>
    <mergeCell ref="G26:G30"/>
    <mergeCell ref="E31:G31"/>
    <mergeCell ref="G35:G39"/>
    <mergeCell ref="G41:G43"/>
    <mergeCell ref="G45:G47"/>
    <mergeCell ref="G51:G53"/>
    <mergeCell ref="E54:G54"/>
    <mergeCell ref="B38:D38"/>
    <mergeCell ref="D44:D47"/>
    <mergeCell ref="D49:D59"/>
    <mergeCell ref="D63:D65"/>
    <mergeCell ref="D67:D70"/>
    <mergeCell ref="B73:D73"/>
    <mergeCell ref="D7:D10"/>
    <mergeCell ref="D12:D28"/>
    <mergeCell ref="D30:D37"/>
    <mergeCell ref="B5:D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0807F-677D-486C-A091-A2E2D9178BC8}">
  <dimension ref="B1:P51"/>
  <sheetViews>
    <sheetView topLeftCell="C1" zoomScale="85" zoomScaleNormal="85" workbookViewId="0">
      <selection activeCell="N35" sqref="N35:N44"/>
    </sheetView>
  </sheetViews>
  <sheetFormatPr defaultRowHeight="14.5"/>
  <cols>
    <col min="1" max="1" width="8.7265625" style="1"/>
    <col min="2" max="3" width="27.90625" style="1" customWidth="1"/>
    <col min="4" max="6" width="27.7265625" style="1" customWidth="1"/>
    <col min="7" max="9" width="28" style="1" customWidth="1"/>
    <col min="10" max="12" width="28.1796875" style="1" customWidth="1"/>
    <col min="13" max="16" width="28" style="1" customWidth="1"/>
    <col min="17" max="16384" width="8.7265625" style="1"/>
  </cols>
  <sheetData>
    <row r="1" spans="2:16" ht="15" thickBot="1"/>
    <row r="2" spans="2:16">
      <c r="B2" s="227" t="s">
        <v>617</v>
      </c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9"/>
    </row>
    <row r="3" spans="2:16">
      <c r="B3" s="233" t="s">
        <v>619</v>
      </c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5"/>
    </row>
    <row r="4" spans="2:16" ht="15" thickBot="1">
      <c r="B4" s="230" t="s">
        <v>399</v>
      </c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2"/>
    </row>
    <row r="5" spans="2:16" ht="15" thickBot="1">
      <c r="B5" s="311" t="s">
        <v>621</v>
      </c>
      <c r="C5" s="312"/>
      <c r="D5" s="313"/>
      <c r="E5" s="311" t="s">
        <v>623</v>
      </c>
      <c r="F5" s="312"/>
      <c r="G5" s="312"/>
      <c r="H5" s="311" t="s">
        <v>625</v>
      </c>
      <c r="I5" s="312"/>
      <c r="J5" s="313"/>
      <c r="K5" s="311" t="s">
        <v>630</v>
      </c>
      <c r="L5" s="312"/>
      <c r="M5" s="313"/>
      <c r="N5" s="311" t="s">
        <v>634</v>
      </c>
      <c r="O5" s="312"/>
      <c r="P5" s="313"/>
    </row>
    <row r="6" spans="2:16" ht="16.5">
      <c r="B6" s="31" t="s">
        <v>588</v>
      </c>
      <c r="C6" s="36" t="s">
        <v>587</v>
      </c>
      <c r="D6" s="157" t="s">
        <v>11</v>
      </c>
      <c r="E6" s="31" t="s">
        <v>588</v>
      </c>
      <c r="F6" s="36" t="s">
        <v>587</v>
      </c>
      <c r="G6" s="163" t="s">
        <v>11</v>
      </c>
      <c r="H6" s="31" t="s">
        <v>588</v>
      </c>
      <c r="I6" s="36" t="s">
        <v>587</v>
      </c>
      <c r="J6" s="157" t="s">
        <v>11</v>
      </c>
      <c r="K6" s="31" t="s">
        <v>588</v>
      </c>
      <c r="L6" s="36" t="s">
        <v>587</v>
      </c>
      <c r="M6" s="157" t="s">
        <v>11</v>
      </c>
      <c r="N6" s="31" t="s">
        <v>588</v>
      </c>
      <c r="O6" s="36" t="s">
        <v>587</v>
      </c>
      <c r="P6" s="157" t="s">
        <v>11</v>
      </c>
    </row>
    <row r="7" spans="2:16">
      <c r="B7" s="9"/>
      <c r="C7" s="76">
        <v>7.8125790000000001E-2</v>
      </c>
      <c r="D7" s="317" t="s">
        <v>401</v>
      </c>
      <c r="E7" s="9"/>
      <c r="F7" s="76">
        <v>3.9615734999999999E-2</v>
      </c>
      <c r="G7" s="322" t="s">
        <v>620</v>
      </c>
      <c r="H7" s="9"/>
      <c r="I7" s="76">
        <v>7.3168159999999996E-2</v>
      </c>
      <c r="J7" s="309" t="s">
        <v>620</v>
      </c>
      <c r="K7" s="9"/>
      <c r="L7" s="76">
        <v>2.9280845E-2</v>
      </c>
      <c r="M7" s="309" t="s">
        <v>620</v>
      </c>
      <c r="N7" s="9"/>
      <c r="O7" s="76">
        <v>0.13421382000000001</v>
      </c>
      <c r="P7" s="309" t="s">
        <v>620</v>
      </c>
    </row>
    <row r="8" spans="2:16">
      <c r="B8" s="9"/>
      <c r="C8" s="76">
        <v>8.1207050000000003E-2</v>
      </c>
      <c r="D8" s="317"/>
      <c r="E8" s="9"/>
      <c r="F8" s="76">
        <v>4.2128350000000002E-2</v>
      </c>
      <c r="G8" s="322"/>
      <c r="H8" s="9"/>
      <c r="I8" s="76">
        <v>7.7050634000000007E-2</v>
      </c>
      <c r="J8" s="309"/>
      <c r="K8" s="9"/>
      <c r="L8" s="76">
        <v>3.6199062999999997E-2</v>
      </c>
      <c r="M8" s="309"/>
      <c r="N8" s="9"/>
      <c r="O8" s="76">
        <v>0.13004426999999999</v>
      </c>
      <c r="P8" s="309"/>
    </row>
    <row r="9" spans="2:16">
      <c r="B9" s="9"/>
      <c r="C9" s="76">
        <v>8.4413600000000005E-2</v>
      </c>
      <c r="D9" s="317"/>
      <c r="E9" s="9"/>
      <c r="F9" s="76">
        <v>4.4903527999999998E-2</v>
      </c>
      <c r="G9" s="322"/>
      <c r="H9" s="9"/>
      <c r="I9" s="76">
        <v>8.1261866000000002E-2</v>
      </c>
      <c r="J9" s="309"/>
      <c r="K9" s="9"/>
      <c r="L9" s="76">
        <v>4.1740595999999998E-2</v>
      </c>
      <c r="M9" s="309"/>
      <c r="N9" s="9"/>
      <c r="O9" s="76">
        <v>0.13421382000000001</v>
      </c>
      <c r="P9" s="309"/>
    </row>
    <row r="10" spans="2:16">
      <c r="B10" s="9"/>
      <c r="C10" s="76">
        <v>8.7749069999999998E-2</v>
      </c>
      <c r="D10" s="317"/>
      <c r="E10" s="9"/>
      <c r="F10" s="76">
        <v>5.0826761999999998E-2</v>
      </c>
      <c r="G10" s="322"/>
      <c r="H10" s="9"/>
      <c r="I10" s="76">
        <v>9.0151176E-2</v>
      </c>
      <c r="J10" s="309"/>
      <c r="K10" s="9"/>
      <c r="L10" s="76">
        <v>2.7300334999999998E-2</v>
      </c>
      <c r="M10" s="309"/>
      <c r="N10" s="9"/>
      <c r="O10" s="76">
        <v>0.13851442999999999</v>
      </c>
      <c r="P10" s="309"/>
    </row>
    <row r="11" spans="2:16" ht="15" thickBot="1">
      <c r="B11" s="9"/>
      <c r="C11" s="76">
        <v>9.1217099999999995E-2</v>
      </c>
      <c r="D11" s="317"/>
      <c r="E11" s="9"/>
      <c r="F11" s="76">
        <v>5.7397876E-2</v>
      </c>
      <c r="G11" s="322"/>
      <c r="H11" s="9"/>
      <c r="I11" s="76">
        <v>9.9852220000000005E-2</v>
      </c>
      <c r="J11" s="309"/>
      <c r="K11" s="9"/>
      <c r="L11" s="76">
        <v>2.9280845E-2</v>
      </c>
      <c r="M11" s="309"/>
      <c r="N11" s="9"/>
      <c r="O11" s="76">
        <v>0.14758751000000001</v>
      </c>
      <c r="P11" s="309"/>
    </row>
    <row r="12" spans="2:16" ht="15" thickBot="1">
      <c r="B12" s="9"/>
      <c r="C12" s="76">
        <v>9.4821379999999997E-2</v>
      </c>
      <c r="D12" s="317"/>
      <c r="E12" s="9"/>
      <c r="F12" s="76">
        <v>5.7397876E-2</v>
      </c>
      <c r="G12" s="322"/>
      <c r="H12" s="311" t="s">
        <v>626</v>
      </c>
      <c r="I12" s="312"/>
      <c r="J12" s="313"/>
      <c r="K12" s="9"/>
      <c r="L12" s="76">
        <v>3.1402304999999998E-2</v>
      </c>
      <c r="M12" s="309"/>
      <c r="N12" s="9"/>
      <c r="O12" s="76">
        <v>0.15729420999999999</v>
      </c>
      <c r="P12" s="309"/>
    </row>
    <row r="13" spans="2:16" ht="17" thickBot="1">
      <c r="B13" s="9"/>
      <c r="C13" s="76">
        <v>9.8565615999999995E-2</v>
      </c>
      <c r="D13" s="317"/>
      <c r="E13" s="319" t="s">
        <v>624</v>
      </c>
      <c r="F13" s="320"/>
      <c r="G13" s="320"/>
      <c r="H13" s="31" t="s">
        <v>588</v>
      </c>
      <c r="I13" s="36" t="s">
        <v>587</v>
      </c>
      <c r="J13" s="157" t="s">
        <v>11</v>
      </c>
      <c r="K13" s="9"/>
      <c r="L13" s="76">
        <v>3.6199062999999997E-2</v>
      </c>
      <c r="M13" s="309"/>
      <c r="N13" s="311" t="s">
        <v>635</v>
      </c>
      <c r="O13" s="312"/>
      <c r="P13" s="313"/>
    </row>
    <row r="14" spans="2:16" ht="17" thickBot="1">
      <c r="B14" s="9"/>
      <c r="C14" s="76">
        <v>0.10245355</v>
      </c>
      <c r="D14" s="317"/>
      <c r="E14" s="165" t="s">
        <v>588</v>
      </c>
      <c r="F14" s="166" t="s">
        <v>587</v>
      </c>
      <c r="G14" s="171" t="s">
        <v>11</v>
      </c>
      <c r="H14" s="9"/>
      <c r="I14" s="76">
        <v>2.3557996000000001E-2</v>
      </c>
      <c r="J14" s="309" t="s">
        <v>620</v>
      </c>
      <c r="K14" s="311" t="s">
        <v>631</v>
      </c>
      <c r="L14" s="312"/>
      <c r="M14" s="313"/>
      <c r="N14" s="31" t="s">
        <v>588</v>
      </c>
      <c r="O14" s="36" t="s">
        <v>587</v>
      </c>
      <c r="P14" s="157" t="s">
        <v>11</v>
      </c>
    </row>
    <row r="15" spans="2:16" ht="16.5">
      <c r="B15" s="9"/>
      <c r="C15" s="76"/>
      <c r="D15" s="168"/>
      <c r="E15" s="9"/>
      <c r="F15" s="76">
        <v>3.3593119999999997E-2</v>
      </c>
      <c r="G15" s="322" t="s">
        <v>620</v>
      </c>
      <c r="H15" s="9"/>
      <c r="I15" s="76">
        <v>2.5790693E-2</v>
      </c>
      <c r="J15" s="309"/>
      <c r="K15" s="31"/>
      <c r="L15" s="36" t="s">
        <v>587</v>
      </c>
      <c r="M15" s="157" t="s">
        <v>11</v>
      </c>
      <c r="N15" s="7"/>
      <c r="O15" s="76">
        <v>2.2497157E-2</v>
      </c>
      <c r="P15" s="309" t="s">
        <v>620</v>
      </c>
    </row>
    <row r="16" spans="2:16">
      <c r="B16" s="9"/>
      <c r="C16" s="169">
        <v>8.7749069999999998E-2</v>
      </c>
      <c r="D16" s="317" t="s">
        <v>620</v>
      </c>
      <c r="E16" s="9"/>
      <c r="F16" s="76">
        <v>3.4979272999999998E-2</v>
      </c>
      <c r="G16" s="322"/>
      <c r="H16" s="9"/>
      <c r="I16" s="76">
        <v>2.5790693E-2</v>
      </c>
      <c r="J16" s="309"/>
      <c r="K16" s="7"/>
      <c r="L16" s="76">
        <v>7.2917019999999999E-2</v>
      </c>
      <c r="M16" s="309" t="s">
        <v>620</v>
      </c>
      <c r="N16" s="7"/>
      <c r="O16" s="76">
        <v>2.5431204999999998E-2</v>
      </c>
      <c r="P16" s="309"/>
    </row>
    <row r="17" spans="2:16">
      <c r="B17" s="9"/>
      <c r="C17" s="169">
        <v>9.1217099999999995E-2</v>
      </c>
      <c r="D17" s="317"/>
      <c r="E17" s="9"/>
      <c r="F17" s="76">
        <v>3.6468840000000002E-2</v>
      </c>
      <c r="G17" s="322"/>
      <c r="H17" s="9"/>
      <c r="I17" s="76">
        <v>2.8109089E-2</v>
      </c>
      <c r="J17" s="309"/>
      <c r="K17" s="7"/>
      <c r="L17" s="76">
        <v>7.5321990000000005E-2</v>
      </c>
      <c r="M17" s="309"/>
      <c r="N17" s="7"/>
      <c r="O17" s="76">
        <v>2.8551383E-2</v>
      </c>
      <c r="P17" s="309"/>
    </row>
    <row r="18" spans="2:16" ht="15" thickBot="1">
      <c r="B18" s="10"/>
      <c r="C18" s="170">
        <v>9.8565615999999995E-2</v>
      </c>
      <c r="D18" s="318"/>
      <c r="E18" s="9"/>
      <c r="F18" s="76">
        <v>3.8046694999999998E-2</v>
      </c>
      <c r="G18" s="322"/>
      <c r="H18" s="9"/>
      <c r="I18" s="76">
        <v>3.3234920000000001E-2</v>
      </c>
      <c r="J18" s="309"/>
      <c r="K18" s="7"/>
      <c r="L18" s="76">
        <v>8.0705399999999997E-2</v>
      </c>
      <c r="M18" s="309"/>
      <c r="N18" s="7"/>
      <c r="O18" s="76">
        <v>3.1863704E-2</v>
      </c>
      <c r="P18" s="309"/>
    </row>
    <row r="19" spans="2:16" ht="15" thickBot="1">
      <c r="B19" s="319" t="s">
        <v>622</v>
      </c>
      <c r="C19" s="320"/>
      <c r="D19" s="321"/>
      <c r="E19" s="10"/>
      <c r="F19" s="137">
        <v>3.9743476E-2</v>
      </c>
      <c r="G19" s="323"/>
      <c r="H19" s="9"/>
      <c r="I19" s="76">
        <v>3.892147E-2</v>
      </c>
      <c r="J19" s="309"/>
      <c r="K19" s="7"/>
      <c r="L19" s="76">
        <v>8.6830414999999994E-2</v>
      </c>
      <c r="M19" s="309"/>
      <c r="N19" s="7"/>
      <c r="O19" s="76">
        <v>3.5372372999999999E-2</v>
      </c>
      <c r="P19" s="309"/>
    </row>
    <row r="20" spans="2:16" ht="17" thickBot="1">
      <c r="B20" s="165" t="s">
        <v>588</v>
      </c>
      <c r="C20" s="166" t="s">
        <v>587</v>
      </c>
      <c r="D20" s="167" t="s">
        <v>11</v>
      </c>
      <c r="G20" s="141"/>
      <c r="H20" s="311" t="s">
        <v>627</v>
      </c>
      <c r="I20" s="312"/>
      <c r="J20" s="313"/>
      <c r="K20" s="7"/>
      <c r="L20" s="76">
        <v>7.066625E-2</v>
      </c>
      <c r="M20" s="309"/>
      <c r="N20" s="7"/>
      <c r="O20" s="76">
        <v>2.2497157E-2</v>
      </c>
      <c r="P20" s="309"/>
    </row>
    <row r="21" spans="2:16" ht="16.5">
      <c r="B21" s="7"/>
      <c r="C21" s="76">
        <v>7.6146790000000006E-2</v>
      </c>
      <c r="D21" s="317" t="s">
        <v>401</v>
      </c>
      <c r="H21" s="31" t="s">
        <v>588</v>
      </c>
      <c r="I21" s="36" t="s">
        <v>587</v>
      </c>
      <c r="J21" s="157" t="s">
        <v>11</v>
      </c>
      <c r="K21" s="7"/>
      <c r="L21" s="76">
        <v>7.2917019999999999E-2</v>
      </c>
      <c r="M21" s="309"/>
      <c r="N21" s="7"/>
      <c r="O21" s="76">
        <v>2.5431204999999998E-2</v>
      </c>
      <c r="P21" s="309"/>
    </row>
    <row r="22" spans="2:16">
      <c r="B22" s="7"/>
      <c r="C22" s="76">
        <v>7.8508820000000007E-2</v>
      </c>
      <c r="D22" s="317"/>
      <c r="H22" s="7"/>
      <c r="I22" s="76">
        <v>3.6969374999999999E-2</v>
      </c>
      <c r="J22" s="309" t="s">
        <v>620</v>
      </c>
      <c r="K22" s="7"/>
      <c r="L22" s="76">
        <v>7.5321990000000005E-2</v>
      </c>
      <c r="M22" s="309"/>
      <c r="N22" s="7"/>
      <c r="O22" s="76">
        <v>2.8551383E-2</v>
      </c>
      <c r="P22" s="309"/>
    </row>
    <row r="23" spans="2:16" ht="15" thickBot="1">
      <c r="B23" s="7"/>
      <c r="C23" s="76">
        <v>8.0955819999999998E-2</v>
      </c>
      <c r="D23" s="317"/>
      <c r="H23" s="7"/>
      <c r="I23" s="76">
        <v>3.8976909999999997E-2</v>
      </c>
      <c r="J23" s="309"/>
      <c r="K23" s="7"/>
      <c r="L23" s="76">
        <v>8.0705399999999997E-2</v>
      </c>
      <c r="M23" s="309"/>
      <c r="N23" s="7"/>
      <c r="O23" s="76">
        <v>3.1863704E-2</v>
      </c>
      <c r="P23" s="309"/>
    </row>
    <row r="24" spans="2:16" ht="15" thickBot="1">
      <c r="B24" s="7"/>
      <c r="C24" s="76">
        <v>8.3500909999999998E-2</v>
      </c>
      <c r="D24" s="317"/>
      <c r="H24" s="7"/>
      <c r="I24" s="76">
        <v>3.8976909999999997E-2</v>
      </c>
      <c r="J24" s="309"/>
      <c r="K24" s="7"/>
      <c r="L24" s="76">
        <v>8.6830414999999994E-2</v>
      </c>
      <c r="M24" s="309"/>
      <c r="N24" s="311" t="s">
        <v>636</v>
      </c>
      <c r="O24" s="312"/>
      <c r="P24" s="313"/>
    </row>
    <row r="25" spans="2:16" ht="17" thickBot="1">
      <c r="B25" s="7"/>
      <c r="C25" s="76">
        <v>8.6134699999999995E-2</v>
      </c>
      <c r="D25" s="317"/>
      <c r="H25" s="7"/>
      <c r="I25" s="76">
        <v>4.1083317000000001E-2</v>
      </c>
      <c r="J25" s="309"/>
      <c r="K25" s="311" t="s">
        <v>632</v>
      </c>
      <c r="L25" s="312"/>
      <c r="M25" s="313"/>
      <c r="N25" s="31" t="s">
        <v>588</v>
      </c>
      <c r="O25" s="36" t="s">
        <v>587</v>
      </c>
      <c r="P25" s="157" t="s">
        <v>11</v>
      </c>
    </row>
    <row r="26" spans="2:16" ht="16.5">
      <c r="B26" s="7"/>
      <c r="C26" s="76">
        <v>8.8888449999999994E-2</v>
      </c>
      <c r="D26" s="317"/>
      <c r="H26" s="7"/>
      <c r="I26" s="76">
        <v>4.1083317000000001E-2</v>
      </c>
      <c r="J26" s="309"/>
      <c r="K26" s="31" t="s">
        <v>588</v>
      </c>
      <c r="L26" s="36" t="s">
        <v>587</v>
      </c>
      <c r="M26" s="157" t="s">
        <v>11</v>
      </c>
      <c r="N26" s="9"/>
      <c r="O26" s="77">
        <v>0.13930980000000001</v>
      </c>
      <c r="P26" s="309" t="s">
        <v>620</v>
      </c>
    </row>
    <row r="27" spans="2:16">
      <c r="B27" s="7"/>
      <c r="C27" s="76">
        <v>9.1705300000000003E-2</v>
      </c>
      <c r="D27" s="317"/>
      <c r="H27" s="7"/>
      <c r="I27" s="76">
        <v>4.5606951999999999E-2</v>
      </c>
      <c r="J27" s="309"/>
      <c r="K27" s="9"/>
      <c r="L27" s="77">
        <v>0.10007154</v>
      </c>
      <c r="M27" s="309" t="s">
        <v>620</v>
      </c>
      <c r="N27" s="83"/>
      <c r="O27" s="77">
        <v>0.15723102</v>
      </c>
      <c r="P27" s="309"/>
    </row>
    <row r="28" spans="2:16">
      <c r="B28" s="7"/>
      <c r="C28" s="76">
        <v>9.4651879999999994E-2</v>
      </c>
      <c r="D28" s="317"/>
      <c r="H28" s="7"/>
      <c r="I28" s="76">
        <v>4.5606951999999999E-2</v>
      </c>
      <c r="J28" s="309"/>
      <c r="K28" s="9"/>
      <c r="L28" s="77">
        <v>0.10243724999999999</v>
      </c>
      <c r="M28" s="309"/>
      <c r="N28" s="9"/>
      <c r="O28" s="77">
        <v>0.13105244999999999</v>
      </c>
      <c r="P28" s="309"/>
    </row>
    <row r="29" spans="2:16">
      <c r="B29" s="7"/>
      <c r="C29" s="76"/>
      <c r="D29" s="168"/>
      <c r="H29" s="7"/>
      <c r="I29" s="76">
        <v>5.0566173999999998E-2</v>
      </c>
      <c r="J29" s="309"/>
      <c r="K29" s="9"/>
      <c r="L29" s="77">
        <v>0.10500664</v>
      </c>
      <c r="M29" s="309"/>
      <c r="N29" s="9"/>
      <c r="O29" s="77">
        <v>0.13510858000000001</v>
      </c>
      <c r="P29" s="309"/>
    </row>
    <row r="30" spans="2:16" ht="15" thickBot="1">
      <c r="B30" s="7"/>
      <c r="C30" s="76">
        <v>8.6134699999999995E-2</v>
      </c>
      <c r="D30" s="317" t="s">
        <v>620</v>
      </c>
      <c r="H30" s="7"/>
      <c r="I30" s="76">
        <v>5.0566173999999998E-2</v>
      </c>
      <c r="J30" s="309"/>
      <c r="K30" s="9"/>
      <c r="L30" s="77">
        <v>0.1107805</v>
      </c>
      <c r="M30" s="309"/>
      <c r="N30" s="9"/>
      <c r="O30" s="77">
        <v>0.13930980000000001</v>
      </c>
      <c r="P30" s="309"/>
    </row>
    <row r="31" spans="2:16" ht="15" thickBot="1">
      <c r="B31" s="7"/>
      <c r="C31" s="76">
        <v>8.8888449999999994E-2</v>
      </c>
      <c r="D31" s="317"/>
      <c r="H31" s="311" t="s">
        <v>628</v>
      </c>
      <c r="I31" s="312"/>
      <c r="J31" s="313"/>
      <c r="K31" s="9"/>
      <c r="L31" s="77">
        <v>0.10007154</v>
      </c>
      <c r="M31" s="309"/>
      <c r="N31" s="9"/>
      <c r="O31" s="77">
        <v>0.14359730000000001</v>
      </c>
      <c r="P31" s="309"/>
    </row>
    <row r="32" spans="2:16" ht="17" thickBot="1">
      <c r="B32" s="7"/>
      <c r="C32" s="76">
        <v>9.4651879999999994E-2</v>
      </c>
      <c r="D32" s="317"/>
      <c r="H32" s="31" t="s">
        <v>588</v>
      </c>
      <c r="I32" s="36" t="s">
        <v>587</v>
      </c>
      <c r="J32" s="157" t="s">
        <v>11</v>
      </c>
      <c r="K32" s="9"/>
      <c r="L32" s="77">
        <v>0.10243724999999999</v>
      </c>
      <c r="M32" s="309"/>
      <c r="N32" s="9"/>
      <c r="O32" s="77">
        <v>0.14801507999999999</v>
      </c>
      <c r="P32" s="309"/>
    </row>
    <row r="33" spans="2:16" ht="15" thickBot="1">
      <c r="B33" s="7"/>
      <c r="C33" s="76">
        <v>8.3500909999999998E-2</v>
      </c>
      <c r="D33" s="317"/>
      <c r="H33" s="7"/>
      <c r="I33" s="76">
        <v>6.2560119999999997E-2</v>
      </c>
      <c r="J33" s="309" t="s">
        <v>620</v>
      </c>
      <c r="K33" s="9"/>
      <c r="L33" s="77">
        <v>0.10500664</v>
      </c>
      <c r="M33" s="309"/>
      <c r="N33" s="311" t="s">
        <v>637</v>
      </c>
      <c r="O33" s="312"/>
      <c r="P33" s="313"/>
    </row>
    <row r="34" spans="2:16" ht="16.5">
      <c r="B34" s="7"/>
      <c r="C34" s="76">
        <v>8.6134699999999995E-2</v>
      </c>
      <c r="D34" s="317"/>
      <c r="H34" s="7"/>
      <c r="I34" s="76">
        <v>6.9055030000000003E-2</v>
      </c>
      <c r="J34" s="309"/>
      <c r="K34" s="9"/>
      <c r="L34" s="77">
        <v>0.10777508500000001</v>
      </c>
      <c r="M34" s="309"/>
      <c r="N34" s="31" t="s">
        <v>588</v>
      </c>
      <c r="O34" s="36" t="s">
        <v>587</v>
      </c>
      <c r="P34" s="157" t="s">
        <v>11</v>
      </c>
    </row>
    <row r="35" spans="2:16" ht="15" thickBot="1">
      <c r="B35" s="7"/>
      <c r="C35" s="76">
        <v>8.8888449999999994E-2</v>
      </c>
      <c r="D35" s="317"/>
      <c r="H35" s="7"/>
      <c r="I35" s="76">
        <v>7.3854100000000006E-2</v>
      </c>
      <c r="J35" s="309"/>
      <c r="K35" s="9"/>
      <c r="L35" s="77">
        <v>0.1107805</v>
      </c>
      <c r="M35" s="309"/>
      <c r="N35" s="159"/>
      <c r="O35" s="54">
        <v>1.3245188000000001E-3</v>
      </c>
      <c r="P35" s="309" t="s">
        <v>620</v>
      </c>
    </row>
    <row r="36" spans="2:16" ht="15" thickBot="1">
      <c r="B36" s="7"/>
      <c r="C36" s="76">
        <v>9.4651879999999994E-2</v>
      </c>
      <c r="D36" s="317"/>
      <c r="H36" s="7"/>
      <c r="I36" s="76">
        <v>6.0584686999999998E-2</v>
      </c>
      <c r="J36" s="309"/>
      <c r="K36" s="311" t="s">
        <v>633</v>
      </c>
      <c r="L36" s="312"/>
      <c r="M36" s="313"/>
      <c r="N36" s="159"/>
      <c r="O36" s="54">
        <v>1.8841750000000001E-3</v>
      </c>
      <c r="P36" s="309"/>
    </row>
    <row r="37" spans="2:16" ht="17" thickBot="1">
      <c r="B37" s="154"/>
      <c r="C37" s="129">
        <v>0.100868374</v>
      </c>
      <c r="D37" s="318"/>
      <c r="H37" s="7"/>
      <c r="I37" s="76">
        <v>6.2560119999999997E-2</v>
      </c>
      <c r="J37" s="309"/>
      <c r="K37" s="31" t="s">
        <v>588</v>
      </c>
      <c r="L37" s="36" t="s">
        <v>587</v>
      </c>
      <c r="M37" s="157" t="s">
        <v>11</v>
      </c>
      <c r="N37" s="159"/>
      <c r="O37" s="54">
        <v>2.6165359E-3</v>
      </c>
      <c r="P37" s="309"/>
    </row>
    <row r="38" spans="2:16">
      <c r="H38" s="7"/>
      <c r="I38" s="76">
        <v>6.463286E-2</v>
      </c>
      <c r="J38" s="309"/>
      <c r="K38" s="7"/>
      <c r="L38" s="76">
        <v>1.1666486E-2</v>
      </c>
      <c r="M38" s="309" t="s">
        <v>620</v>
      </c>
      <c r="N38" s="159"/>
      <c r="O38" s="54">
        <v>3.5404027E-3</v>
      </c>
      <c r="P38" s="309"/>
    </row>
    <row r="39" spans="2:16">
      <c r="H39" s="7"/>
      <c r="I39" s="76">
        <v>6.9055030000000003E-2</v>
      </c>
      <c r="J39" s="309"/>
      <c r="K39" s="7"/>
      <c r="L39" s="76">
        <v>1.2822752E-2</v>
      </c>
      <c r="M39" s="309"/>
      <c r="N39" s="159"/>
      <c r="O39" s="54">
        <v>4.6836682999999999E-3</v>
      </c>
      <c r="P39" s="309"/>
    </row>
    <row r="40" spans="2:16" ht="15" thickBot="1">
      <c r="H40" s="7"/>
      <c r="I40" s="76">
        <v>7.3854100000000006E-2</v>
      </c>
      <c r="J40" s="309"/>
      <c r="K40" s="7"/>
      <c r="L40" s="76">
        <v>1.4090245E-2</v>
      </c>
      <c r="M40" s="309"/>
      <c r="N40" s="159"/>
      <c r="O40" s="54">
        <v>1.3245188000000001E-3</v>
      </c>
      <c r="P40" s="309"/>
    </row>
    <row r="41" spans="2:16" ht="15" thickBot="1">
      <c r="H41" s="311" t="s">
        <v>629</v>
      </c>
      <c r="I41" s="312"/>
      <c r="J41" s="313"/>
      <c r="K41" s="7"/>
      <c r="L41" s="76">
        <v>1.6993068E-2</v>
      </c>
      <c r="M41" s="309"/>
      <c r="N41" s="159"/>
      <c r="O41" s="54">
        <v>1.8841750000000001E-3</v>
      </c>
      <c r="P41" s="309"/>
    </row>
    <row r="42" spans="2:16" ht="16.5">
      <c r="H42" s="31" t="s">
        <v>588</v>
      </c>
      <c r="I42" s="36" t="s">
        <v>587</v>
      </c>
      <c r="J42" s="157" t="s">
        <v>11</v>
      </c>
      <c r="K42" s="7"/>
      <c r="L42" s="76">
        <v>2.0447280000000002E-2</v>
      </c>
      <c r="M42" s="309"/>
      <c r="N42" s="159"/>
      <c r="O42" s="54">
        <v>2.6165359E-3</v>
      </c>
      <c r="P42" s="309"/>
    </row>
    <row r="43" spans="2:16">
      <c r="H43" s="9"/>
      <c r="I43" s="76">
        <v>6.8610704999999994E-2</v>
      </c>
      <c r="J43" s="309" t="s">
        <v>620</v>
      </c>
      <c r="K43" s="7"/>
      <c r="L43" s="76">
        <v>1.1666486E-2</v>
      </c>
      <c r="M43" s="309"/>
      <c r="N43" s="159"/>
      <c r="O43" s="54">
        <v>3.5404027E-3</v>
      </c>
      <c r="P43" s="309"/>
    </row>
    <row r="44" spans="2:16" ht="15" thickBot="1">
      <c r="H44" s="9"/>
      <c r="I44" s="76">
        <v>7.1121216000000001E-2</v>
      </c>
      <c r="J44" s="309"/>
      <c r="K44" s="7"/>
      <c r="L44" s="76">
        <v>1.2822752E-2</v>
      </c>
      <c r="M44" s="309"/>
      <c r="N44" s="160"/>
      <c r="O44" s="58">
        <v>4.6836682999999999E-3</v>
      </c>
      <c r="P44" s="310"/>
    </row>
    <row r="45" spans="2:16">
      <c r="H45" s="9"/>
      <c r="I45" s="76">
        <v>7.3774523999999994E-2</v>
      </c>
      <c r="J45" s="309"/>
      <c r="K45" s="7"/>
      <c r="L45" s="76">
        <v>1.4090245E-2</v>
      </c>
      <c r="M45" s="309"/>
    </row>
    <row r="46" spans="2:16" ht="15" thickBot="1">
      <c r="H46" s="9"/>
      <c r="I46" s="76">
        <v>7.9503550000000006E-2</v>
      </c>
      <c r="J46" s="309"/>
      <c r="K46" s="154"/>
      <c r="L46" s="137">
        <v>1.6993068E-2</v>
      </c>
      <c r="M46" s="310"/>
    </row>
    <row r="47" spans="2:16">
      <c r="H47" s="9"/>
      <c r="I47" s="76">
        <v>6.8610704999999994E-2</v>
      </c>
      <c r="J47" s="309"/>
    </row>
    <row r="48" spans="2:16">
      <c r="H48" s="9"/>
      <c r="I48" s="76">
        <v>7.1121216000000001E-2</v>
      </c>
      <c r="J48" s="309"/>
    </row>
    <row r="49" spans="8:10">
      <c r="H49" s="9"/>
      <c r="I49" s="76">
        <v>7.3774523999999994E-2</v>
      </c>
      <c r="J49" s="309"/>
    </row>
    <row r="50" spans="8:10">
      <c r="H50" s="9"/>
      <c r="I50" s="76">
        <v>7.6564506000000004E-2</v>
      </c>
      <c r="J50" s="309"/>
    </row>
    <row r="51" spans="8:10" ht="15" thickBot="1">
      <c r="H51" s="10"/>
      <c r="I51" s="137">
        <v>7.9503550000000006E-2</v>
      </c>
      <c r="J51" s="310"/>
    </row>
  </sheetData>
  <mergeCells count="39">
    <mergeCell ref="B4:P4"/>
    <mergeCell ref="B3:P3"/>
    <mergeCell ref="B2:P2"/>
    <mergeCell ref="K36:M36"/>
    <mergeCell ref="M38:M46"/>
    <mergeCell ref="N5:P5"/>
    <mergeCell ref="P7:P12"/>
    <mergeCell ref="N13:P13"/>
    <mergeCell ref="P15:P23"/>
    <mergeCell ref="N24:P24"/>
    <mergeCell ref="P26:P32"/>
    <mergeCell ref="N33:P33"/>
    <mergeCell ref="P35:P44"/>
    <mergeCell ref="K5:M5"/>
    <mergeCell ref="M7:M13"/>
    <mergeCell ref="K14:M14"/>
    <mergeCell ref="M16:M24"/>
    <mergeCell ref="K25:M25"/>
    <mergeCell ref="M27:M35"/>
    <mergeCell ref="J22:J30"/>
    <mergeCell ref="H31:J31"/>
    <mergeCell ref="J33:J40"/>
    <mergeCell ref="H41:J41"/>
    <mergeCell ref="J43:J51"/>
    <mergeCell ref="E5:G5"/>
    <mergeCell ref="G7:G12"/>
    <mergeCell ref="E13:G13"/>
    <mergeCell ref="G15:G19"/>
    <mergeCell ref="H5:J5"/>
    <mergeCell ref="J7:J11"/>
    <mergeCell ref="H12:J12"/>
    <mergeCell ref="J14:J19"/>
    <mergeCell ref="H20:J20"/>
    <mergeCell ref="D30:D37"/>
    <mergeCell ref="B5:D5"/>
    <mergeCell ref="D7:D14"/>
    <mergeCell ref="D16:D18"/>
    <mergeCell ref="B19:D19"/>
    <mergeCell ref="D21:D28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B801D-7D4D-4BBD-870B-EFC5FC8AAA60}">
  <dimension ref="B1:C602"/>
  <sheetViews>
    <sheetView zoomScaleNormal="100" workbookViewId="0">
      <selection activeCell="F11" sqref="F11"/>
    </sheetView>
  </sheetViews>
  <sheetFormatPr defaultRowHeight="14.5"/>
  <cols>
    <col min="1" max="1" width="8.7265625" style="1"/>
    <col min="2" max="3" width="25.36328125" style="1" customWidth="1"/>
    <col min="4" max="16384" width="8.7265625" style="1"/>
  </cols>
  <sheetData>
    <row r="1" spans="2:3" ht="15" thickBot="1"/>
    <row r="2" spans="2:3">
      <c r="B2" s="227" t="s">
        <v>638</v>
      </c>
      <c r="C2" s="229"/>
    </row>
    <row r="3" spans="2:3">
      <c r="B3" s="233" t="s">
        <v>639</v>
      </c>
      <c r="C3" s="235"/>
    </row>
    <row r="4" spans="2:3">
      <c r="B4" s="233" t="s">
        <v>387</v>
      </c>
      <c r="C4" s="235"/>
    </row>
    <row r="5" spans="2:3" ht="17" thickBot="1">
      <c r="B5" s="230" t="s">
        <v>642</v>
      </c>
      <c r="C5" s="232"/>
    </row>
    <row r="6" spans="2:3" ht="16.5">
      <c r="B6" s="35" t="s">
        <v>641</v>
      </c>
      <c r="C6" s="85" t="s">
        <v>640</v>
      </c>
    </row>
    <row r="7" spans="2:3">
      <c r="B7" s="89">
        <v>1.3143917232900537E-2</v>
      </c>
      <c r="C7" s="138">
        <v>9.6375849999999995E-4</v>
      </c>
    </row>
    <row r="8" spans="2:3">
      <c r="B8" s="89">
        <v>1.3209450497226438E-2</v>
      </c>
      <c r="C8" s="138">
        <v>1.03327045E-2</v>
      </c>
    </row>
    <row r="9" spans="2:3">
      <c r="B9" s="89">
        <v>1.3275643959777206E-2</v>
      </c>
      <c r="C9" s="138">
        <v>1.9686019999999999E-2</v>
      </c>
    </row>
    <row r="10" spans="2:3">
      <c r="B10" s="89">
        <v>1.3342502668624245E-2</v>
      </c>
      <c r="C10" s="138">
        <v>2.9021959999999999E-2</v>
      </c>
    </row>
    <row r="11" spans="2:3">
      <c r="B11" s="89">
        <v>1.3409993436441003E-2</v>
      </c>
      <c r="C11" s="138">
        <v>3.8319644E-2</v>
      </c>
    </row>
    <row r="12" spans="2:3">
      <c r="B12" s="89">
        <v>1.3478219962567373E-2</v>
      </c>
      <c r="C12" s="138">
        <v>4.7624618000000001E-2</v>
      </c>
    </row>
    <row r="13" spans="2:3">
      <c r="B13" s="89">
        <v>1.3546673588841651E-2</v>
      </c>
      <c r="C13" s="138">
        <v>5.6695549999999997E-2</v>
      </c>
    </row>
    <row r="14" spans="2:3">
      <c r="B14" s="89">
        <v>1.3615968247348675E-2</v>
      </c>
      <c r="C14" s="138">
        <v>6.5811400000000006E-2</v>
      </c>
    </row>
    <row r="15" spans="2:3">
      <c r="B15" s="89">
        <v>1.3686432295807793E-2</v>
      </c>
      <c r="C15" s="138">
        <v>7.5122709999999995E-2</v>
      </c>
    </row>
    <row r="16" spans="2:3">
      <c r="B16" s="89">
        <v>1.3758101305950898E-2</v>
      </c>
      <c r="C16" s="138">
        <v>8.4638019999999994E-2</v>
      </c>
    </row>
    <row r="17" spans="2:3">
      <c r="B17" s="89">
        <v>1.3830042882525762E-2</v>
      </c>
      <c r="C17" s="138">
        <v>9.3921550000000006E-2</v>
      </c>
    </row>
    <row r="18" spans="2:3">
      <c r="B18" s="89">
        <v>1.3902646835314614E-2</v>
      </c>
      <c r="C18" s="138">
        <v>0.10314643</v>
      </c>
    </row>
    <row r="19" spans="2:3">
      <c r="B19" s="89">
        <v>1.3975992161475825E-2</v>
      </c>
      <c r="C19" s="138">
        <v>0.11234690999999999</v>
      </c>
    </row>
    <row r="20" spans="2:3">
      <c r="B20" s="89">
        <v>1.4050110183265185E-2</v>
      </c>
      <c r="C20" s="138">
        <v>0.12153100999999999</v>
      </c>
    </row>
    <row r="21" spans="2:3">
      <c r="B21" s="89">
        <v>1.4125002586115265E-2</v>
      </c>
      <c r="C21" s="138">
        <v>0.13069443</v>
      </c>
    </row>
    <row r="22" spans="2:3">
      <c r="B22" s="89">
        <v>1.4200741415460905E-2</v>
      </c>
      <c r="C22" s="138">
        <v>0.13986367</v>
      </c>
    </row>
    <row r="23" spans="2:3">
      <c r="B23" s="89">
        <v>1.4277265479089474E-2</v>
      </c>
      <c r="C23" s="138">
        <v>0.14900666000000001</v>
      </c>
    </row>
    <row r="24" spans="2:3">
      <c r="B24" s="89">
        <v>1.4354626180932195E-2</v>
      </c>
      <c r="C24" s="138">
        <v>0.15813990999999999</v>
      </c>
    </row>
    <row r="25" spans="2:3">
      <c r="B25" s="89">
        <v>1.443250661929929E-2</v>
      </c>
      <c r="C25" s="138">
        <v>0.16712952</v>
      </c>
    </row>
    <row r="26" spans="2:3">
      <c r="B26" s="89">
        <v>1.4511129308347637E-2</v>
      </c>
      <c r="C26" s="138">
        <v>0.17606078</v>
      </c>
    </row>
    <row r="27" spans="2:3">
      <c r="B27" s="89">
        <v>1.4591114361924284E-2</v>
      </c>
      <c r="C27" s="138">
        <v>0.18517958000000001</v>
      </c>
    </row>
    <row r="28" spans="2:3">
      <c r="B28" s="89">
        <v>1.4672499386033322E-2</v>
      </c>
      <c r="C28" s="138">
        <v>0.19449395</v>
      </c>
    </row>
    <row r="29" spans="2:3">
      <c r="B29" s="89">
        <v>1.4754359294833597E-2</v>
      </c>
      <c r="C29" s="138">
        <v>0.20362543</v>
      </c>
    </row>
    <row r="30" spans="2:3">
      <c r="B30" s="89">
        <v>1.4837006365610694E-2</v>
      </c>
      <c r="C30" s="138">
        <v>0.21269304999999999</v>
      </c>
    </row>
    <row r="31" spans="2:3">
      <c r="B31" s="89">
        <v>1.4920372388217529E-2</v>
      </c>
      <c r="C31" s="138">
        <v>0.22166896</v>
      </c>
    </row>
    <row r="32" spans="2:3">
      <c r="B32" s="89">
        <v>1.5005006306306523E-2</v>
      </c>
      <c r="C32" s="138">
        <v>0.23075830999999999</v>
      </c>
    </row>
    <row r="33" spans="2:3">
      <c r="B33" s="89">
        <v>1.5090381308002665E-2</v>
      </c>
      <c r="C33" s="138">
        <v>0.23975237999999999</v>
      </c>
    </row>
    <row r="34" spans="2:3">
      <c r="B34" s="89">
        <v>1.5176878017509443E-2</v>
      </c>
      <c r="C34" s="138">
        <v>0.2487907</v>
      </c>
    </row>
    <row r="35" spans="2:3">
      <c r="B35" s="89">
        <v>1.5264332887796717E-2</v>
      </c>
      <c r="C35" s="138">
        <v>0.25780380000000003</v>
      </c>
    </row>
    <row r="36" spans="2:3">
      <c r="B36" s="89">
        <v>1.5352948299891533E-2</v>
      </c>
      <c r="C36" s="138">
        <v>0.26686165000000001</v>
      </c>
    </row>
    <row r="37" spans="2:3">
      <c r="B37" s="89">
        <v>1.5442450731844803E-2</v>
      </c>
      <c r="C37" s="138">
        <v>0.27585724</v>
      </c>
    </row>
    <row r="38" spans="2:3">
      <c r="B38" s="89">
        <v>1.5532831526669844E-2</v>
      </c>
      <c r="C38" s="138">
        <v>0.28478350000000002</v>
      </c>
    </row>
    <row r="39" spans="2:3">
      <c r="B39" s="89">
        <v>1.5624480179125655E-2</v>
      </c>
      <c r="C39" s="138">
        <v>0.29377123999999999</v>
      </c>
    </row>
    <row r="40" spans="2:3">
      <c r="B40" s="89">
        <v>1.5717324216541595E-2</v>
      </c>
      <c r="C40" s="138">
        <v>0.30278887999999998</v>
      </c>
    </row>
    <row r="41" spans="2:3">
      <c r="B41" s="89">
        <v>1.5810938140358388E-2</v>
      </c>
      <c r="C41" s="138">
        <v>0.31168249999999997</v>
      </c>
    </row>
    <row r="42" spans="2:3">
      <c r="B42" s="89">
        <v>1.5905979648389801E-2</v>
      </c>
      <c r="C42" s="138">
        <v>0.32067027999999997</v>
      </c>
    </row>
    <row r="43" spans="2:3">
      <c r="B43" s="89">
        <v>1.6002167419820745E-2</v>
      </c>
      <c r="C43" s="138">
        <v>0.32965016000000003</v>
      </c>
    </row>
    <row r="44" spans="2:3">
      <c r="B44" s="89">
        <v>1.6098959474871055E-2</v>
      </c>
      <c r="C44" s="138">
        <v>0.33843896000000001</v>
      </c>
    </row>
    <row r="45" spans="2:3">
      <c r="B45" s="89">
        <v>1.6196888579389945E-2</v>
      </c>
      <c r="C45" s="138">
        <v>0.34720400000000001</v>
      </c>
    </row>
    <row r="46" spans="2:3">
      <c r="B46" s="89">
        <v>1.629660679524525E-2</v>
      </c>
      <c r="C46" s="138">
        <v>0.35614960000000001</v>
      </c>
    </row>
    <row r="47" spans="2:3">
      <c r="B47" s="89">
        <v>1.6398163624400941E-2</v>
      </c>
      <c r="C47" s="138">
        <v>0.36528339999999998</v>
      </c>
    </row>
    <row r="48" spans="2:3">
      <c r="B48" s="89">
        <v>1.6500557491315515E-2</v>
      </c>
      <c r="C48" s="138">
        <v>0.37427500000000002</v>
      </c>
    </row>
    <row r="49" spans="2:3">
      <c r="B49" s="89">
        <v>1.6603841377371364E-2</v>
      </c>
      <c r="C49" s="138">
        <v>0.38313779999999997</v>
      </c>
    </row>
    <row r="50" spans="2:3">
      <c r="B50" s="89">
        <v>1.6708524158682625E-2</v>
      </c>
      <c r="C50" s="138">
        <v>0.39202360000000003</v>
      </c>
    </row>
    <row r="51" spans="2:3">
      <c r="B51" s="89">
        <v>1.6814602946548129E-2</v>
      </c>
      <c r="C51" s="138">
        <v>0.40092485999999999</v>
      </c>
    </row>
    <row r="52" spans="2:3">
      <c r="B52" s="89">
        <v>1.6922050877200889E-2</v>
      </c>
      <c r="C52" s="138">
        <v>0.40982485000000002</v>
      </c>
    </row>
    <row r="53" spans="2:3">
      <c r="B53" s="89">
        <v>1.7030436598231447E-2</v>
      </c>
      <c r="C53" s="138">
        <v>0.41859254000000001</v>
      </c>
    </row>
    <row r="54" spans="2:3">
      <c r="B54" s="89">
        <v>1.7140156140515561E-2</v>
      </c>
      <c r="C54" s="138">
        <v>0.42733303</v>
      </c>
    </row>
    <row r="55" spans="2:3">
      <c r="B55" s="89">
        <v>1.7251944265002428E-2</v>
      </c>
      <c r="C55" s="138">
        <v>0.43625307000000002</v>
      </c>
    </row>
    <row r="56" spans="2:3">
      <c r="B56" s="89">
        <v>1.7365859922885529E-2</v>
      </c>
      <c r="C56" s="138">
        <v>0.44536015000000001</v>
      </c>
    </row>
    <row r="57" spans="2:3">
      <c r="B57" s="89">
        <v>1.7480626135454425E-2</v>
      </c>
      <c r="C57" s="138">
        <v>0.45427751999999999</v>
      </c>
    </row>
    <row r="58" spans="2:3">
      <c r="B58" s="89">
        <v>1.7596751380831721E-2</v>
      </c>
      <c r="C58" s="138">
        <v>0.46314470000000002</v>
      </c>
    </row>
    <row r="59" spans="2:3">
      <c r="B59" s="89">
        <v>1.7713800673625824E-2</v>
      </c>
      <c r="C59" s="138">
        <v>0.47184026000000001</v>
      </c>
    </row>
    <row r="60" spans="2:3">
      <c r="B60" s="89">
        <v>1.7832208397254412E-2</v>
      </c>
      <c r="C60" s="138">
        <v>0.48047342999999998</v>
      </c>
    </row>
    <row r="61" spans="2:3">
      <c r="B61" s="89">
        <v>1.7952893017883498E-2</v>
      </c>
      <c r="C61" s="138">
        <v>0.48928165000000001</v>
      </c>
    </row>
    <row r="62" spans="2:3">
      <c r="B62" s="89">
        <v>1.807592100922617E-2</v>
      </c>
      <c r="C62" s="138">
        <v>0.49827227000000002</v>
      </c>
    </row>
    <row r="63" spans="2:3">
      <c r="B63" s="89">
        <v>1.8201364359299643E-2</v>
      </c>
      <c r="C63" s="138">
        <v>0.50745289999999998</v>
      </c>
    </row>
    <row r="64" spans="2:3">
      <c r="B64" s="89">
        <v>1.8327303066759892E-2</v>
      </c>
      <c r="C64" s="138">
        <v>0.51630765000000001</v>
      </c>
    </row>
    <row r="65" spans="2:3">
      <c r="B65" s="89">
        <v>1.8454809717062926E-2</v>
      </c>
      <c r="C65" s="138">
        <v>0.52511490000000005</v>
      </c>
    </row>
    <row r="66" spans="2:3">
      <c r="B66" s="89">
        <v>1.8584075108808107E-2</v>
      </c>
      <c r="C66" s="138">
        <v>0.53391224000000004</v>
      </c>
    </row>
    <row r="67" spans="2:3">
      <c r="B67" s="89">
        <v>1.8715796200824641E-2</v>
      </c>
      <c r="C67" s="138">
        <v>0.54286559999999995</v>
      </c>
    </row>
    <row r="68" spans="2:3">
      <c r="B68" s="89">
        <v>1.8848575935396794E-2</v>
      </c>
      <c r="C68" s="138">
        <v>0.55161923000000002</v>
      </c>
    </row>
    <row r="69" spans="2:3">
      <c r="B69" s="89">
        <v>1.8984008937819374E-2</v>
      </c>
      <c r="C69" s="138">
        <v>0.56055290000000002</v>
      </c>
    </row>
    <row r="70" spans="2:3">
      <c r="B70" s="89">
        <v>1.9120076061781344E-2</v>
      </c>
      <c r="C70" s="138">
        <v>0.56917790000000001</v>
      </c>
    </row>
    <row r="71" spans="2:3">
      <c r="B71" s="89">
        <v>1.9258398605659699E-2</v>
      </c>
      <c r="C71" s="138">
        <v>0.57786550000000003</v>
      </c>
    </row>
    <row r="72" spans="2:3">
      <c r="B72" s="89">
        <v>1.9399515804405798E-2</v>
      </c>
      <c r="C72" s="138">
        <v>0.58673036000000001</v>
      </c>
    </row>
    <row r="73" spans="2:3">
      <c r="B73" s="89">
        <v>1.9543513187130435E-2</v>
      </c>
      <c r="C73" s="138">
        <v>0.59577999999999998</v>
      </c>
    </row>
    <row r="74" spans="2:3">
      <c r="B74" s="89">
        <v>1.9689297004528927E-2</v>
      </c>
      <c r="C74" s="138">
        <v>0.60475670000000004</v>
      </c>
    </row>
    <row r="75" spans="2:3">
      <c r="B75" s="89">
        <v>1.9835633922587581E-2</v>
      </c>
      <c r="C75" s="138">
        <v>0.61336880000000005</v>
      </c>
    </row>
    <row r="76" spans="2:3">
      <c r="B76" s="89">
        <v>1.9984973579383558E-2</v>
      </c>
      <c r="C76" s="138">
        <v>0.62215513</v>
      </c>
    </row>
    <row r="77" spans="2:3">
      <c r="B77" s="89">
        <v>2.0137411360555579E-2</v>
      </c>
      <c r="C77" s="138">
        <v>0.63112290000000004</v>
      </c>
    </row>
    <row r="78" spans="2:3">
      <c r="B78" s="89">
        <v>2.0293042577249842E-2</v>
      </c>
      <c r="C78" s="138">
        <v>0.64027970000000001</v>
      </c>
    </row>
    <row r="79" spans="2:3">
      <c r="B79" s="89">
        <v>2.044954286336631E-2</v>
      </c>
      <c r="C79" s="138">
        <v>0.64911485000000002</v>
      </c>
    </row>
    <row r="80" spans="2:3">
      <c r="B80" s="89">
        <v>2.060886467840195E-2</v>
      </c>
      <c r="C80" s="138">
        <v>0.65803120000000004</v>
      </c>
    </row>
    <row r="81" spans="2:3">
      <c r="B81" s="89">
        <v>2.0770406041391354E-2</v>
      </c>
      <c r="C81" s="138">
        <v>0.66689556999999999</v>
      </c>
    </row>
    <row r="82" spans="2:3">
      <c r="B82" s="89">
        <v>2.0934571386360346E-2</v>
      </c>
      <c r="C82" s="138">
        <v>0.67577739999999997</v>
      </c>
    </row>
    <row r="83" spans="2:3">
      <c r="B83" s="89">
        <v>2.1101210164966022E-2</v>
      </c>
      <c r="C83" s="138">
        <v>0.684639</v>
      </c>
    </row>
    <row r="84" spans="2:3">
      <c r="B84" s="89">
        <v>2.1269437773806188E-2</v>
      </c>
      <c r="C84" s="138">
        <v>0.69329240000000003</v>
      </c>
    </row>
    <row r="85" spans="2:3">
      <c r="B85" s="89">
        <v>2.144128229037523E-2</v>
      </c>
      <c r="C85" s="138">
        <v>0.70212173</v>
      </c>
    </row>
    <row r="86" spans="2:3">
      <c r="B86" s="89">
        <v>2.1616863919868168E-2</v>
      </c>
      <c r="C86" s="138">
        <v>0.7111343</v>
      </c>
    </row>
    <row r="87" spans="2:3">
      <c r="B87" s="89">
        <v>2.1796302434851644E-2</v>
      </c>
      <c r="C87" s="138">
        <v>0.72033789999999998</v>
      </c>
    </row>
    <row r="88" spans="2:3">
      <c r="B88" s="89">
        <v>2.1977385115760417E-2</v>
      </c>
      <c r="C88" s="138">
        <v>0.72929809999999995</v>
      </c>
    </row>
    <row r="89" spans="2:3">
      <c r="B89" s="89">
        <v>2.2161284540245241E-2</v>
      </c>
      <c r="C89" s="138">
        <v>0.73822474000000005</v>
      </c>
    </row>
    <row r="90" spans="2:3">
      <c r="B90" s="89">
        <v>2.2347966417215037E-2</v>
      </c>
      <c r="C90" s="138">
        <v>0.74710189999999999</v>
      </c>
    </row>
    <row r="91" spans="2:3">
      <c r="B91" s="89">
        <v>2.253816563541533E-2</v>
      </c>
      <c r="C91" s="138">
        <v>0.75604669999999996</v>
      </c>
    </row>
    <row r="92" spans="2:3">
      <c r="B92" s="89">
        <v>2.2731817774631846E-2</v>
      </c>
      <c r="C92" s="138">
        <v>0.76503325</v>
      </c>
    </row>
    <row r="93" spans="2:3">
      <c r="B93" s="89">
        <v>2.2928390574072588E-2</v>
      </c>
      <c r="C93" s="138">
        <v>0.77395296000000002</v>
      </c>
    </row>
    <row r="94" spans="2:3">
      <c r="B94" s="89">
        <v>2.3128734484281988E-2</v>
      </c>
      <c r="C94" s="138">
        <v>0.78294379999999997</v>
      </c>
    </row>
    <row r="95" spans="2:3">
      <c r="B95" s="89">
        <v>2.3328515075624612E-2</v>
      </c>
      <c r="C95" s="138">
        <v>0.79127930000000002</v>
      </c>
    </row>
    <row r="96" spans="2:3">
      <c r="B96" s="89">
        <v>2.3532819721411857E-2</v>
      </c>
      <c r="C96" s="138">
        <v>0.79977790000000004</v>
      </c>
    </row>
    <row r="97" spans="2:3">
      <c r="B97" s="89">
        <v>2.3741801428432963E-2</v>
      </c>
      <c r="C97" s="138">
        <v>0.8084462</v>
      </c>
    </row>
    <row r="98" spans="2:3">
      <c r="B98" s="89">
        <v>2.3955626415244735E-2</v>
      </c>
      <c r="C98" s="138">
        <v>0.81729099999999999</v>
      </c>
    </row>
    <row r="99" spans="2:3">
      <c r="B99" s="89">
        <v>2.4174462776198946E-2</v>
      </c>
      <c r="C99" s="138">
        <v>0.82631969999999999</v>
      </c>
    </row>
    <row r="100" spans="2:3">
      <c r="B100" s="89">
        <v>2.4398490087668367E-2</v>
      </c>
      <c r="C100" s="138">
        <v>0.83554006000000003</v>
      </c>
    </row>
    <row r="101" spans="2:3">
      <c r="B101" s="89">
        <v>2.4627894600192435E-2</v>
      </c>
      <c r="C101" s="138">
        <v>0.84496044999999997</v>
      </c>
    </row>
    <row r="102" spans="2:3">
      <c r="B102" s="89">
        <v>2.4862870260388803E-2</v>
      </c>
      <c r="C102" s="138">
        <v>0.85458970000000001</v>
      </c>
    </row>
    <row r="103" spans="2:3">
      <c r="B103" s="89">
        <v>2.5102650025449313E-2</v>
      </c>
      <c r="C103" s="138">
        <v>0.86428959999999999</v>
      </c>
    </row>
    <row r="104" spans="2:3">
      <c r="B104" s="89">
        <v>2.5342345677345612E-2</v>
      </c>
      <c r="C104" s="138">
        <v>0.87330156999999997</v>
      </c>
    </row>
    <row r="105" spans="2:3">
      <c r="B105" s="89">
        <v>2.5587908600249842E-2</v>
      </c>
      <c r="C105" s="138">
        <v>0.88250459999999997</v>
      </c>
    </row>
    <row r="106" spans="2:3">
      <c r="B106" s="89">
        <v>2.5837724010322471E-2</v>
      </c>
      <c r="C106" s="138">
        <v>0.89164650000000001</v>
      </c>
    </row>
    <row r="107" spans="2:3">
      <c r="B107" s="89">
        <v>2.6092355710533144E-2</v>
      </c>
      <c r="C107" s="138">
        <v>0.90078899999999995</v>
      </c>
    </row>
    <row r="108" spans="2:3">
      <c r="B108" s="89">
        <v>2.6351998919541098E-2</v>
      </c>
      <c r="C108" s="138">
        <v>0.90994010000000003</v>
      </c>
    </row>
    <row r="109" spans="2:3">
      <c r="B109" s="89">
        <v>2.6612733915393982E-2</v>
      </c>
      <c r="C109" s="138">
        <v>0.91857845000000005</v>
      </c>
    </row>
    <row r="110" spans="2:3">
      <c r="B110" s="89">
        <v>2.6878714867912268E-2</v>
      </c>
      <c r="C110" s="138">
        <v>0.92722599999999999</v>
      </c>
    </row>
    <row r="111" spans="2:3">
      <c r="B111" s="89">
        <v>2.715141504059837E-2</v>
      </c>
      <c r="C111" s="138">
        <v>0.93604929999999997</v>
      </c>
    </row>
    <row r="112" spans="2:3">
      <c r="B112" s="89">
        <v>2.7431086679436167E-2</v>
      </c>
      <c r="C112" s="138">
        <v>0.94505554000000003</v>
      </c>
    </row>
    <row r="113" spans="2:3">
      <c r="B113" s="89">
        <v>2.7718006384720995E-2</v>
      </c>
      <c r="C113" s="138">
        <v>0.95425249999999995</v>
      </c>
    </row>
    <row r="114" spans="2:3">
      <c r="B114" s="89">
        <v>2.8012456291073407E-2</v>
      </c>
      <c r="C114" s="138">
        <v>0.96364850000000002</v>
      </c>
    </row>
    <row r="115" spans="2:3">
      <c r="B115" s="89">
        <v>2.8314738177318111E-2</v>
      </c>
      <c r="C115" s="138">
        <v>0.97325223999999999</v>
      </c>
    </row>
    <row r="116" spans="2:3">
      <c r="B116" s="89">
        <v>2.86251686891279E-2</v>
      </c>
      <c r="C116" s="138">
        <v>0.98307319999999998</v>
      </c>
    </row>
    <row r="117" spans="2:3">
      <c r="B117" s="89">
        <v>2.894408003604132E-2</v>
      </c>
      <c r="C117" s="138">
        <v>0.99312129999999998</v>
      </c>
    </row>
    <row r="118" spans="2:3">
      <c r="B118" s="89">
        <v>2.9264336732427343E-2</v>
      </c>
      <c r="C118" s="138">
        <v>1.0025234000000001</v>
      </c>
    </row>
    <row r="119" spans="2:3">
      <c r="B119" s="89">
        <v>2.9591806183690506E-2</v>
      </c>
      <c r="C119" s="138">
        <v>1.0119487</v>
      </c>
    </row>
    <row r="120" spans="2:3">
      <c r="B120" s="89">
        <v>2.9926185698516128E-2</v>
      </c>
      <c r="C120" s="138">
        <v>1.0213459</v>
      </c>
    </row>
    <row r="121" spans="2:3">
      <c r="B121" s="89">
        <v>3.0268318954097206E-2</v>
      </c>
      <c r="C121" s="138">
        <v>1.0307789000000001</v>
      </c>
    </row>
    <row r="122" spans="2:3">
      <c r="B122" s="89">
        <v>3.061814151764175E-2</v>
      </c>
      <c r="C122" s="138">
        <v>1.0402180999999999</v>
      </c>
    </row>
    <row r="123" spans="2:3">
      <c r="B123" s="89">
        <v>3.0974013937576261E-2</v>
      </c>
      <c r="C123" s="138">
        <v>1.0494635999999999</v>
      </c>
    </row>
    <row r="124" spans="2:3">
      <c r="B124" s="89">
        <v>3.1340028765381223E-2</v>
      </c>
      <c r="C124" s="138">
        <v>1.0589103</v>
      </c>
    </row>
    <row r="125" spans="2:3">
      <c r="B125" s="89">
        <v>3.1716618952682851E-2</v>
      </c>
      <c r="C125" s="138">
        <v>1.068567</v>
      </c>
    </row>
    <row r="126" spans="2:3">
      <c r="B126" s="89">
        <v>3.2104256129896314E-2</v>
      </c>
      <c r="C126" s="138">
        <v>1.0784433</v>
      </c>
    </row>
    <row r="127" spans="2:3">
      <c r="B127" s="89">
        <v>3.2496152838576653E-2</v>
      </c>
      <c r="C127" s="138">
        <v>1.0878477</v>
      </c>
    </row>
    <row r="128" spans="2:3">
      <c r="B128" s="89">
        <v>3.2898341872210302E-2</v>
      </c>
      <c r="C128" s="138">
        <v>1.0973336</v>
      </c>
    </row>
    <row r="129" spans="2:3">
      <c r="B129" s="89">
        <v>3.3312594352942759E-2</v>
      </c>
      <c r="C129" s="138">
        <v>1.1070312</v>
      </c>
    </row>
    <row r="130" spans="2:3">
      <c r="B130" s="89">
        <v>3.3739469511027464E-2</v>
      </c>
      <c r="C130" s="138">
        <v>1.1169503999999999</v>
      </c>
    </row>
    <row r="131" spans="2:3">
      <c r="B131" s="89">
        <v>3.4176178475453067E-2</v>
      </c>
      <c r="C131" s="138">
        <v>1.1268047999999999</v>
      </c>
    </row>
    <row r="132" spans="2:3">
      <c r="B132" s="89">
        <v>3.4620326370991772E-2</v>
      </c>
      <c r="C132" s="138">
        <v>1.1363481</v>
      </c>
    </row>
    <row r="133" spans="2:3">
      <c r="B133" s="89">
        <v>3.5078346451231757E-2</v>
      </c>
      <c r="C133" s="138">
        <v>1.1461059</v>
      </c>
    </row>
    <row r="134" spans="2:3">
      <c r="B134" s="89">
        <v>3.5550884785694015E-2</v>
      </c>
      <c r="C134" s="138">
        <v>1.1560878999999999</v>
      </c>
    </row>
    <row r="135" spans="2:3">
      <c r="B135" s="89">
        <v>3.6038654373240608E-2</v>
      </c>
      <c r="C135" s="138">
        <v>1.1663047</v>
      </c>
    </row>
    <row r="136" spans="2:3">
      <c r="B136" s="89">
        <v>3.6536592572373294E-2</v>
      </c>
      <c r="C136" s="138">
        <v>1.1762986</v>
      </c>
    </row>
    <row r="137" spans="2:3">
      <c r="B137" s="89">
        <v>3.7048236912791799E-2</v>
      </c>
      <c r="C137" s="138">
        <v>1.1863173</v>
      </c>
    </row>
    <row r="138" spans="2:3">
      <c r="B138" s="89">
        <v>3.7574319819195123E-2</v>
      </c>
      <c r="C138" s="138">
        <v>1.1963754</v>
      </c>
    </row>
    <row r="139" spans="2:3">
      <c r="B139" s="89">
        <v>3.8115496211378552E-2</v>
      </c>
      <c r="C139" s="138">
        <v>1.2064767000000001</v>
      </c>
    </row>
    <row r="140" spans="2:3">
      <c r="B140" s="89">
        <v>3.8672423031849923E-2</v>
      </c>
      <c r="C140" s="138">
        <v>1.2166227999999999</v>
      </c>
    </row>
    <row r="141" spans="2:3">
      <c r="B141" s="89">
        <v>3.9245997730017579E-2</v>
      </c>
      <c r="C141" s="138">
        <v>1.2268294</v>
      </c>
    </row>
    <row r="142" spans="2:3">
      <c r="B142" s="89">
        <v>3.9836491917051409E-2</v>
      </c>
      <c r="C142" s="138">
        <v>1.2370657</v>
      </c>
    </row>
    <row r="143" spans="2:3">
      <c r="B143" s="89">
        <v>4.0445343465985051E-2</v>
      </c>
      <c r="C143" s="138">
        <v>1.2473786</v>
      </c>
    </row>
    <row r="144" spans="2:3">
      <c r="B144" s="89">
        <v>4.1073111763436088E-2</v>
      </c>
      <c r="C144" s="138">
        <v>1.2577497</v>
      </c>
    </row>
    <row r="145" spans="2:3">
      <c r="B145" s="89">
        <v>4.172068128279649E-2</v>
      </c>
      <c r="C145" s="138">
        <v>1.2681813</v>
      </c>
    </row>
    <row r="146" spans="2:3">
      <c r="B146" s="89">
        <v>4.2387851733872384E-2</v>
      </c>
      <c r="C146" s="138">
        <v>1.278605</v>
      </c>
    </row>
    <row r="147" spans="2:3">
      <c r="B147" s="89">
        <v>4.3078854725161042E-2</v>
      </c>
      <c r="C147" s="138">
        <v>1.2892205000000001</v>
      </c>
    </row>
    <row r="148" spans="2:3">
      <c r="B148" s="89">
        <v>4.3790705589536572E-2</v>
      </c>
      <c r="C148" s="138">
        <v>1.2997848999999999</v>
      </c>
    </row>
    <row r="149" spans="2:3">
      <c r="B149" s="89">
        <v>4.4528838638207002E-2</v>
      </c>
      <c r="C149" s="138">
        <v>1.3105521</v>
      </c>
    </row>
    <row r="150" spans="2:3">
      <c r="B150" s="89">
        <v>4.5280518182575613E-2</v>
      </c>
      <c r="C150" s="138">
        <v>1.3207635</v>
      </c>
    </row>
    <row r="151" spans="2:3">
      <c r="B151" s="89">
        <v>4.606001412713745E-2</v>
      </c>
      <c r="C151" s="138">
        <v>1.3311386000000001</v>
      </c>
    </row>
    <row r="152" spans="2:3">
      <c r="B152" s="89">
        <v>4.6870492079789661E-2</v>
      </c>
      <c r="C152" s="138">
        <v>1.3417675</v>
      </c>
    </row>
    <row r="153" spans="2:3">
      <c r="B153" s="89">
        <v>4.7713842300335485E-2</v>
      </c>
      <c r="C153" s="138">
        <v>1.3526632999999999</v>
      </c>
    </row>
    <row r="154" spans="2:3">
      <c r="B154" s="89">
        <v>4.8592103100685513E-2</v>
      </c>
      <c r="C154" s="138">
        <v>1.3638394</v>
      </c>
    </row>
    <row r="155" spans="2:3">
      <c r="B155" s="89">
        <v>4.9507485122034844E-2</v>
      </c>
      <c r="C155" s="138">
        <v>1.3753107</v>
      </c>
    </row>
    <row r="156" spans="2:3">
      <c r="B156" s="89">
        <v>5.0462398709369416E-2</v>
      </c>
      <c r="C156" s="138">
        <v>1.3870932</v>
      </c>
    </row>
    <row r="157" spans="2:3">
      <c r="B157" s="89">
        <v>5.1455337171579796E-2</v>
      </c>
      <c r="C157" s="138">
        <v>1.3990153999999999</v>
      </c>
    </row>
    <row r="158" spans="2:3">
      <c r="B158" s="89">
        <v>5.2474409117906684E-2</v>
      </c>
      <c r="C158" s="138">
        <v>1.4104407999999999</v>
      </c>
    </row>
    <row r="159" spans="2:3">
      <c r="B159" s="89">
        <v>5.3537076036362929E-2</v>
      </c>
      <c r="C159" s="138">
        <v>1.4220752999999999</v>
      </c>
    </row>
    <row r="160" spans="2:3">
      <c r="B160" s="89">
        <v>5.4641478336125648E-2</v>
      </c>
      <c r="C160" s="138">
        <v>1.4337361</v>
      </c>
    </row>
    <row r="161" spans="2:3">
      <c r="B161" s="89">
        <v>5.5792685857629087E-2</v>
      </c>
      <c r="C161" s="138">
        <v>1.4455304</v>
      </c>
    </row>
    <row r="162" spans="2:3">
      <c r="B162" s="89">
        <v>5.6988268084377514E-2</v>
      </c>
      <c r="C162" s="138">
        <v>1.4572574</v>
      </c>
    </row>
    <row r="163" spans="2:3">
      <c r="B163" s="89">
        <v>5.8241822979968161E-2</v>
      </c>
      <c r="C163" s="138">
        <v>1.4693098</v>
      </c>
    </row>
    <row r="164" spans="2:3">
      <c r="B164" s="89">
        <v>5.9557661848334775E-2</v>
      </c>
      <c r="C164" s="138">
        <v>1.4817062999999999</v>
      </c>
    </row>
    <row r="165" spans="2:3">
      <c r="B165" s="89">
        <v>6.0929397778649252E-2</v>
      </c>
      <c r="C165" s="138">
        <v>1.4940990999999999</v>
      </c>
    </row>
    <row r="166" spans="2:3">
      <c r="B166" s="89">
        <v>6.2358845839859067E-2</v>
      </c>
      <c r="C166" s="138">
        <v>1.5064230000000001</v>
      </c>
    </row>
    <row r="167" spans="2:3">
      <c r="B167" s="89">
        <v>6.3863663050253816E-2</v>
      </c>
      <c r="C167" s="138">
        <v>1.5191067</v>
      </c>
    </row>
    <row r="168" spans="2:3">
      <c r="B168" s="89">
        <v>6.5449970574885663E-2</v>
      </c>
      <c r="C168" s="138">
        <v>1.5321720999999999</v>
      </c>
    </row>
    <row r="169" spans="2:3">
      <c r="B169" s="89">
        <v>6.7114252726169332E-2</v>
      </c>
      <c r="C169" s="138">
        <v>1.5453508</v>
      </c>
    </row>
    <row r="170" spans="2:3">
      <c r="B170" s="89">
        <v>6.8859133062605382E-2</v>
      </c>
      <c r="C170" s="138">
        <v>1.5585628</v>
      </c>
    </row>
    <row r="171" spans="2:3">
      <c r="B171" s="89">
        <v>7.0695453176526812E-2</v>
      </c>
      <c r="C171" s="138">
        <v>1.5719421</v>
      </c>
    </row>
    <row r="172" spans="2:3">
      <c r="B172" s="89">
        <v>7.2637200215469266E-2</v>
      </c>
      <c r="C172" s="138">
        <v>1.5856581000000001</v>
      </c>
    </row>
    <row r="173" spans="2:3">
      <c r="B173" s="89">
        <v>7.4683900116035429E-2</v>
      </c>
      <c r="C173" s="138">
        <v>1.5995082</v>
      </c>
    </row>
    <row r="174" spans="2:3">
      <c r="B174" s="89">
        <v>7.6850548618269787E-2</v>
      </c>
      <c r="C174" s="138">
        <v>1.6136459000000001</v>
      </c>
    </row>
    <row r="175" spans="2:3">
      <c r="B175" s="89">
        <v>7.913565918975185E-2</v>
      </c>
      <c r="C175" s="138">
        <v>1.6278442</v>
      </c>
    </row>
    <row r="176" spans="2:3">
      <c r="B176" s="89">
        <v>8.1571511655123552E-2</v>
      </c>
      <c r="C176" s="138">
        <v>1.6425225000000001</v>
      </c>
    </row>
    <row r="177" spans="2:3">
      <c r="B177" s="89">
        <v>8.4173526238164542E-2</v>
      </c>
      <c r="C177" s="138">
        <v>1.6577141</v>
      </c>
    </row>
    <row r="178" spans="2:3">
      <c r="B178" s="89">
        <v>8.6947569972544936E-2</v>
      </c>
      <c r="C178" s="138">
        <v>1.6732634</v>
      </c>
    </row>
    <row r="179" spans="2:3">
      <c r="B179" s="89">
        <v>8.9897716099456293E-2</v>
      </c>
      <c r="C179" s="138">
        <v>1.6889877</v>
      </c>
    </row>
    <row r="180" spans="2:3">
      <c r="B180" s="89">
        <v>9.3054513146478945E-2</v>
      </c>
      <c r="C180" s="138">
        <v>1.7051065999999999</v>
      </c>
    </row>
    <row r="181" spans="2:3">
      <c r="B181" s="89">
        <v>9.6433835707267712E-2</v>
      </c>
      <c r="C181" s="138">
        <v>1.7215794</v>
      </c>
    </row>
    <row r="182" spans="2:3">
      <c r="B182" s="89">
        <v>0.1000817924256131</v>
      </c>
      <c r="C182" s="138">
        <v>1.7386786999999999</v>
      </c>
    </row>
    <row r="183" spans="2:3">
      <c r="B183" s="89">
        <v>0.10400850667166117</v>
      </c>
      <c r="C183" s="138">
        <v>1.7562213</v>
      </c>
    </row>
    <row r="184" spans="2:3">
      <c r="B184" s="89">
        <v>0.10825425493219965</v>
      </c>
      <c r="C184" s="138">
        <v>1.7743247</v>
      </c>
    </row>
    <row r="185" spans="2:3">
      <c r="B185" s="89">
        <v>0.11286044724966848</v>
      </c>
      <c r="C185" s="138">
        <v>1.7930562000000001</v>
      </c>
    </row>
    <row r="186" spans="2:3">
      <c r="B186" s="89">
        <v>0.11787345587376552</v>
      </c>
      <c r="C186" s="138">
        <v>1.8124762000000001</v>
      </c>
    </row>
    <row r="187" spans="2:3">
      <c r="B187" s="89">
        <v>0.12335332037684332</v>
      </c>
      <c r="C187" s="138">
        <v>1.8326849000000001</v>
      </c>
    </row>
    <row r="188" spans="2:3">
      <c r="B188" s="89">
        <v>0.12936429395326976</v>
      </c>
      <c r="C188" s="138">
        <v>1.8537574000000001</v>
      </c>
    </row>
    <row r="189" spans="2:3">
      <c r="B189" s="89">
        <v>0.13598845502482237</v>
      </c>
      <c r="C189" s="138">
        <v>1.8758106999999999</v>
      </c>
    </row>
    <row r="190" spans="2:3">
      <c r="B190" s="89">
        <v>0.14332361459788845</v>
      </c>
      <c r="C190" s="138">
        <v>1.8989784000000001</v>
      </c>
    </row>
    <row r="191" spans="2:3">
      <c r="B191" s="89">
        <v>0.15149337314801559</v>
      </c>
      <c r="C191" s="138">
        <v>1.9234235</v>
      </c>
    </row>
    <row r="192" spans="2:3">
      <c r="B192" s="89">
        <v>0.16064022557919266</v>
      </c>
      <c r="C192" s="138">
        <v>1.9493480000000001</v>
      </c>
    </row>
    <row r="193" spans="2:3">
      <c r="B193" s="89">
        <v>0.17096199312513671</v>
      </c>
      <c r="C193" s="138">
        <v>1.9769884</v>
      </c>
    </row>
    <row r="194" spans="2:3">
      <c r="B194" s="89">
        <v>0.18268598543611603</v>
      </c>
      <c r="C194" s="138">
        <v>2.0066894999999998</v>
      </c>
    </row>
    <row r="195" spans="2:3">
      <c r="B195" s="89">
        <v>0.19612928817117936</v>
      </c>
      <c r="C195" s="138">
        <v>2.0387970000000002</v>
      </c>
    </row>
    <row r="196" spans="2:3">
      <c r="B196" s="89">
        <v>0.2117285434687658</v>
      </c>
      <c r="C196" s="138">
        <v>2.0736897000000001</v>
      </c>
    </row>
    <row r="197" spans="2:3">
      <c r="B197" s="89">
        <v>0.22997558729427803</v>
      </c>
      <c r="C197" s="138">
        <v>2.1122839999999998</v>
      </c>
    </row>
    <row r="198" spans="2:3">
      <c r="B198" s="89">
        <v>0.25163976548923483</v>
      </c>
      <c r="C198" s="138">
        <v>2.1554267</v>
      </c>
    </row>
    <row r="199" spans="2:3">
      <c r="B199" s="89">
        <v>0.27778079656108945</v>
      </c>
      <c r="C199" s="138">
        <v>2.2044177</v>
      </c>
    </row>
    <row r="200" spans="2:3">
      <c r="B200" s="89">
        <v>0.30994193856298513</v>
      </c>
      <c r="C200" s="138">
        <v>2.261196</v>
      </c>
    </row>
    <row r="201" spans="2:3">
      <c r="B201" s="89">
        <v>0.35044007504221053</v>
      </c>
      <c r="C201" s="138">
        <v>2.3290924999999998</v>
      </c>
    </row>
    <row r="202" spans="2:3">
      <c r="B202" s="89">
        <v>0.40305522763109958</v>
      </c>
      <c r="C202" s="138">
        <v>2.4127535999999998</v>
      </c>
    </row>
    <row r="203" spans="2:3">
      <c r="B203" s="89">
        <v>0.47407112987207023</v>
      </c>
      <c r="C203" s="138">
        <v>2.5227172000000002</v>
      </c>
    </row>
    <row r="204" spans="2:3">
      <c r="B204" s="89">
        <v>0.57519084940118903</v>
      </c>
      <c r="C204" s="138">
        <v>2.6814122</v>
      </c>
    </row>
    <row r="205" spans="2:3">
      <c r="B205" s="89">
        <v>0.73062351831289629</v>
      </c>
      <c r="C205" s="138">
        <v>2.9618584999999999</v>
      </c>
    </row>
    <row r="206" spans="2:3">
      <c r="B206" s="89">
        <v>0.73260022866097585</v>
      </c>
      <c r="C206" s="138">
        <v>2.9659984000000001</v>
      </c>
    </row>
    <row r="207" spans="2:3">
      <c r="B207" s="89">
        <v>0.73458756302910788</v>
      </c>
      <c r="C207" s="138">
        <v>2.9701827000000001</v>
      </c>
    </row>
    <row r="208" spans="2:3">
      <c r="B208" s="89">
        <v>0.73658579910481814</v>
      </c>
      <c r="C208" s="138">
        <v>2.9744077</v>
      </c>
    </row>
    <row r="209" spans="2:3">
      <c r="B209" s="89">
        <v>0.73859482348133443</v>
      </c>
      <c r="C209" s="138">
        <v>2.9786806000000001</v>
      </c>
    </row>
    <row r="210" spans="2:3">
      <c r="B210" s="89">
        <v>0.74061473071607509</v>
      </c>
      <c r="C210" s="138">
        <v>2.9830008000000001</v>
      </c>
    </row>
    <row r="211" spans="2:3">
      <c r="B211" s="89">
        <v>0.7426456208257135</v>
      </c>
      <c r="C211" s="138">
        <v>2.9873694999999998</v>
      </c>
    </row>
    <row r="212" spans="2:3">
      <c r="B212" s="89">
        <v>0.74468748834643961</v>
      </c>
      <c r="C212" s="138">
        <v>2.9917902999999999</v>
      </c>
    </row>
    <row r="213" spans="2:3">
      <c r="B213" s="89">
        <v>0.74674041415953707</v>
      </c>
      <c r="C213" s="138">
        <v>2.9962656000000001</v>
      </c>
    </row>
    <row r="214" spans="2:3">
      <c r="B214" s="89">
        <v>0.74880476029125975</v>
      </c>
      <c r="C214" s="138">
        <v>3.0007874999999999</v>
      </c>
    </row>
    <row r="215" spans="2:3">
      <c r="B215" s="89">
        <v>0.75088063538738559</v>
      </c>
      <c r="C215" s="138">
        <v>3.0053570000000001</v>
      </c>
    </row>
    <row r="216" spans="2:3">
      <c r="B216" s="89">
        <v>0.75296814888838526</v>
      </c>
      <c r="C216" s="138">
        <v>3.0099749999999998</v>
      </c>
    </row>
    <row r="217" spans="2:3">
      <c r="B217" s="89">
        <v>0.75506736482304293</v>
      </c>
      <c r="C217" s="138">
        <v>3.0146427</v>
      </c>
    </row>
    <row r="218" spans="2:3">
      <c r="B218" s="89">
        <v>0.75717790425123654</v>
      </c>
      <c r="C218" s="138">
        <v>3.019377</v>
      </c>
    </row>
    <row r="219" spans="2:3">
      <c r="B219" s="89">
        <v>0.75929996765121088</v>
      </c>
      <c r="C219" s="138">
        <v>3.0241752000000002</v>
      </c>
    </row>
    <row r="220" spans="2:3">
      <c r="B220" s="89">
        <v>0.76143405209305148</v>
      </c>
      <c r="C220" s="138">
        <v>3.0290271999999998</v>
      </c>
    </row>
    <row r="221" spans="2:3">
      <c r="B221" s="89">
        <v>0.76358026515455613</v>
      </c>
      <c r="C221" s="138">
        <v>3.0339339999999999</v>
      </c>
    </row>
    <row r="222" spans="2:3">
      <c r="B222" s="89">
        <v>0.76573868183098293</v>
      </c>
      <c r="C222" s="138">
        <v>3.0388967999999998</v>
      </c>
    </row>
    <row r="223" spans="2:3">
      <c r="B223" s="89">
        <v>0.76790941094044785</v>
      </c>
      <c r="C223" s="138">
        <v>3.0439172000000001</v>
      </c>
    </row>
    <row r="224" spans="2:3">
      <c r="B224" s="89">
        <v>0.77009221345785217</v>
      </c>
      <c r="C224" s="138">
        <v>3.0490081</v>
      </c>
    </row>
    <row r="225" spans="2:3">
      <c r="B225" s="89">
        <v>0.77228727057579405</v>
      </c>
      <c r="C225" s="138">
        <v>3.0541689999999999</v>
      </c>
    </row>
    <row r="226" spans="2:3">
      <c r="B226" s="89">
        <v>0.7744947915153555</v>
      </c>
      <c r="C226" s="138">
        <v>3.0593970000000001</v>
      </c>
    </row>
    <row r="227" spans="2:3">
      <c r="B227" s="89">
        <v>0.77671490666294407</v>
      </c>
      <c r="C227" s="138">
        <v>3.0646941999999999</v>
      </c>
    </row>
    <row r="228" spans="2:3">
      <c r="B228" s="89">
        <v>0.77894770032805982</v>
      </c>
      <c r="C228" s="138">
        <v>3.0700623999999999</v>
      </c>
    </row>
    <row r="229" spans="2:3">
      <c r="B229" s="89">
        <v>0.78119331329123987</v>
      </c>
      <c r="C229" s="138">
        <v>3.0755032999999998</v>
      </c>
    </row>
    <row r="230" spans="2:3">
      <c r="B230" s="89">
        <v>0.78345180789857116</v>
      </c>
      <c r="C230" s="138">
        <v>3.081019</v>
      </c>
    </row>
    <row r="231" spans="2:3">
      <c r="B231" s="89">
        <v>0.78572335618588007</v>
      </c>
      <c r="C231" s="138">
        <v>3.0866115000000001</v>
      </c>
    </row>
    <row r="232" spans="2:3">
      <c r="B232" s="89">
        <v>0.78800791833415673</v>
      </c>
      <c r="C232" s="138">
        <v>3.0922860000000001</v>
      </c>
    </row>
    <row r="233" spans="2:3">
      <c r="B233" s="89">
        <v>0.79030496200249511</v>
      </c>
      <c r="C233" s="138">
        <v>3.0980704000000001</v>
      </c>
    </row>
    <row r="234" spans="2:3">
      <c r="B234" s="89">
        <v>0.79261549275394583</v>
      </c>
      <c r="C234" s="138">
        <v>3.1039325999999998</v>
      </c>
    </row>
    <row r="235" spans="2:3">
      <c r="B235" s="89">
        <v>0.79493969078070248</v>
      </c>
      <c r="C235" s="138">
        <v>3.1098750000000002</v>
      </c>
    </row>
    <row r="236" spans="2:3">
      <c r="B236" s="89">
        <v>0.79727765534402506</v>
      </c>
      <c r="C236" s="138">
        <v>3.1158999999999999</v>
      </c>
    </row>
    <row r="237" spans="2:3">
      <c r="B237" s="89">
        <v>0.79962950964780832</v>
      </c>
      <c r="C237" s="138">
        <v>3.1220094999999999</v>
      </c>
    </row>
    <row r="238" spans="2:3">
      <c r="B238" s="89">
        <v>0.80199536891644108</v>
      </c>
      <c r="C238" s="138">
        <v>3.1282065000000001</v>
      </c>
    </row>
    <row r="239" spans="2:3">
      <c r="B239" s="89">
        <v>0.80437534347289041</v>
      </c>
      <c r="C239" s="138">
        <v>3.1344929000000001</v>
      </c>
    </row>
    <row r="240" spans="2:3">
      <c r="B240" s="89">
        <v>0.80676961465031249</v>
      </c>
      <c r="C240" s="138">
        <v>3.1408718000000002</v>
      </c>
    </row>
    <row r="241" spans="2:3">
      <c r="B241" s="89">
        <v>0.80917826364807222</v>
      </c>
      <c r="C241" s="138">
        <v>3.1473458000000001</v>
      </c>
    </row>
    <row r="242" spans="2:3">
      <c r="B242" s="89">
        <v>0.81160144603057294</v>
      </c>
      <c r="C242" s="138">
        <v>3.1539177999999999</v>
      </c>
    </row>
    <row r="243" spans="2:3">
      <c r="B243" s="89">
        <v>0.81403927145721688</v>
      </c>
      <c r="C243" s="138">
        <v>3.1605905999999999</v>
      </c>
    </row>
    <row r="244" spans="2:3">
      <c r="B244" s="89">
        <v>0.81649145130039413</v>
      </c>
      <c r="C244" s="138">
        <v>3.1673849999999999</v>
      </c>
    </row>
    <row r="245" spans="2:3">
      <c r="B245" s="89">
        <v>0.81895776611574034</v>
      </c>
      <c r="C245" s="138">
        <v>3.1743193000000001</v>
      </c>
    </row>
    <row r="246" spans="2:3">
      <c r="B246" s="89">
        <v>0.82143891126079149</v>
      </c>
      <c r="C246" s="138">
        <v>3.1813739999999999</v>
      </c>
    </row>
    <row r="247" spans="2:3">
      <c r="B247" s="89">
        <v>0.82393509965780543</v>
      </c>
      <c r="C247" s="138">
        <v>3.1885528999999999</v>
      </c>
    </row>
    <row r="248" spans="2:3">
      <c r="B248" s="89">
        <v>0.82644635660829469</v>
      </c>
      <c r="C248" s="138">
        <v>3.1958609999999998</v>
      </c>
    </row>
    <row r="249" spans="2:3">
      <c r="B249" s="89">
        <v>0.82897264689158945</v>
      </c>
      <c r="C249" s="138">
        <v>3.2033136</v>
      </c>
    </row>
    <row r="250" spans="2:3">
      <c r="B250" s="89">
        <v>0.83151453658628505</v>
      </c>
      <c r="C250" s="138">
        <v>3.210896</v>
      </c>
    </row>
    <row r="251" spans="2:3">
      <c r="B251" s="89">
        <v>0.83407215135626023</v>
      </c>
      <c r="C251" s="138">
        <v>3.2186130999999998</v>
      </c>
    </row>
    <row r="252" spans="2:3">
      <c r="B252" s="89">
        <v>0.83664564264271868</v>
      </c>
      <c r="C252" s="138">
        <v>3.2264705</v>
      </c>
    </row>
    <row r="253" spans="2:3">
      <c r="B253" s="89">
        <v>0.83923460135919314</v>
      </c>
      <c r="C253" s="138">
        <v>3.234499</v>
      </c>
    </row>
    <row r="254" spans="2:3">
      <c r="B254" s="89">
        <v>0.8418397234628594</v>
      </c>
      <c r="C254" s="138">
        <v>3.2426789</v>
      </c>
    </row>
    <row r="255" spans="2:3">
      <c r="B255" s="89">
        <v>0.8444608033019505</v>
      </c>
      <c r="C255" s="138">
        <v>3.2510343000000002</v>
      </c>
    </row>
    <row r="256" spans="2:3">
      <c r="B256" s="89">
        <v>0.8470983509577199</v>
      </c>
      <c r="C256" s="138">
        <v>3.2595537000000001</v>
      </c>
    </row>
    <row r="257" spans="2:3">
      <c r="B257" s="89">
        <v>0.84975193963308127</v>
      </c>
      <c r="C257" s="138">
        <v>3.2682720000000001</v>
      </c>
    </row>
    <row r="258" spans="2:3">
      <c r="B258" s="89">
        <v>0.85242230216029446</v>
      </c>
      <c r="C258" s="138">
        <v>3.2771704000000001</v>
      </c>
    </row>
    <row r="259" spans="2:3">
      <c r="B259" s="89">
        <v>0.85510959553275878</v>
      </c>
      <c r="C259" s="138">
        <v>3.2862550000000001</v>
      </c>
    </row>
    <row r="260" spans="2:3">
      <c r="B260" s="89">
        <v>0.85781398511186402</v>
      </c>
      <c r="C260" s="138">
        <v>3.2955337</v>
      </c>
    </row>
    <row r="261" spans="2:3">
      <c r="B261" s="89">
        <v>0.86053492783640195</v>
      </c>
      <c r="C261" s="138">
        <v>3.3050535000000001</v>
      </c>
    </row>
    <row r="262" spans="2:3">
      <c r="B262" s="89">
        <v>0.86327319916122081</v>
      </c>
      <c r="C262" s="138">
        <v>3.3147920000000002</v>
      </c>
    </row>
    <row r="263" spans="2:3">
      <c r="B263" s="89">
        <v>0.86602906539771118</v>
      </c>
      <c r="C263" s="138">
        <v>3.3247537999999999</v>
      </c>
    </row>
    <row r="264" spans="2:3">
      <c r="B264" s="89">
        <v>0.86880268190183507</v>
      </c>
      <c r="C264" s="138">
        <v>3.3349495</v>
      </c>
    </row>
    <row r="265" spans="2:3">
      <c r="B265" s="89">
        <v>0.87159379562099537</v>
      </c>
      <c r="C265" s="138">
        <v>3.345415</v>
      </c>
    </row>
    <row r="266" spans="2:3">
      <c r="B266" s="89">
        <v>0.87440275336047291</v>
      </c>
      <c r="C266" s="138">
        <v>3.3561550000000002</v>
      </c>
    </row>
    <row r="267" spans="2:3">
      <c r="B267" s="89">
        <v>0.87722979070089102</v>
      </c>
      <c r="C267" s="138">
        <v>3.3671790000000001</v>
      </c>
    </row>
    <row r="268" spans="2:3">
      <c r="B268" s="89">
        <v>0.88007467239841808</v>
      </c>
      <c r="C268" s="138">
        <v>3.3785259999999999</v>
      </c>
    </row>
    <row r="269" spans="2:3">
      <c r="B269" s="89">
        <v>0.88293806266879094</v>
      </c>
      <c r="C269" s="138">
        <v>3.3901865</v>
      </c>
    </row>
    <row r="270" spans="2:3">
      <c r="B270" s="89">
        <v>0.88582024447341656</v>
      </c>
      <c r="C270" s="138">
        <v>3.4021690000000002</v>
      </c>
    </row>
    <row r="271" spans="2:3">
      <c r="B271" s="89">
        <v>0.8887214348049185</v>
      </c>
      <c r="C271" s="138">
        <v>3.4144914000000002</v>
      </c>
    </row>
    <row r="272" spans="2:3">
      <c r="B272" s="89">
        <v>0.89164181227448491</v>
      </c>
      <c r="C272" s="138">
        <v>3.4271736000000002</v>
      </c>
    </row>
    <row r="273" spans="2:3">
      <c r="B273" s="89">
        <v>0.89458087993303692</v>
      </c>
      <c r="C273" s="138">
        <v>3.440283</v>
      </c>
    </row>
    <row r="274" spans="2:3">
      <c r="B274" s="89">
        <v>0.89753901475121922</v>
      </c>
      <c r="C274" s="138">
        <v>3.4538362</v>
      </c>
    </row>
    <row r="275" spans="2:3">
      <c r="B275" s="89">
        <v>0.90051691444776227</v>
      </c>
      <c r="C275" s="138">
        <v>3.4678260000000001</v>
      </c>
    </row>
    <row r="276" spans="2:3">
      <c r="B276" s="89">
        <v>0.90351473178144348</v>
      </c>
      <c r="C276" s="138">
        <v>3.4822814000000002</v>
      </c>
    </row>
    <row r="277" spans="2:3">
      <c r="B277" s="89">
        <v>0.90653271912388156</v>
      </c>
      <c r="C277" s="138">
        <v>3.4972346000000001</v>
      </c>
    </row>
    <row r="278" spans="2:3">
      <c r="B278" s="89">
        <v>0.90957079155454423</v>
      </c>
      <c r="C278" s="138">
        <v>3.5127416</v>
      </c>
    </row>
    <row r="279" spans="2:3">
      <c r="B279" s="89">
        <v>0.91262887717505214</v>
      </c>
      <c r="C279" s="138">
        <v>3.5288677000000002</v>
      </c>
    </row>
    <row r="280" spans="2:3">
      <c r="B280" s="89">
        <v>0.91570746695132377</v>
      </c>
      <c r="C280" s="138">
        <v>3.5456371</v>
      </c>
    </row>
    <row r="281" spans="2:3">
      <c r="B281" s="89">
        <v>0.91880678018857176</v>
      </c>
      <c r="C281" s="138">
        <v>3.5631018000000001</v>
      </c>
    </row>
    <row r="282" spans="2:3">
      <c r="B282" s="89">
        <v>0.92192706217266818</v>
      </c>
      <c r="C282" s="138">
        <v>3.5813185999999999</v>
      </c>
    </row>
    <row r="283" spans="2:3">
      <c r="B283" s="89">
        <v>0.92506843497389846</v>
      </c>
      <c r="C283" s="138">
        <v>3.6003612999999999</v>
      </c>
    </row>
    <row r="284" spans="2:3">
      <c r="B284" s="89">
        <v>0.92823124711203508</v>
      </c>
      <c r="C284" s="138">
        <v>3.6202942999999999</v>
      </c>
    </row>
    <row r="285" spans="2:3">
      <c r="B285" s="89">
        <v>0.93141560223333086</v>
      </c>
      <c r="C285" s="138">
        <v>3.6412170000000001</v>
      </c>
    </row>
    <row r="286" spans="2:3">
      <c r="B286" s="89">
        <v>0.93462177261164847</v>
      </c>
      <c r="C286" s="138">
        <v>3.6632245000000001</v>
      </c>
    </row>
    <row r="287" spans="2:3">
      <c r="B287" s="89">
        <v>0.93784998236644834</v>
      </c>
      <c r="C287" s="138">
        <v>3.686436</v>
      </c>
    </row>
    <row r="288" spans="2:3">
      <c r="B288" s="89">
        <v>0.94110038789693262</v>
      </c>
      <c r="C288" s="138">
        <v>3.7109952000000002</v>
      </c>
    </row>
    <row r="289" spans="2:3">
      <c r="B289" s="89">
        <v>0.94437336857415066</v>
      </c>
      <c r="C289" s="138">
        <v>3.7370483999999999</v>
      </c>
    </row>
    <row r="290" spans="2:3">
      <c r="B290" s="89">
        <v>0.94766905165892112</v>
      </c>
      <c r="C290" s="138">
        <v>3.7648041000000001</v>
      </c>
    </row>
    <row r="291" spans="2:3">
      <c r="B291" s="89">
        <v>0.95098767232170223</v>
      </c>
      <c r="C291" s="138">
        <v>3.7944955999999999</v>
      </c>
    </row>
    <row r="292" spans="2:3">
      <c r="B292" s="89">
        <v>0.95432950957434537</v>
      </c>
      <c r="C292" s="138">
        <v>3.8264052999999998</v>
      </c>
    </row>
    <row r="293" spans="2:3">
      <c r="B293" s="89">
        <v>0.95769478423042931</v>
      </c>
      <c r="C293" s="138">
        <v>3.8608913</v>
      </c>
    </row>
    <row r="294" spans="2:3">
      <c r="B294" s="89">
        <v>0.96108375081988506</v>
      </c>
      <c r="C294" s="138">
        <v>3.8984025</v>
      </c>
    </row>
    <row r="295" spans="2:3">
      <c r="B295" s="89">
        <v>0.9644966011964814</v>
      </c>
      <c r="C295" s="138">
        <v>3.9395273</v>
      </c>
    </row>
    <row r="296" spans="2:3">
      <c r="B296" s="89">
        <v>0.96793375656764269</v>
      </c>
      <c r="C296" s="138">
        <v>3.9849934999999999</v>
      </c>
    </row>
    <row r="297" spans="2:3">
      <c r="B297" s="89">
        <v>0.97139532603223</v>
      </c>
      <c r="C297" s="138">
        <v>4.0358586000000001</v>
      </c>
    </row>
    <row r="298" spans="2:3">
      <c r="B298" s="89">
        <v>0.97488157194297087</v>
      </c>
      <c r="C298" s="138">
        <v>4.0935693000000004</v>
      </c>
    </row>
    <row r="299" spans="2:3">
      <c r="B299" s="89">
        <v>0.97839288746055764</v>
      </c>
      <c r="C299" s="138">
        <v>4.1601990000000004</v>
      </c>
    </row>
    <row r="300" spans="2:3">
      <c r="B300" s="89">
        <v>0.98192941589158944</v>
      </c>
      <c r="C300" s="138">
        <v>4.2390590000000001</v>
      </c>
    </row>
    <row r="301" spans="2:3">
      <c r="B301" s="89">
        <v>0.98549147963462413</v>
      </c>
      <c r="C301" s="138">
        <v>4.3356094000000001</v>
      </c>
    </row>
    <row r="302" spans="2:3">
      <c r="B302" s="89">
        <v>0.98907937426853365</v>
      </c>
      <c r="C302" s="138">
        <v>4.4600900000000001</v>
      </c>
    </row>
    <row r="303" spans="2:3">
      <c r="B303" s="89">
        <v>0.99269341372095754</v>
      </c>
      <c r="C303" s="138">
        <v>4.6353903000000001</v>
      </c>
    </row>
    <row r="304" spans="2:3">
      <c r="B304" s="89">
        <v>0.99633407424513687</v>
      </c>
      <c r="C304" s="138">
        <v>4.9334110000000004</v>
      </c>
    </row>
    <row r="305" spans="2:3">
      <c r="B305" s="89">
        <v>1.0036659257548632</v>
      </c>
      <c r="C305" s="138">
        <v>7.0665889999999996</v>
      </c>
    </row>
    <row r="306" spans="2:3">
      <c r="B306" s="89">
        <v>1.0073065862790425</v>
      </c>
      <c r="C306" s="138">
        <v>7.3646096999999999</v>
      </c>
    </row>
    <row r="307" spans="2:3">
      <c r="B307" s="89">
        <v>1.0109206257314662</v>
      </c>
      <c r="C307" s="138">
        <v>7.5399099999999999</v>
      </c>
    </row>
    <row r="308" spans="2:3">
      <c r="B308" s="89">
        <v>1.0145085203653759</v>
      </c>
      <c r="C308" s="138">
        <v>7.6643905999999999</v>
      </c>
    </row>
    <row r="309" spans="2:3">
      <c r="B309" s="89">
        <v>1.0180705841084106</v>
      </c>
      <c r="C309" s="138">
        <v>7.7609409999999999</v>
      </c>
    </row>
    <row r="310" spans="2:3">
      <c r="B310" s="89">
        <v>1.0216071125394424</v>
      </c>
      <c r="C310" s="138">
        <v>7.8398009999999996</v>
      </c>
    </row>
    <row r="311" spans="2:3">
      <c r="B311" s="89">
        <v>1.0251184280570291</v>
      </c>
      <c r="C311" s="138">
        <v>7.9064306999999996</v>
      </c>
    </row>
    <row r="312" spans="2:3">
      <c r="B312" s="89">
        <v>1.0286046739677701</v>
      </c>
      <c r="C312" s="138">
        <v>7.9641413999999999</v>
      </c>
    </row>
    <row r="313" spans="2:3">
      <c r="B313" s="89">
        <v>1.0320662434323573</v>
      </c>
      <c r="C313" s="138">
        <v>8.0150065000000001</v>
      </c>
    </row>
    <row r="314" spans="2:3">
      <c r="B314" s="89">
        <v>1.0355033988035185</v>
      </c>
      <c r="C314" s="138">
        <v>8.0604727</v>
      </c>
    </row>
    <row r="315" spans="2:3">
      <c r="B315" s="89">
        <v>1.0389162491801149</v>
      </c>
      <c r="C315" s="138">
        <v>8.1015975000000005</v>
      </c>
    </row>
    <row r="316" spans="2:3">
      <c r="B316" s="89">
        <v>1.0423052157695707</v>
      </c>
      <c r="C316" s="138">
        <v>8.1391086999999995</v>
      </c>
    </row>
    <row r="317" spans="2:3">
      <c r="B317" s="89">
        <v>1.0456704904256546</v>
      </c>
      <c r="C317" s="138">
        <v>8.1735947000000007</v>
      </c>
    </row>
    <row r="318" spans="2:3">
      <c r="B318" s="89">
        <v>1.0490123276782977</v>
      </c>
      <c r="C318" s="138">
        <v>8.2055044000000006</v>
      </c>
    </row>
    <row r="319" spans="2:3">
      <c r="B319" s="89">
        <v>1.052330948341079</v>
      </c>
      <c r="C319" s="138">
        <v>8.2351959000000008</v>
      </c>
    </row>
    <row r="320" spans="2:3">
      <c r="B320" s="89">
        <v>1.0556266314258493</v>
      </c>
      <c r="C320" s="138">
        <v>8.262951600000001</v>
      </c>
    </row>
    <row r="321" spans="2:3">
      <c r="B321" s="89">
        <v>1.0588996121030674</v>
      </c>
      <c r="C321" s="138">
        <v>8.2890048000000007</v>
      </c>
    </row>
    <row r="322" spans="2:3">
      <c r="B322" s="89">
        <v>1.0621500176335517</v>
      </c>
      <c r="C322" s="138">
        <v>8.3135639999999995</v>
      </c>
    </row>
    <row r="323" spans="2:3">
      <c r="B323" s="89">
        <v>1.0653782273883516</v>
      </c>
      <c r="C323" s="138">
        <v>8.3367754999999999</v>
      </c>
    </row>
    <row r="324" spans="2:3">
      <c r="B324" s="89">
        <v>1.0685843977666691</v>
      </c>
      <c r="C324" s="138">
        <v>8.358782999999999</v>
      </c>
    </row>
    <row r="325" spans="2:3">
      <c r="B325" s="89">
        <v>1.0717687528879649</v>
      </c>
      <c r="C325" s="138">
        <v>8.3797057000000006</v>
      </c>
    </row>
    <row r="326" spans="2:3">
      <c r="B326" s="89">
        <v>1.0749315650261015</v>
      </c>
      <c r="C326" s="138">
        <v>8.3996387000000006</v>
      </c>
    </row>
    <row r="327" spans="2:3">
      <c r="B327" s="89">
        <v>1.0780729378273319</v>
      </c>
      <c r="C327" s="138">
        <v>8.4186814000000005</v>
      </c>
    </row>
    <row r="328" spans="2:3">
      <c r="B328" s="89">
        <v>1.0811932198114282</v>
      </c>
      <c r="C328" s="138">
        <v>8.4368981999999999</v>
      </c>
    </row>
    <row r="329" spans="2:3">
      <c r="B329" s="89">
        <v>1.0842925330486763</v>
      </c>
      <c r="C329" s="138">
        <v>8.4543628999999996</v>
      </c>
    </row>
    <row r="330" spans="2:3">
      <c r="B330" s="89">
        <v>1.0873711228249479</v>
      </c>
      <c r="C330" s="138">
        <v>8.4711323000000007</v>
      </c>
    </row>
    <row r="331" spans="2:3">
      <c r="B331" s="89">
        <v>1.0904292084454559</v>
      </c>
      <c r="C331" s="138">
        <v>8.4872584</v>
      </c>
    </row>
    <row r="332" spans="2:3">
      <c r="B332" s="89">
        <v>1.0934672808761183</v>
      </c>
      <c r="C332" s="138">
        <v>8.5027653999999995</v>
      </c>
    </row>
    <row r="333" spans="2:3">
      <c r="B333" s="89">
        <v>1.0964852682185566</v>
      </c>
      <c r="C333" s="138">
        <v>8.5177186000000003</v>
      </c>
    </row>
    <row r="334" spans="2:3">
      <c r="B334" s="89">
        <v>1.0994830855522377</v>
      </c>
      <c r="C334" s="138">
        <v>8.5321739999999995</v>
      </c>
    </row>
    <row r="335" spans="2:3">
      <c r="B335" s="89">
        <v>1.1024609852487808</v>
      </c>
      <c r="C335" s="138">
        <v>8.5461638000000004</v>
      </c>
    </row>
    <row r="336" spans="2:3">
      <c r="B336" s="89">
        <v>1.105419120066963</v>
      </c>
      <c r="C336" s="138">
        <v>8.5597169999999991</v>
      </c>
    </row>
    <row r="337" spans="2:3">
      <c r="B337" s="89">
        <v>1.1083581877255151</v>
      </c>
      <c r="C337" s="138">
        <v>8.5728264000000003</v>
      </c>
    </row>
    <row r="338" spans="2:3">
      <c r="B338" s="89">
        <v>1.1112785651950814</v>
      </c>
      <c r="C338" s="138">
        <v>8.5855086000000007</v>
      </c>
    </row>
    <row r="339" spans="2:3">
      <c r="B339" s="89">
        <v>1.1141797555265835</v>
      </c>
      <c r="C339" s="138">
        <v>8.5978309999999993</v>
      </c>
    </row>
    <row r="340" spans="2:3">
      <c r="B340" s="89">
        <v>1.1170619373312092</v>
      </c>
      <c r="C340" s="138">
        <v>8.6098134999999996</v>
      </c>
    </row>
    <row r="341" spans="2:3">
      <c r="B341" s="89">
        <v>1.1199253276015819</v>
      </c>
      <c r="C341" s="138">
        <v>8.6214739999999992</v>
      </c>
    </row>
    <row r="342" spans="2:3">
      <c r="B342" s="89">
        <v>1.122770209299109</v>
      </c>
      <c r="C342" s="138">
        <v>8.6328209999999999</v>
      </c>
    </row>
    <row r="343" spans="2:3">
      <c r="B343" s="89">
        <v>1.125597246639527</v>
      </c>
      <c r="C343" s="138">
        <v>8.6438449999999989</v>
      </c>
    </row>
    <row r="344" spans="2:3">
      <c r="B344" s="89">
        <v>1.1284062043790046</v>
      </c>
      <c r="C344" s="138">
        <v>8.6545850000000009</v>
      </c>
    </row>
    <row r="345" spans="2:3">
      <c r="B345" s="89">
        <v>1.1311973180981649</v>
      </c>
      <c r="C345" s="138">
        <v>8.6650504999999995</v>
      </c>
    </row>
    <row r="346" spans="2:3">
      <c r="B346" s="89">
        <v>1.1339709346022888</v>
      </c>
      <c r="C346" s="138">
        <v>8.6752462000000001</v>
      </c>
    </row>
    <row r="347" spans="2:3">
      <c r="B347" s="89">
        <v>1.1367268008387792</v>
      </c>
      <c r="C347" s="138">
        <v>8.6852079999999994</v>
      </c>
    </row>
    <row r="348" spans="2:3">
      <c r="B348" s="89">
        <v>1.1394650721635982</v>
      </c>
      <c r="C348" s="138">
        <v>8.6949465000000004</v>
      </c>
    </row>
    <row r="349" spans="2:3">
      <c r="B349" s="89">
        <v>1.142186014888136</v>
      </c>
      <c r="C349" s="138">
        <v>8.7044663</v>
      </c>
    </row>
    <row r="350" spans="2:3">
      <c r="B350" s="89">
        <v>1.1448904044672412</v>
      </c>
      <c r="C350" s="138">
        <v>8.7137449999999994</v>
      </c>
    </row>
    <row r="351" spans="2:3">
      <c r="B351" s="89">
        <v>1.1475776978397056</v>
      </c>
      <c r="C351" s="138">
        <v>8.7228296000000007</v>
      </c>
    </row>
    <row r="352" spans="2:3">
      <c r="B352" s="89">
        <v>1.1502480603669187</v>
      </c>
      <c r="C352" s="138">
        <v>8.7317280000000004</v>
      </c>
    </row>
    <row r="353" spans="2:3">
      <c r="B353" s="89">
        <v>1.1529016490422801</v>
      </c>
      <c r="C353" s="138">
        <v>8.7404463000000003</v>
      </c>
    </row>
    <row r="354" spans="2:3">
      <c r="B354" s="89">
        <v>1.1555391966980495</v>
      </c>
      <c r="C354" s="138">
        <v>8.7489656999999994</v>
      </c>
    </row>
    <row r="355" spans="2:3">
      <c r="B355" s="89">
        <v>1.1581602765371406</v>
      </c>
      <c r="C355" s="138">
        <v>8.7573211000000004</v>
      </c>
    </row>
    <row r="356" spans="2:3">
      <c r="B356" s="89">
        <v>1.1607653986408069</v>
      </c>
      <c r="C356" s="138">
        <v>8.7655010000000004</v>
      </c>
    </row>
    <row r="357" spans="2:3">
      <c r="B357" s="89">
        <v>1.1633543573572813</v>
      </c>
      <c r="C357" s="138">
        <v>8.7735295000000004</v>
      </c>
    </row>
    <row r="358" spans="2:3">
      <c r="B358" s="89">
        <v>1.1659278486437397</v>
      </c>
      <c r="C358" s="138">
        <v>8.7813869000000011</v>
      </c>
    </row>
    <row r="359" spans="2:3">
      <c r="B359" s="89">
        <v>1.168485463413715</v>
      </c>
      <c r="C359" s="138">
        <v>8.789104</v>
      </c>
    </row>
    <row r="360" spans="2:3">
      <c r="B360" s="89">
        <v>1.1710273531084106</v>
      </c>
      <c r="C360" s="138">
        <v>8.7966864000000005</v>
      </c>
    </row>
    <row r="361" spans="2:3">
      <c r="B361" s="89">
        <v>1.1735536433917053</v>
      </c>
      <c r="C361" s="138">
        <v>8.8041389999999993</v>
      </c>
    </row>
    <row r="362" spans="2:3">
      <c r="B362" s="89">
        <v>1.1760649003421946</v>
      </c>
      <c r="C362" s="138">
        <v>8.8114471000000005</v>
      </c>
    </row>
    <row r="363" spans="2:3">
      <c r="B363" s="89">
        <v>1.1785610887392086</v>
      </c>
      <c r="C363" s="138">
        <v>8.8186260000000001</v>
      </c>
    </row>
    <row r="364" spans="2:3">
      <c r="B364" s="89">
        <v>1.1810422338842597</v>
      </c>
      <c r="C364" s="138">
        <v>8.8256806999999995</v>
      </c>
    </row>
    <row r="365" spans="2:3">
      <c r="B365" s="89">
        <v>1.183508548699606</v>
      </c>
      <c r="C365" s="138">
        <v>8.8326150000000005</v>
      </c>
    </row>
    <row r="366" spans="2:3">
      <c r="B366" s="89">
        <v>1.1859607285427831</v>
      </c>
      <c r="C366" s="138">
        <v>8.839409400000001</v>
      </c>
    </row>
    <row r="367" spans="2:3">
      <c r="B367" s="89">
        <v>1.1883985539694271</v>
      </c>
      <c r="C367" s="138">
        <v>8.8460821999999997</v>
      </c>
    </row>
    <row r="368" spans="2:3">
      <c r="B368" s="89">
        <v>1.1908217363519278</v>
      </c>
      <c r="C368" s="138">
        <v>8.8526541999999999</v>
      </c>
    </row>
    <row r="369" spans="2:3">
      <c r="B369" s="89">
        <v>1.1932303853496875</v>
      </c>
      <c r="C369" s="138">
        <v>8.8591282000000007</v>
      </c>
    </row>
    <row r="370" spans="2:3">
      <c r="B370" s="89">
        <v>1.1956246565271096</v>
      </c>
      <c r="C370" s="138">
        <v>8.8655071000000003</v>
      </c>
    </row>
    <row r="371" spans="2:3">
      <c r="B371" s="89">
        <v>1.1980046310835588</v>
      </c>
      <c r="C371" s="138">
        <v>8.871793499999999</v>
      </c>
    </row>
    <row r="372" spans="2:3">
      <c r="B372" s="89">
        <v>1.2003704903521917</v>
      </c>
      <c r="C372" s="138">
        <v>8.8779904999999992</v>
      </c>
    </row>
    <row r="373" spans="2:3">
      <c r="B373" s="89">
        <v>1.2027223446559749</v>
      </c>
      <c r="C373" s="138">
        <v>8.8841000000000001</v>
      </c>
    </row>
    <row r="374" spans="2:3">
      <c r="B374" s="89">
        <v>1.2050603092192975</v>
      </c>
      <c r="C374" s="138">
        <v>8.8901249999999994</v>
      </c>
    </row>
    <row r="375" spans="2:3">
      <c r="B375" s="89">
        <v>1.2073845072460543</v>
      </c>
      <c r="C375" s="138">
        <v>8.8960673999999997</v>
      </c>
    </row>
    <row r="376" spans="2:3">
      <c r="B376" s="89">
        <v>1.2096950379975049</v>
      </c>
      <c r="C376" s="138">
        <v>8.901929599999999</v>
      </c>
    </row>
    <row r="377" spans="2:3">
      <c r="B377" s="89">
        <v>1.2119920816658434</v>
      </c>
      <c r="C377" s="138">
        <v>8.9077140000000004</v>
      </c>
    </row>
    <row r="378" spans="2:3">
      <c r="B378" s="89">
        <v>1.2142766438141199</v>
      </c>
      <c r="C378" s="138">
        <v>8.9133884999999999</v>
      </c>
    </row>
    <row r="379" spans="2:3">
      <c r="B379" s="89">
        <v>1.2165481921014289</v>
      </c>
      <c r="C379" s="138">
        <v>8.9189810000000005</v>
      </c>
    </row>
    <row r="380" spans="2:3">
      <c r="B380" s="89">
        <v>1.2188066867087601</v>
      </c>
      <c r="C380" s="138">
        <v>8.9244967000000006</v>
      </c>
    </row>
    <row r="381" spans="2:3">
      <c r="B381" s="89">
        <v>1.2210522996719402</v>
      </c>
      <c r="C381" s="138">
        <v>8.9299376000000006</v>
      </c>
    </row>
    <row r="382" spans="2:3">
      <c r="B382" s="89">
        <v>1.223285093337056</v>
      </c>
      <c r="C382" s="138">
        <v>8.9353058000000001</v>
      </c>
    </row>
    <row r="383" spans="2:3">
      <c r="B383" s="89">
        <v>1.2255052084846445</v>
      </c>
      <c r="C383" s="138">
        <v>8.9406029999999994</v>
      </c>
    </row>
    <row r="384" spans="2:3">
      <c r="B384" s="89">
        <v>1.2277127294242058</v>
      </c>
      <c r="C384" s="138">
        <v>8.9458310000000001</v>
      </c>
    </row>
    <row r="385" spans="2:3">
      <c r="B385" s="89">
        <v>1.2299077865421477</v>
      </c>
      <c r="C385" s="138">
        <v>8.9509919</v>
      </c>
    </row>
    <row r="386" spans="2:3">
      <c r="B386" s="89">
        <v>1.2320905890595522</v>
      </c>
      <c r="C386" s="138">
        <v>8.9560828000000008</v>
      </c>
    </row>
    <row r="387" spans="2:3">
      <c r="B387" s="89">
        <v>1.234261318169017</v>
      </c>
      <c r="C387" s="138">
        <v>8.9611032000000002</v>
      </c>
    </row>
    <row r="388" spans="2:3">
      <c r="B388" s="89">
        <v>1.2364197348454438</v>
      </c>
      <c r="C388" s="138">
        <v>8.9660659999999996</v>
      </c>
    </row>
    <row r="389" spans="2:3">
      <c r="B389" s="89">
        <v>1.2385659479069484</v>
      </c>
      <c r="C389" s="138">
        <v>8.9709728000000002</v>
      </c>
    </row>
    <row r="390" spans="2:3">
      <c r="B390" s="89">
        <v>1.2407000323487891</v>
      </c>
      <c r="C390" s="138">
        <v>8.9758247999999998</v>
      </c>
    </row>
    <row r="391" spans="2:3">
      <c r="B391" s="89">
        <v>1.2428220957487635</v>
      </c>
      <c r="C391" s="138">
        <v>8.9806229999999996</v>
      </c>
    </row>
    <row r="392" spans="2:3">
      <c r="B392" s="89">
        <v>1.2449326351769572</v>
      </c>
      <c r="C392" s="138">
        <v>8.9853573000000004</v>
      </c>
    </row>
    <row r="393" spans="2:3">
      <c r="B393" s="89">
        <v>1.2470318511116147</v>
      </c>
      <c r="C393" s="138">
        <v>8.9900249999999993</v>
      </c>
    </row>
    <row r="394" spans="2:3">
      <c r="B394" s="89">
        <v>1.2491193646126144</v>
      </c>
      <c r="C394" s="138">
        <v>8.9946429999999999</v>
      </c>
    </row>
    <row r="395" spans="2:3">
      <c r="B395" s="89">
        <v>1.2511952397087402</v>
      </c>
      <c r="C395" s="138">
        <v>8.9992125000000005</v>
      </c>
    </row>
    <row r="396" spans="2:3">
      <c r="B396" s="89">
        <v>1.2532595858404629</v>
      </c>
      <c r="C396" s="138">
        <v>9.003734399999999</v>
      </c>
    </row>
    <row r="397" spans="2:3">
      <c r="B397" s="89">
        <v>1.2553125116535604</v>
      </c>
      <c r="C397" s="138">
        <v>9.0082097000000001</v>
      </c>
    </row>
    <row r="398" spans="2:3">
      <c r="B398" s="89">
        <v>1.2573543791742865</v>
      </c>
      <c r="C398" s="138">
        <v>9.0126305000000002</v>
      </c>
    </row>
    <row r="399" spans="2:3">
      <c r="B399" s="89">
        <v>1.2593852692839249</v>
      </c>
      <c r="C399" s="138">
        <v>9.0169992000000008</v>
      </c>
    </row>
    <row r="400" spans="2:3">
      <c r="B400" s="89">
        <v>1.2614051765186656</v>
      </c>
      <c r="C400" s="138">
        <v>9.0213193999999994</v>
      </c>
    </row>
    <row r="401" spans="2:3">
      <c r="B401" s="89">
        <v>1.2634142008951819</v>
      </c>
      <c r="C401" s="138">
        <v>9.0255922999999996</v>
      </c>
    </row>
    <row r="402" spans="2:3">
      <c r="B402" s="89">
        <v>1.2654124369708921</v>
      </c>
      <c r="C402" s="138">
        <v>9.0298172999999995</v>
      </c>
    </row>
    <row r="403" spans="2:3">
      <c r="B403" s="89">
        <v>1.2673997713390242</v>
      </c>
      <c r="C403" s="138">
        <v>9.0340015999999999</v>
      </c>
    </row>
    <row r="404" spans="2:3">
      <c r="B404" s="89">
        <v>1.2693764816871038</v>
      </c>
      <c r="C404" s="138">
        <v>9.0381415000000001</v>
      </c>
    </row>
    <row r="405" spans="2:3">
      <c r="B405" s="89">
        <v>1.424809150598811</v>
      </c>
      <c r="C405" s="138">
        <v>9.3185877999999995</v>
      </c>
    </row>
    <row r="406" spans="2:3">
      <c r="B406" s="89">
        <v>1.5259288701279297</v>
      </c>
      <c r="C406" s="138">
        <v>9.4772827999999993</v>
      </c>
    </row>
    <row r="407" spans="2:3">
      <c r="B407" s="89">
        <v>1.5969447723689005</v>
      </c>
      <c r="C407" s="138">
        <v>9.5872463999999997</v>
      </c>
    </row>
    <row r="408" spans="2:3">
      <c r="B408" s="89">
        <v>1.6495599249577895</v>
      </c>
      <c r="C408" s="138">
        <v>9.6709075000000002</v>
      </c>
    </row>
    <row r="409" spans="2:3">
      <c r="B409" s="89">
        <v>1.6900580614370149</v>
      </c>
      <c r="C409" s="138">
        <v>9.738804</v>
      </c>
    </row>
    <row r="410" spans="2:3">
      <c r="B410" s="89">
        <v>1.7222192034389106</v>
      </c>
      <c r="C410" s="138">
        <v>9.7955822999999995</v>
      </c>
    </row>
    <row r="411" spans="2:3">
      <c r="B411" s="89">
        <v>1.7483602345107652</v>
      </c>
      <c r="C411" s="138">
        <v>9.8445733000000004</v>
      </c>
    </row>
    <row r="412" spans="2:3">
      <c r="B412" s="89">
        <v>1.7700244127057219</v>
      </c>
      <c r="C412" s="138">
        <v>9.8877160000000011</v>
      </c>
    </row>
    <row r="413" spans="2:3">
      <c r="B413" s="89">
        <v>1.7882714565312341</v>
      </c>
      <c r="C413" s="138">
        <v>9.9263103000000008</v>
      </c>
    </row>
    <row r="414" spans="2:3">
      <c r="B414" s="89">
        <v>1.8038707118288206</v>
      </c>
      <c r="C414" s="138">
        <v>9.9612029999999994</v>
      </c>
    </row>
    <row r="415" spans="2:3">
      <c r="B415" s="89">
        <v>1.817314014563884</v>
      </c>
      <c r="C415" s="138">
        <v>9.9933104999999998</v>
      </c>
    </row>
    <row r="416" spans="2:3">
      <c r="B416" s="89">
        <v>1.8290380068748633</v>
      </c>
      <c r="C416" s="138">
        <v>10.0230116</v>
      </c>
    </row>
    <row r="417" spans="2:3">
      <c r="B417" s="89">
        <v>1.8393597744208074</v>
      </c>
      <c r="C417" s="138">
        <v>10.050651999999999</v>
      </c>
    </row>
    <row r="418" spans="2:3">
      <c r="B418" s="89">
        <v>1.8485066268519845</v>
      </c>
      <c r="C418" s="138">
        <v>10.0765765</v>
      </c>
    </row>
    <row r="419" spans="2:3">
      <c r="B419" s="89">
        <v>1.8566763854021116</v>
      </c>
      <c r="C419" s="138">
        <v>10.101021599999999</v>
      </c>
    </row>
    <row r="420" spans="2:3">
      <c r="B420" s="89">
        <v>1.8640115449751775</v>
      </c>
      <c r="C420" s="138">
        <v>10.124189299999999</v>
      </c>
    </row>
    <row r="421" spans="2:3">
      <c r="B421" s="89">
        <v>1.8706357060467302</v>
      </c>
      <c r="C421" s="138">
        <v>10.146242600000001</v>
      </c>
    </row>
    <row r="422" spans="2:3">
      <c r="B422" s="89">
        <v>1.8766466796231567</v>
      </c>
      <c r="C422" s="138">
        <v>10.1673151</v>
      </c>
    </row>
    <row r="423" spans="2:3">
      <c r="B423" s="89">
        <v>1.8821265441262345</v>
      </c>
      <c r="C423" s="138">
        <v>10.187523799999999</v>
      </c>
    </row>
    <row r="424" spans="2:3">
      <c r="B424" s="89">
        <v>1.8871395527503316</v>
      </c>
      <c r="C424" s="138">
        <v>10.206943799999999</v>
      </c>
    </row>
    <row r="425" spans="2:3">
      <c r="B425" s="89">
        <v>1.8917457450678004</v>
      </c>
      <c r="C425" s="138">
        <v>10.225675300000001</v>
      </c>
    </row>
    <row r="426" spans="2:3">
      <c r="B426" s="89">
        <v>1.8959914933283388</v>
      </c>
      <c r="C426" s="138">
        <v>10.2437787</v>
      </c>
    </row>
    <row r="427" spans="2:3">
      <c r="B427" s="89">
        <v>1.899918207574387</v>
      </c>
      <c r="C427" s="138">
        <v>10.261321300000001</v>
      </c>
    </row>
    <row r="428" spans="2:3">
      <c r="B428" s="89">
        <v>1.9035661642927324</v>
      </c>
      <c r="C428" s="138">
        <v>10.2784206</v>
      </c>
    </row>
    <row r="429" spans="2:3">
      <c r="B429" s="89">
        <v>1.9069454868535209</v>
      </c>
      <c r="C429" s="138">
        <v>10.294893399999999</v>
      </c>
    </row>
    <row r="430" spans="2:3">
      <c r="B430" s="89">
        <v>1.9101022839005437</v>
      </c>
      <c r="C430" s="138">
        <v>10.3110123</v>
      </c>
    </row>
    <row r="431" spans="2:3">
      <c r="B431" s="89">
        <v>1.913052430027455</v>
      </c>
      <c r="C431" s="138">
        <v>10.3267366</v>
      </c>
    </row>
    <row r="432" spans="2:3">
      <c r="B432" s="89">
        <v>1.9158264737618356</v>
      </c>
      <c r="C432" s="138">
        <v>10.3422859</v>
      </c>
    </row>
    <row r="433" spans="2:3">
      <c r="B433" s="89">
        <v>1.9184284883448766</v>
      </c>
      <c r="C433" s="138">
        <v>10.3574775</v>
      </c>
    </row>
    <row r="434" spans="2:3">
      <c r="B434" s="89">
        <v>1.9208643408102481</v>
      </c>
      <c r="C434" s="138">
        <v>10.3721558</v>
      </c>
    </row>
    <row r="435" spans="2:3">
      <c r="B435" s="89">
        <v>1.9231494513817302</v>
      </c>
      <c r="C435" s="138">
        <v>10.3863541</v>
      </c>
    </row>
    <row r="436" spans="2:3">
      <c r="B436" s="89">
        <v>1.9253160998839647</v>
      </c>
      <c r="C436" s="138">
        <v>10.400491799999999</v>
      </c>
    </row>
    <row r="437" spans="2:3">
      <c r="B437" s="89">
        <v>1.9273627997845306</v>
      </c>
      <c r="C437" s="138">
        <v>10.4143419</v>
      </c>
    </row>
    <row r="438" spans="2:3">
      <c r="B438" s="89">
        <v>1.9293045468234733</v>
      </c>
      <c r="C438" s="138">
        <v>10.428057900000001</v>
      </c>
    </row>
    <row r="439" spans="2:3">
      <c r="B439" s="89">
        <v>1.9311408669373946</v>
      </c>
      <c r="C439" s="138">
        <v>10.441437199999999</v>
      </c>
    </row>
    <row r="440" spans="2:3">
      <c r="B440" s="89">
        <v>1.9328857472738306</v>
      </c>
      <c r="C440" s="138">
        <v>10.4546492</v>
      </c>
    </row>
    <row r="441" spans="2:3">
      <c r="B441" s="89">
        <v>1.9345500294251143</v>
      </c>
      <c r="C441" s="138">
        <v>10.4678279</v>
      </c>
    </row>
    <row r="442" spans="2:3">
      <c r="B442" s="89">
        <v>1.9361363369497462</v>
      </c>
      <c r="C442" s="138">
        <v>10.4808933</v>
      </c>
    </row>
    <row r="443" spans="2:3">
      <c r="B443" s="89">
        <v>1.9376411541601408</v>
      </c>
      <c r="C443" s="138">
        <v>10.493577</v>
      </c>
    </row>
    <row r="444" spans="2:3">
      <c r="B444" s="89">
        <v>1.9390706022213506</v>
      </c>
      <c r="C444" s="138">
        <v>10.5059009</v>
      </c>
    </row>
    <row r="445" spans="2:3">
      <c r="B445" s="89">
        <v>1.9404423381516653</v>
      </c>
      <c r="C445" s="138">
        <v>10.518293700000001</v>
      </c>
    </row>
    <row r="446" spans="2:3">
      <c r="B446" s="89">
        <v>1.9417581770200318</v>
      </c>
      <c r="C446" s="138">
        <v>10.5306902</v>
      </c>
    </row>
    <row r="447" spans="2:3">
      <c r="B447" s="89">
        <v>1.9430117319156226</v>
      </c>
      <c r="C447" s="138">
        <v>10.5427426</v>
      </c>
    </row>
    <row r="448" spans="2:3">
      <c r="B448" s="89">
        <v>1.9442073141423708</v>
      </c>
      <c r="C448" s="138">
        <v>10.554469600000001</v>
      </c>
    </row>
    <row r="449" spans="2:3">
      <c r="B449" s="89">
        <v>1.9453585216638745</v>
      </c>
      <c r="C449" s="138">
        <v>10.566263899999999</v>
      </c>
    </row>
    <row r="450" spans="2:3">
      <c r="B450" s="89">
        <v>1.9464629239636371</v>
      </c>
      <c r="C450" s="138">
        <v>10.577924700000001</v>
      </c>
    </row>
    <row r="451" spans="2:3">
      <c r="B451" s="89">
        <v>1.9475255908820932</v>
      </c>
      <c r="C451" s="138">
        <v>10.5895592</v>
      </c>
    </row>
    <row r="452" spans="2:3">
      <c r="B452" s="89">
        <v>1.9485446628284202</v>
      </c>
      <c r="C452" s="138">
        <v>10.6009846</v>
      </c>
    </row>
    <row r="453" spans="2:3">
      <c r="B453" s="89">
        <v>1.9495376012906305</v>
      </c>
      <c r="C453" s="138">
        <v>10.612906799999999</v>
      </c>
    </row>
    <row r="454" spans="2:3">
      <c r="B454" s="89">
        <v>1.9504925148779653</v>
      </c>
      <c r="C454" s="138">
        <v>10.6246893</v>
      </c>
    </row>
    <row r="455" spans="2:3">
      <c r="B455" s="89">
        <v>1.9514078968993145</v>
      </c>
      <c r="C455" s="138">
        <v>10.6361606</v>
      </c>
    </row>
    <row r="456" spans="2:3">
      <c r="B456" s="89">
        <v>1.9522861576996644</v>
      </c>
      <c r="C456" s="138">
        <v>10.6473367</v>
      </c>
    </row>
    <row r="457" spans="2:3">
      <c r="B457" s="89">
        <v>1.9531295079202105</v>
      </c>
      <c r="C457" s="138">
        <v>10.6582325</v>
      </c>
    </row>
    <row r="458" spans="2:3">
      <c r="B458" s="89">
        <v>1.9539399858728626</v>
      </c>
      <c r="C458" s="138">
        <v>10.668861400000001</v>
      </c>
    </row>
    <row r="459" spans="2:3">
      <c r="B459" s="89">
        <v>1.9547194818174245</v>
      </c>
      <c r="C459" s="138">
        <v>10.6792365</v>
      </c>
    </row>
    <row r="460" spans="2:3">
      <c r="B460" s="89">
        <v>1.955471161361793</v>
      </c>
      <c r="C460" s="138">
        <v>10.689447899999999</v>
      </c>
    </row>
    <row r="461" spans="2:3">
      <c r="B461" s="89">
        <v>1.9562092944104634</v>
      </c>
      <c r="C461" s="138">
        <v>10.700215099999999</v>
      </c>
    </row>
    <row r="462" spans="2:3">
      <c r="B462" s="89">
        <v>1.956921145274839</v>
      </c>
      <c r="C462" s="138">
        <v>10.710779499999999</v>
      </c>
    </row>
    <row r="463" spans="2:3">
      <c r="B463" s="89">
        <v>1.9576121482661275</v>
      </c>
      <c r="C463" s="138">
        <v>10.721394999999999</v>
      </c>
    </row>
    <row r="464" spans="2:3">
      <c r="B464" s="89">
        <v>1.9582793187172034</v>
      </c>
      <c r="C464" s="138">
        <v>10.7318187</v>
      </c>
    </row>
    <row r="465" spans="2:3">
      <c r="B465" s="89">
        <v>1.9589268882365638</v>
      </c>
      <c r="C465" s="138">
        <v>10.7422503</v>
      </c>
    </row>
    <row r="466" spans="2:3">
      <c r="B466" s="89">
        <v>1.9595546565340149</v>
      </c>
      <c r="C466" s="138">
        <v>10.752621400000001</v>
      </c>
    </row>
    <row r="467" spans="2:3">
      <c r="B467" s="89">
        <v>1.9601635080829487</v>
      </c>
      <c r="C467" s="138">
        <v>10.7629343</v>
      </c>
    </row>
    <row r="468" spans="2:3">
      <c r="B468" s="89">
        <v>1.9607540022699825</v>
      </c>
      <c r="C468" s="138">
        <v>10.7731706</v>
      </c>
    </row>
    <row r="469" spans="2:3">
      <c r="B469" s="89">
        <v>1.96132757696815</v>
      </c>
      <c r="C469" s="138">
        <v>10.7833772</v>
      </c>
    </row>
    <row r="470" spans="2:3">
      <c r="B470" s="89">
        <v>1.9618845037886214</v>
      </c>
      <c r="C470" s="138">
        <v>10.7935233</v>
      </c>
    </row>
    <row r="471" spans="2:3">
      <c r="B471" s="89">
        <v>1.9624256801808049</v>
      </c>
      <c r="C471" s="138">
        <v>10.803624599999999</v>
      </c>
    </row>
    <row r="472" spans="2:3">
      <c r="B472" s="89">
        <v>1.9629517630872082</v>
      </c>
      <c r="C472" s="138">
        <v>10.813682699999999</v>
      </c>
    </row>
    <row r="473" spans="2:3">
      <c r="B473" s="89">
        <v>1.9634634074276267</v>
      </c>
      <c r="C473" s="138">
        <v>10.823701400000001</v>
      </c>
    </row>
    <row r="474" spans="2:3">
      <c r="B474" s="89">
        <v>1.9639613456267595</v>
      </c>
      <c r="C474" s="138">
        <v>10.8336953</v>
      </c>
    </row>
    <row r="475" spans="2:3">
      <c r="B475" s="89">
        <v>1.964449115214306</v>
      </c>
      <c r="C475" s="138">
        <v>10.843912100000001</v>
      </c>
    </row>
    <row r="476" spans="2:3">
      <c r="B476" s="89">
        <v>1.9649216535487684</v>
      </c>
      <c r="C476" s="138">
        <v>10.8538941</v>
      </c>
    </row>
    <row r="477" spans="2:3">
      <c r="B477" s="89">
        <v>1.9653796736290081</v>
      </c>
      <c r="C477" s="138">
        <v>10.863651900000001</v>
      </c>
    </row>
    <row r="478" spans="2:3">
      <c r="B478" s="89">
        <v>1.9658238215245469</v>
      </c>
      <c r="C478" s="138">
        <v>10.8731952</v>
      </c>
    </row>
    <row r="479" spans="2:3">
      <c r="B479" s="89">
        <v>1.9662605304889724</v>
      </c>
      <c r="C479" s="138">
        <v>10.8830496</v>
      </c>
    </row>
    <row r="480" spans="2:3">
      <c r="B480" s="89">
        <v>1.9666874056470571</v>
      </c>
      <c r="C480" s="138">
        <v>10.8929688</v>
      </c>
    </row>
    <row r="481" spans="2:3">
      <c r="B481" s="89">
        <v>1.9671016581277896</v>
      </c>
      <c r="C481" s="138">
        <v>10.902666399999999</v>
      </c>
    </row>
    <row r="482" spans="2:3">
      <c r="B482" s="89">
        <v>1.9675038471614235</v>
      </c>
      <c r="C482" s="138">
        <v>10.912152300000001</v>
      </c>
    </row>
    <row r="483" spans="2:3">
      <c r="B483" s="89">
        <v>1.9678957438701037</v>
      </c>
      <c r="C483" s="138">
        <v>10.9215567</v>
      </c>
    </row>
    <row r="484" spans="2:3">
      <c r="B484" s="89">
        <v>1.9682833810473173</v>
      </c>
      <c r="C484" s="138">
        <v>10.931433</v>
      </c>
    </row>
    <row r="485" spans="2:3">
      <c r="B485" s="89">
        <v>1.9686599712346187</v>
      </c>
      <c r="C485" s="138">
        <v>10.941089699999999</v>
      </c>
    </row>
    <row r="486" spans="2:3">
      <c r="B486" s="89">
        <v>1.9690259860624237</v>
      </c>
      <c r="C486" s="138">
        <v>10.950536400000001</v>
      </c>
    </row>
    <row r="487" spans="2:3">
      <c r="B487" s="89">
        <v>1.9693818584823584</v>
      </c>
      <c r="C487" s="138">
        <v>10.959781899999999</v>
      </c>
    </row>
    <row r="488" spans="2:3">
      <c r="B488" s="89">
        <v>1.9697316810459027</v>
      </c>
      <c r="C488" s="138">
        <v>10.9692211</v>
      </c>
    </row>
    <row r="489" spans="2:3">
      <c r="B489" s="89">
        <v>1.9700738143014838</v>
      </c>
      <c r="C489" s="138">
        <v>10.9786541</v>
      </c>
    </row>
    <row r="490" spans="2:3">
      <c r="B490" s="89">
        <v>1.9704081938163096</v>
      </c>
      <c r="C490" s="138">
        <v>10.9880513</v>
      </c>
    </row>
    <row r="491" spans="2:3">
      <c r="B491" s="89">
        <v>1.9707356632675728</v>
      </c>
      <c r="C491" s="138">
        <v>10.997476600000001</v>
      </c>
    </row>
    <row r="492" spans="2:3">
      <c r="B492" s="89">
        <v>1.9710559199639586</v>
      </c>
      <c r="C492" s="138">
        <v>11.0068787</v>
      </c>
    </row>
    <row r="493" spans="2:3">
      <c r="B493" s="89">
        <v>1.9713748313108721</v>
      </c>
      <c r="C493" s="138">
        <v>11.0169268</v>
      </c>
    </row>
    <row r="494" spans="2:3">
      <c r="B494" s="89">
        <v>1.9716852618226819</v>
      </c>
      <c r="C494" s="138">
        <v>11.026747759999999</v>
      </c>
    </row>
    <row r="495" spans="2:3">
      <c r="B495" s="89">
        <v>1.9719875437089267</v>
      </c>
      <c r="C495" s="138">
        <v>11.0363515</v>
      </c>
    </row>
    <row r="496" spans="2:3">
      <c r="B496" s="89">
        <v>1.9722819936152791</v>
      </c>
      <c r="C496" s="138">
        <v>11.045747500000001</v>
      </c>
    </row>
    <row r="497" spans="2:3">
      <c r="B497" s="89">
        <v>1.9725689133205639</v>
      </c>
      <c r="C497" s="138">
        <v>11.05494446</v>
      </c>
    </row>
    <row r="498" spans="2:3">
      <c r="B498" s="89">
        <v>1.9728485849594017</v>
      </c>
      <c r="C498" s="138">
        <v>11.063950699999999</v>
      </c>
    </row>
    <row r="499" spans="2:3">
      <c r="B499" s="89">
        <v>1.9731212851320876</v>
      </c>
      <c r="C499" s="138">
        <v>11.072774000000001</v>
      </c>
    </row>
    <row r="500" spans="2:3">
      <c r="B500" s="89">
        <v>1.9733872660846061</v>
      </c>
      <c r="C500" s="138">
        <v>11.08142155</v>
      </c>
    </row>
    <row r="501" spans="2:3">
      <c r="B501" s="89">
        <v>1.9736480010804589</v>
      </c>
      <c r="C501" s="138">
        <v>11.0900599</v>
      </c>
    </row>
    <row r="502" spans="2:3">
      <c r="B502" s="89">
        <v>1.9739076442894667</v>
      </c>
      <c r="C502" s="138">
        <v>11.099211</v>
      </c>
    </row>
    <row r="503" spans="2:3">
      <c r="B503" s="89">
        <v>1.9741622759896775</v>
      </c>
      <c r="C503" s="138">
        <v>11.1083535</v>
      </c>
    </row>
    <row r="504" spans="2:3">
      <c r="B504" s="89">
        <v>1.97441209139975</v>
      </c>
      <c r="C504" s="138">
        <v>11.117495399999999</v>
      </c>
    </row>
    <row r="505" spans="2:3">
      <c r="B505" s="89">
        <v>1.9746576543226544</v>
      </c>
      <c r="C505" s="138">
        <v>11.126698429999999</v>
      </c>
    </row>
    <row r="506" spans="2:3">
      <c r="B506" s="89">
        <v>1.9748973499745506</v>
      </c>
      <c r="C506" s="138">
        <v>11.135710400000001</v>
      </c>
    </row>
    <row r="507" spans="2:3">
      <c r="B507" s="89">
        <v>1.9751371297396112</v>
      </c>
      <c r="C507" s="138">
        <v>11.1454103</v>
      </c>
    </row>
    <row r="508" spans="2:3">
      <c r="B508" s="89">
        <v>1.9753721053998077</v>
      </c>
      <c r="C508" s="138">
        <v>11.15503955</v>
      </c>
    </row>
    <row r="509" spans="2:3">
      <c r="B509" s="89">
        <v>1.9756015099123316</v>
      </c>
      <c r="C509" s="138">
        <v>11.16445994</v>
      </c>
    </row>
    <row r="510" spans="2:3">
      <c r="B510" s="89">
        <v>1.9758255372238009</v>
      </c>
      <c r="C510" s="138">
        <v>11.173680300000001</v>
      </c>
    </row>
    <row r="511" spans="2:3">
      <c r="B511" s="89">
        <v>1.9760443735847553</v>
      </c>
      <c r="C511" s="138">
        <v>11.182708999999999</v>
      </c>
    </row>
    <row r="512" spans="2:3">
      <c r="B512" s="89">
        <v>1.976258198571567</v>
      </c>
      <c r="C512" s="138">
        <v>11.191553799999999</v>
      </c>
    </row>
    <row r="513" spans="2:3">
      <c r="B513" s="89">
        <v>1.976467180278588</v>
      </c>
      <c r="C513" s="138">
        <v>11.2002221</v>
      </c>
    </row>
    <row r="514" spans="2:3">
      <c r="B514" s="89">
        <v>1.9766714849243754</v>
      </c>
      <c r="C514" s="138">
        <v>11.208720700000001</v>
      </c>
    </row>
    <row r="515" spans="2:3">
      <c r="B515" s="89">
        <v>1.9768712655157179</v>
      </c>
      <c r="C515" s="138">
        <v>11.2170562</v>
      </c>
    </row>
    <row r="516" spans="2:3">
      <c r="B516" s="89">
        <v>1.9770716094259275</v>
      </c>
      <c r="C516" s="138">
        <v>11.226047039999999</v>
      </c>
    </row>
    <row r="517" spans="2:3">
      <c r="B517" s="89">
        <v>1.9772681822253682</v>
      </c>
      <c r="C517" s="138">
        <v>11.23496675</v>
      </c>
    </row>
    <row r="518" spans="2:3">
      <c r="B518" s="89">
        <v>1.9774618343645847</v>
      </c>
      <c r="C518" s="138">
        <v>11.243953299999999</v>
      </c>
    </row>
    <row r="519" spans="2:3">
      <c r="B519" s="89">
        <v>1.977652033582785</v>
      </c>
      <c r="C519" s="138">
        <v>11.252898099999999</v>
      </c>
    </row>
    <row r="520" spans="2:3">
      <c r="B520" s="89">
        <v>1.9778387154597548</v>
      </c>
      <c r="C520" s="138">
        <v>11.26177526</v>
      </c>
    </row>
    <row r="521" spans="2:3">
      <c r="B521" s="89">
        <v>1.9780226148842397</v>
      </c>
      <c r="C521" s="138">
        <v>11.270701900000001</v>
      </c>
    </row>
    <row r="522" spans="2:3">
      <c r="B522" s="89">
        <v>1.9782036975651485</v>
      </c>
      <c r="C522" s="138">
        <v>11.279662099999999</v>
      </c>
    </row>
    <row r="523" spans="2:3">
      <c r="B523" s="89">
        <v>1.9783831360801318</v>
      </c>
      <c r="C523" s="138">
        <v>11.288865700000001</v>
      </c>
    </row>
    <row r="524" spans="2:3">
      <c r="B524" s="89">
        <v>1.9785587177096247</v>
      </c>
      <c r="C524" s="138">
        <v>11.29787827</v>
      </c>
    </row>
    <row r="525" spans="2:3">
      <c r="B525" s="89">
        <v>1.9787305622261937</v>
      </c>
      <c r="C525" s="138">
        <v>11.306707599999999</v>
      </c>
    </row>
    <row r="526" spans="2:3">
      <c r="B526" s="89">
        <v>1.9788987898350339</v>
      </c>
      <c r="C526" s="138">
        <v>11.315360999999999</v>
      </c>
    </row>
    <row r="527" spans="2:3">
      <c r="B527" s="89">
        <v>1.9790654286136395</v>
      </c>
      <c r="C527" s="138">
        <v>11.324222600000001</v>
      </c>
    </row>
    <row r="528" spans="2:3">
      <c r="B528" s="89">
        <v>1.9792295939586086</v>
      </c>
      <c r="C528" s="138">
        <v>11.333104430000001</v>
      </c>
    </row>
    <row r="529" spans="2:3">
      <c r="B529" s="89">
        <v>1.979391135321598</v>
      </c>
      <c r="C529" s="138">
        <v>11.3419688</v>
      </c>
    </row>
    <row r="530" spans="2:3">
      <c r="B530" s="89">
        <v>1.9795504571366336</v>
      </c>
      <c r="C530" s="138">
        <v>11.35088515</v>
      </c>
    </row>
    <row r="531" spans="2:3">
      <c r="B531" s="89">
        <v>1.9797069574227502</v>
      </c>
      <c r="C531" s="138">
        <v>11.359720299999999</v>
      </c>
    </row>
    <row r="532" spans="2:3">
      <c r="B532" s="89">
        <v>1.9798625886394445</v>
      </c>
      <c r="C532" s="138">
        <v>11.368877100000001</v>
      </c>
    </row>
    <row r="533" spans="2:3">
      <c r="B533" s="89">
        <v>1.9800150264206164</v>
      </c>
      <c r="C533" s="138">
        <v>11.377844870000001</v>
      </c>
    </row>
    <row r="534" spans="2:3">
      <c r="B534" s="89">
        <v>1.9801643660774124</v>
      </c>
      <c r="C534" s="138">
        <v>11.3866312</v>
      </c>
    </row>
    <row r="535" spans="2:3">
      <c r="B535" s="89">
        <v>1.980310702995471</v>
      </c>
      <c r="C535" s="138">
        <v>11.395243300000001</v>
      </c>
    </row>
    <row r="536" spans="2:3">
      <c r="B536" s="89">
        <v>1.9804564868128696</v>
      </c>
      <c r="C536" s="138">
        <v>11.40422</v>
      </c>
    </row>
    <row r="537" spans="2:3">
      <c r="B537" s="89">
        <v>1.9806004841955942</v>
      </c>
      <c r="C537" s="138">
        <v>11.413269639999999</v>
      </c>
    </row>
    <row r="538" spans="2:3">
      <c r="B538" s="89">
        <v>1.9807416013943402</v>
      </c>
      <c r="C538" s="138">
        <v>11.4221345</v>
      </c>
    </row>
    <row r="539" spans="2:3">
      <c r="B539" s="89">
        <v>1.9808799239382187</v>
      </c>
      <c r="C539" s="138">
        <v>11.4308221</v>
      </c>
    </row>
    <row r="540" spans="2:3">
      <c r="B540" s="89">
        <v>1.9810159910621805</v>
      </c>
      <c r="C540" s="138">
        <v>11.439447100000001</v>
      </c>
    </row>
    <row r="541" spans="2:3">
      <c r="B541" s="89">
        <v>1.9811514240646031</v>
      </c>
      <c r="C541" s="138">
        <v>11.44838077</v>
      </c>
    </row>
    <row r="542" spans="2:3">
      <c r="B542" s="89">
        <v>1.9812842037991754</v>
      </c>
      <c r="C542" s="138">
        <v>11.457134399999999</v>
      </c>
    </row>
    <row r="543" spans="2:3">
      <c r="B543" s="89">
        <v>1.9814159248911918</v>
      </c>
      <c r="C543" s="138">
        <v>11.466087760000001</v>
      </c>
    </row>
    <row r="544" spans="2:3">
      <c r="B544" s="89">
        <v>1.9815451902829371</v>
      </c>
      <c r="C544" s="138">
        <v>11.4748851</v>
      </c>
    </row>
    <row r="545" spans="2:3">
      <c r="B545" s="89">
        <v>1.9816726969332401</v>
      </c>
      <c r="C545" s="138">
        <v>11.48369235</v>
      </c>
    </row>
    <row r="546" spans="2:3">
      <c r="B546" s="89">
        <v>1.9817986356407005</v>
      </c>
      <c r="C546" s="138">
        <v>11.492547099999999</v>
      </c>
    </row>
    <row r="547" spans="2:3">
      <c r="B547" s="89">
        <v>1.9819240789907737</v>
      </c>
      <c r="C547" s="138">
        <v>11.501727730000001</v>
      </c>
    </row>
    <row r="548" spans="2:3">
      <c r="B548" s="89">
        <v>1.9820471069821166</v>
      </c>
      <c r="C548" s="138">
        <v>11.510718349999999</v>
      </c>
    </row>
    <row r="549" spans="2:3">
      <c r="B549" s="89">
        <v>1.9821677916027456</v>
      </c>
      <c r="C549" s="138">
        <v>11.51952657</v>
      </c>
    </row>
    <row r="550" spans="2:3">
      <c r="B550" s="89">
        <v>1.9822861993263743</v>
      </c>
      <c r="C550" s="138">
        <v>11.52815974</v>
      </c>
    </row>
    <row r="551" spans="2:3">
      <c r="B551" s="89">
        <v>1.9824032486191683</v>
      </c>
      <c r="C551" s="138">
        <v>11.536855299999999</v>
      </c>
    </row>
    <row r="552" spans="2:3">
      <c r="B552" s="89">
        <v>1.9825193738645455</v>
      </c>
      <c r="C552" s="138">
        <v>11.54572248</v>
      </c>
    </row>
    <row r="553" spans="2:3">
      <c r="B553" s="89">
        <v>1.9826341400771144</v>
      </c>
      <c r="C553" s="138">
        <v>11.554639849999999</v>
      </c>
    </row>
    <row r="554" spans="2:3">
      <c r="B554" s="89">
        <v>1.9827480557349975</v>
      </c>
      <c r="C554" s="138">
        <v>11.563746930000001</v>
      </c>
    </row>
    <row r="555" spans="2:3">
      <c r="B555" s="89">
        <v>1.9828598438594844</v>
      </c>
      <c r="C555" s="138">
        <v>11.57266697</v>
      </c>
    </row>
    <row r="556" spans="2:3">
      <c r="B556" s="89">
        <v>1.9829695634017686</v>
      </c>
      <c r="C556" s="138">
        <v>11.581407459999999</v>
      </c>
    </row>
    <row r="557" spans="2:3">
      <c r="B557" s="89">
        <v>1.9830779491227992</v>
      </c>
      <c r="C557" s="138">
        <v>11.59017515</v>
      </c>
    </row>
    <row r="558" spans="2:3">
      <c r="B558" s="89">
        <v>1.9831853970534519</v>
      </c>
      <c r="C558" s="138">
        <v>11.59907514</v>
      </c>
    </row>
    <row r="559" spans="2:3">
      <c r="B559" s="89">
        <v>1.9832914758413174</v>
      </c>
      <c r="C559" s="138">
        <v>11.6079764</v>
      </c>
    </row>
    <row r="560" spans="2:3">
      <c r="B560" s="89">
        <v>1.9833961586226287</v>
      </c>
      <c r="C560" s="138">
        <v>11.6168622</v>
      </c>
    </row>
    <row r="561" spans="2:3">
      <c r="B561" s="89">
        <v>1.9834994425086845</v>
      </c>
      <c r="C561" s="138">
        <v>11.625724999999999</v>
      </c>
    </row>
    <row r="562" spans="2:3">
      <c r="B562" s="89">
        <v>1.9836018363755992</v>
      </c>
      <c r="C562" s="138">
        <v>11.634716600000001</v>
      </c>
    </row>
    <row r="563" spans="2:3">
      <c r="B563" s="89">
        <v>1.9837033932047548</v>
      </c>
      <c r="C563" s="138">
        <v>11.6438504</v>
      </c>
    </row>
    <row r="564" spans="2:3">
      <c r="B564" s="89">
        <v>1.9838031114206101</v>
      </c>
      <c r="C564" s="138">
        <v>11.652796</v>
      </c>
    </row>
    <row r="565" spans="2:3">
      <c r="B565" s="89">
        <v>1.9839010405251289</v>
      </c>
      <c r="C565" s="138">
        <v>11.66156104</v>
      </c>
    </row>
    <row r="566" spans="2:3">
      <c r="B566" s="89">
        <v>1.9839978325801793</v>
      </c>
      <c r="C566" s="138">
        <v>11.67034984</v>
      </c>
    </row>
    <row r="567" spans="2:3">
      <c r="B567" s="89">
        <v>1.9840940203516102</v>
      </c>
      <c r="C567" s="138">
        <v>11.67932972</v>
      </c>
    </row>
    <row r="568" spans="2:3">
      <c r="B568" s="89">
        <v>1.9841890618596416</v>
      </c>
      <c r="C568" s="138">
        <v>11.6883175</v>
      </c>
    </row>
    <row r="569" spans="2:3">
      <c r="B569" s="89">
        <v>1.9842826757834584</v>
      </c>
      <c r="C569" s="138">
        <v>11.69721112</v>
      </c>
    </row>
    <row r="570" spans="2:3">
      <c r="B570" s="89">
        <v>1.9843755198208743</v>
      </c>
      <c r="C570" s="138">
        <v>11.70622876</v>
      </c>
    </row>
    <row r="571" spans="2:3">
      <c r="B571" s="89">
        <v>1.9844671684733302</v>
      </c>
      <c r="C571" s="138">
        <v>11.7152165</v>
      </c>
    </row>
    <row r="572" spans="2:3">
      <c r="B572" s="89">
        <v>1.9845575492681551</v>
      </c>
      <c r="C572" s="138">
        <v>11.724142759999999</v>
      </c>
    </row>
    <row r="573" spans="2:3">
      <c r="B573" s="89">
        <v>1.9846470517001085</v>
      </c>
      <c r="C573" s="138">
        <v>11.733138350000001</v>
      </c>
    </row>
    <row r="574" spans="2:3">
      <c r="B574" s="89">
        <v>1.9847356671122034</v>
      </c>
      <c r="C574" s="138">
        <v>11.7421962</v>
      </c>
    </row>
    <row r="575" spans="2:3">
      <c r="B575" s="89">
        <v>1.9848231219824906</v>
      </c>
      <c r="C575" s="138">
        <v>11.751209299999999</v>
      </c>
    </row>
    <row r="576" spans="2:3">
      <c r="B576" s="89">
        <v>1.9849096186919972</v>
      </c>
      <c r="C576" s="138">
        <v>11.760247619999999</v>
      </c>
    </row>
    <row r="577" spans="2:3">
      <c r="B577" s="89">
        <v>1.9849949936936935</v>
      </c>
      <c r="C577" s="138">
        <v>11.769241689999999</v>
      </c>
    </row>
    <row r="578" spans="2:3">
      <c r="B578" s="89">
        <v>1.9850796276117824</v>
      </c>
      <c r="C578" s="138">
        <v>11.778331039999999</v>
      </c>
    </row>
    <row r="579" spans="2:3">
      <c r="B579" s="89">
        <v>1.9851629936343893</v>
      </c>
      <c r="C579" s="138">
        <v>11.78730695</v>
      </c>
    </row>
    <row r="580" spans="2:3">
      <c r="B580" s="89">
        <v>1.9852456407051664</v>
      </c>
      <c r="C580" s="138">
        <v>11.796374569999999</v>
      </c>
    </row>
    <row r="581" spans="2:3">
      <c r="B581" s="89">
        <v>1.9853275006139666</v>
      </c>
      <c r="C581" s="138">
        <v>11.80550605</v>
      </c>
    </row>
    <row r="582" spans="2:3">
      <c r="B582" s="89">
        <v>1.9854088856380758</v>
      </c>
      <c r="C582" s="138">
        <v>11.81482042</v>
      </c>
    </row>
    <row r="583" spans="2:3">
      <c r="B583" s="89">
        <v>1.9854888706916523</v>
      </c>
      <c r="C583" s="138">
        <v>11.82393922</v>
      </c>
    </row>
    <row r="584" spans="2:3">
      <c r="B584" s="89">
        <v>1.9855674933807008</v>
      </c>
      <c r="C584" s="138">
        <v>11.83287048</v>
      </c>
    </row>
    <row r="585" spans="2:3">
      <c r="B585" s="89">
        <v>1.9856453738190678</v>
      </c>
      <c r="C585" s="138">
        <v>11.841860090000001</v>
      </c>
    </row>
    <row r="586" spans="2:3">
      <c r="B586" s="89">
        <v>1.9857227345209105</v>
      </c>
      <c r="C586" s="138">
        <v>11.85099334</v>
      </c>
    </row>
    <row r="587" spans="2:3">
      <c r="B587" s="89">
        <v>1.9857992585845392</v>
      </c>
      <c r="C587" s="138">
        <v>11.86013633</v>
      </c>
    </row>
    <row r="588" spans="2:3">
      <c r="B588" s="89">
        <v>1.9858749974138847</v>
      </c>
      <c r="C588" s="138">
        <v>11.86930557</v>
      </c>
    </row>
    <row r="589" spans="2:3">
      <c r="B589" s="89">
        <v>1.9859498898167347</v>
      </c>
      <c r="C589" s="138">
        <v>11.87846899</v>
      </c>
    </row>
    <row r="590" spans="2:3">
      <c r="B590" s="89">
        <v>1.9860240078385241</v>
      </c>
      <c r="C590" s="138">
        <v>11.887653090000001</v>
      </c>
    </row>
    <row r="591" spans="2:3">
      <c r="B591" s="89">
        <v>1.9860973531646855</v>
      </c>
      <c r="C591" s="138">
        <v>11.896853569999999</v>
      </c>
    </row>
    <row r="592" spans="2:3">
      <c r="B592" s="89">
        <v>1.9861699571174742</v>
      </c>
      <c r="C592" s="138">
        <v>11.906078450000001</v>
      </c>
    </row>
    <row r="593" spans="2:3">
      <c r="B593" s="89">
        <v>1.9862418986940491</v>
      </c>
      <c r="C593" s="138">
        <v>11.91536198</v>
      </c>
    </row>
    <row r="594" spans="2:3">
      <c r="B594" s="89">
        <v>1.9863135677041921</v>
      </c>
      <c r="C594" s="138">
        <v>11.92487729</v>
      </c>
    </row>
    <row r="595" spans="2:3">
      <c r="B595" s="89">
        <v>1.9863840317526513</v>
      </c>
      <c r="C595" s="138">
        <v>11.934188600000001</v>
      </c>
    </row>
    <row r="596" spans="2:3">
      <c r="B596" s="89">
        <v>1.9864533264111583</v>
      </c>
      <c r="C596" s="138">
        <v>11.943304449999999</v>
      </c>
    </row>
    <row r="597" spans="2:3">
      <c r="B597" s="89">
        <v>1.9865217800374326</v>
      </c>
      <c r="C597" s="138">
        <v>11.952375382</v>
      </c>
    </row>
    <row r="598" spans="2:3">
      <c r="B598" s="89">
        <v>1.9865900065635591</v>
      </c>
      <c r="C598" s="138">
        <v>11.961680356</v>
      </c>
    </row>
    <row r="599" spans="2:3">
      <c r="B599" s="89">
        <v>1.9866574973313758</v>
      </c>
      <c r="C599" s="138">
        <v>11.97097804</v>
      </c>
    </row>
    <row r="600" spans="2:3">
      <c r="B600" s="89">
        <v>1.9867243560402228</v>
      </c>
      <c r="C600" s="138">
        <v>11.98031398</v>
      </c>
    </row>
    <row r="601" spans="2:3">
      <c r="B601" s="89">
        <v>1.9867905495027736</v>
      </c>
      <c r="C601" s="138">
        <v>11.9896672955</v>
      </c>
    </row>
    <row r="602" spans="2:3" ht="15" thickBot="1">
      <c r="B602" s="90">
        <v>1.9868560827670994</v>
      </c>
      <c r="C602" s="139">
        <v>11.999036241500001</v>
      </c>
    </row>
  </sheetData>
  <mergeCells count="4">
    <mergeCell ref="B5:C5"/>
    <mergeCell ref="B4:C4"/>
    <mergeCell ref="B3:C3"/>
    <mergeCell ref="B2:C2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1F999-B37F-4186-8E0F-E1F772EAEAE5}">
  <dimension ref="B1:R375"/>
  <sheetViews>
    <sheetView zoomScale="85" zoomScaleNormal="85" workbookViewId="0">
      <selection activeCell="G22" sqref="G22:H22"/>
    </sheetView>
  </sheetViews>
  <sheetFormatPr defaultRowHeight="14.5"/>
  <cols>
    <col min="1" max="1" width="8.7265625" style="1"/>
    <col min="2" max="2" width="11.36328125" style="1" bestFit="1" customWidth="1"/>
    <col min="3" max="5" width="10.36328125" style="1" bestFit="1" customWidth="1"/>
    <col min="6" max="6" width="8.7265625" style="1"/>
    <col min="7" max="11" width="21.08984375" style="1" customWidth="1"/>
    <col min="12" max="18" width="21.26953125" style="1" customWidth="1"/>
    <col min="19" max="16384" width="8.7265625" style="1"/>
  </cols>
  <sheetData>
    <row r="1" spans="2:18" ht="15" thickBot="1"/>
    <row r="2" spans="2:18">
      <c r="B2" s="227" t="s">
        <v>650</v>
      </c>
      <c r="C2" s="228"/>
      <c r="D2" s="228"/>
      <c r="E2" s="229"/>
      <c r="G2" s="227" t="s">
        <v>657</v>
      </c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9"/>
    </row>
    <row r="3" spans="2:18">
      <c r="B3" s="233" t="s">
        <v>651</v>
      </c>
      <c r="C3" s="234"/>
      <c r="D3" s="234"/>
      <c r="E3" s="235"/>
      <c r="G3" s="233" t="s">
        <v>658</v>
      </c>
      <c r="H3" s="234"/>
      <c r="I3" s="234"/>
      <c r="J3" s="234"/>
      <c r="K3" s="234"/>
      <c r="L3" s="234"/>
      <c r="M3" s="234"/>
      <c r="N3" s="234"/>
      <c r="O3" s="234"/>
      <c r="P3" s="234"/>
      <c r="Q3" s="234"/>
      <c r="R3" s="235"/>
    </row>
    <row r="4" spans="2:18" ht="15" thickBot="1">
      <c r="B4" s="230" t="s">
        <v>652</v>
      </c>
      <c r="C4" s="231"/>
      <c r="D4" s="231"/>
      <c r="E4" s="232"/>
      <c r="G4" s="230" t="s">
        <v>399</v>
      </c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2"/>
    </row>
    <row r="5" spans="2:18" ht="15" thickBot="1">
      <c r="B5" s="277" t="s">
        <v>408</v>
      </c>
      <c r="C5" s="278"/>
      <c r="D5" s="278"/>
      <c r="E5" s="279"/>
      <c r="G5" s="280" t="s">
        <v>659</v>
      </c>
      <c r="H5" s="281"/>
      <c r="I5" s="281"/>
      <c r="J5" s="281"/>
      <c r="K5" s="281"/>
      <c r="L5" s="282"/>
      <c r="M5" s="277" t="s">
        <v>408</v>
      </c>
      <c r="N5" s="278"/>
      <c r="O5" s="278"/>
      <c r="P5" s="278"/>
      <c r="Q5" s="278"/>
      <c r="R5" s="279"/>
    </row>
    <row r="6" spans="2:18" ht="17" thickBot="1">
      <c r="B6" s="238" t="s">
        <v>640</v>
      </c>
      <c r="C6" s="324" t="s">
        <v>653</v>
      </c>
      <c r="D6" s="324"/>
      <c r="E6" s="325"/>
      <c r="G6" s="242" t="s">
        <v>661</v>
      </c>
      <c r="H6" s="244"/>
      <c r="I6" s="242" t="s">
        <v>663</v>
      </c>
      <c r="J6" s="244"/>
      <c r="K6" s="242" t="s">
        <v>664</v>
      </c>
      <c r="L6" s="244"/>
      <c r="M6" s="238" t="s">
        <v>661</v>
      </c>
      <c r="N6" s="239"/>
      <c r="O6" s="238" t="s">
        <v>663</v>
      </c>
      <c r="P6" s="239"/>
      <c r="Q6" s="238" t="s">
        <v>664</v>
      </c>
      <c r="R6" s="239"/>
    </row>
    <row r="7" spans="2:18" ht="15" thickBot="1">
      <c r="B7" s="250"/>
      <c r="C7" s="176" t="s">
        <v>654</v>
      </c>
      <c r="D7" s="126" t="s">
        <v>655</v>
      </c>
      <c r="E7" s="127" t="s">
        <v>656</v>
      </c>
      <c r="G7" s="245" t="s">
        <v>662</v>
      </c>
      <c r="H7" s="247"/>
      <c r="I7" s="245" t="s">
        <v>400</v>
      </c>
      <c r="J7" s="247"/>
      <c r="K7" s="245" t="s">
        <v>400</v>
      </c>
      <c r="L7" s="247"/>
      <c r="M7" s="240"/>
      <c r="N7" s="241"/>
      <c r="O7" s="240"/>
      <c r="P7" s="241"/>
      <c r="Q7" s="240"/>
      <c r="R7" s="241"/>
    </row>
    <row r="8" spans="2:18" ht="16.5">
      <c r="B8" s="172">
        <v>0.90463316000000005</v>
      </c>
      <c r="C8" s="54">
        <v>2.9376110460110981E-2</v>
      </c>
      <c r="D8" s="54">
        <v>0.97062388848163828</v>
      </c>
      <c r="E8" s="173">
        <v>1.0582506534321555E-9</v>
      </c>
      <c r="G8" s="31" t="s">
        <v>640</v>
      </c>
      <c r="H8" s="142" t="s">
        <v>660</v>
      </c>
      <c r="I8" s="31" t="s">
        <v>640</v>
      </c>
      <c r="J8" s="142" t="s">
        <v>660</v>
      </c>
      <c r="K8" s="31" t="s">
        <v>640</v>
      </c>
      <c r="L8" s="32" t="s">
        <v>660</v>
      </c>
      <c r="M8" s="35" t="s">
        <v>640</v>
      </c>
      <c r="N8" s="85" t="s">
        <v>660</v>
      </c>
      <c r="O8" s="35" t="s">
        <v>640</v>
      </c>
      <c r="P8" s="85" t="s">
        <v>660</v>
      </c>
      <c r="Q8" s="35" t="s">
        <v>640</v>
      </c>
      <c r="R8" s="85" t="s">
        <v>660</v>
      </c>
    </row>
    <row r="9" spans="2:18" ht="15" thickBot="1">
      <c r="B9" s="172">
        <v>0.91402879999999997</v>
      </c>
      <c r="C9" s="54">
        <v>2.9981496323292077E-2</v>
      </c>
      <c r="D9" s="54">
        <v>0.97001850255280808</v>
      </c>
      <c r="E9" s="173">
        <v>1.1238997936220462E-9</v>
      </c>
      <c r="G9" s="145"/>
      <c r="H9" s="92"/>
      <c r="I9" s="146"/>
      <c r="J9" s="147"/>
      <c r="K9" s="146"/>
      <c r="L9" s="69"/>
      <c r="M9" s="86">
        <v>0.90463316000000005</v>
      </c>
      <c r="N9" s="94">
        <v>19.094360050206621</v>
      </c>
      <c r="O9" s="86">
        <v>0.55124724000000003</v>
      </c>
      <c r="P9" s="94">
        <v>19.645890880950233</v>
      </c>
      <c r="Q9" s="86">
        <v>0.55205749999999998</v>
      </c>
      <c r="R9" s="94">
        <v>15.468580841089951</v>
      </c>
    </row>
    <row r="10" spans="2:18">
      <c r="B10" s="172">
        <v>0.92361389999999999</v>
      </c>
      <c r="C10" s="54">
        <v>3.0596079856635441E-2</v>
      </c>
      <c r="D10" s="54">
        <v>0.96940391895263467</v>
      </c>
      <c r="E10" s="173">
        <v>1.1907297560928327E-9</v>
      </c>
      <c r="G10" s="145"/>
      <c r="H10" s="92"/>
      <c r="M10" s="86">
        <v>0.91402879999999997</v>
      </c>
      <c r="N10" s="94">
        <v>18.953727121302091</v>
      </c>
      <c r="O10" s="86">
        <v>0.56088689999999997</v>
      </c>
      <c r="P10" s="94">
        <v>19.506038905856357</v>
      </c>
      <c r="Q10" s="86">
        <v>0.56241039999999998</v>
      </c>
      <c r="R10" s="94">
        <v>15.378168258231851</v>
      </c>
    </row>
    <row r="11" spans="2:18">
      <c r="B11" s="172">
        <v>0.93341529999999995</v>
      </c>
      <c r="C11" s="54">
        <v>3.1219915186887989E-2</v>
      </c>
      <c r="D11" s="54">
        <v>0.96878008355454637</v>
      </c>
      <c r="E11" s="173">
        <v>1.2585656003147809E-9</v>
      </c>
      <c r="G11" s="145"/>
      <c r="H11" s="92"/>
      <c r="M11" s="86">
        <v>0.92361389999999999</v>
      </c>
      <c r="N11" s="94">
        <v>18.813189882401428</v>
      </c>
      <c r="O11" s="86">
        <v>0.5704572</v>
      </c>
      <c r="P11" s="94">
        <v>19.367861537521517</v>
      </c>
      <c r="Q11" s="86">
        <v>0.57263189999999997</v>
      </c>
      <c r="R11" s="94">
        <v>15.28884407654572</v>
      </c>
    </row>
    <row r="12" spans="2:18">
      <c r="B12" s="172">
        <v>0.94344300000000003</v>
      </c>
      <c r="C12" s="54">
        <v>3.1853208417585044E-2</v>
      </c>
      <c r="D12" s="54">
        <v>0.96814679025498462</v>
      </c>
      <c r="E12" s="173">
        <v>1.3274302958160093E-9</v>
      </c>
      <c r="G12" s="145"/>
      <c r="H12" s="92"/>
      <c r="M12" s="86">
        <v>0.93341529999999995</v>
      </c>
      <c r="N12" s="94">
        <v>18.672651623500759</v>
      </c>
      <c r="O12" s="86">
        <v>0.57958609999999999</v>
      </c>
      <c r="P12" s="94">
        <v>19.233437739449645</v>
      </c>
      <c r="Q12" s="86">
        <v>0.58214589999999999</v>
      </c>
      <c r="R12" s="94">
        <v>15.20220769799297</v>
      </c>
    </row>
    <row r="13" spans="2:18">
      <c r="B13" s="172">
        <v>0.95370770000000005</v>
      </c>
      <c r="C13" s="54">
        <v>3.2496181902239747E-2</v>
      </c>
      <c r="D13" s="54">
        <v>0.96750381670041274</v>
      </c>
      <c r="E13" s="173">
        <v>1.3973475119309502E-9</v>
      </c>
      <c r="G13" s="145"/>
      <c r="H13" s="92"/>
      <c r="M13" s="86">
        <v>0.94344300000000003</v>
      </c>
      <c r="N13" s="94">
        <v>18.532114324600091</v>
      </c>
      <c r="O13" s="86">
        <v>0.58891093999999999</v>
      </c>
      <c r="P13" s="94">
        <v>19.099016141377778</v>
      </c>
      <c r="Q13" s="86">
        <v>0.59187305000000001</v>
      </c>
      <c r="R13" s="94">
        <v>15.115570219440199</v>
      </c>
    </row>
    <row r="14" spans="2:18">
      <c r="B14" s="172">
        <v>0.96422094000000003</v>
      </c>
      <c r="C14" s="54">
        <v>3.314905573629881E-2</v>
      </c>
      <c r="D14" s="54">
        <v>0.96685094279535988</v>
      </c>
      <c r="E14" s="173">
        <v>1.4683413586017041E-9</v>
      </c>
      <c r="G14" s="145"/>
      <c r="H14" s="92"/>
      <c r="M14" s="86">
        <v>0.95370770000000005</v>
      </c>
      <c r="N14" s="94">
        <v>18.391576025699422</v>
      </c>
      <c r="O14" s="86">
        <v>0.59844047</v>
      </c>
      <c r="P14" s="94">
        <v>18.964595443305907</v>
      </c>
      <c r="Q14" s="86">
        <v>0.60182303000000004</v>
      </c>
      <c r="R14" s="94">
        <v>15.028933840887468</v>
      </c>
    </row>
    <row r="15" spans="2:18">
      <c r="B15" s="172">
        <v>0.97499495999999997</v>
      </c>
      <c r="C15" s="54">
        <v>3.3812063759392885E-2</v>
      </c>
      <c r="D15" s="54">
        <v>0.96618793470017006</v>
      </c>
      <c r="E15" s="173">
        <v>1.5404370152947296E-9</v>
      </c>
      <c r="G15" s="145"/>
      <c r="H15" s="92"/>
      <c r="M15" s="86">
        <v>0.96422094000000003</v>
      </c>
      <c r="N15" s="94">
        <v>18.251038726798754</v>
      </c>
      <c r="O15" s="86">
        <v>0.60818380000000005</v>
      </c>
      <c r="P15" s="94">
        <v>18.83017174523404</v>
      </c>
      <c r="Q15" s="86">
        <v>0.6120063</v>
      </c>
      <c r="R15" s="94">
        <v>14.94229736233466</v>
      </c>
    </row>
    <row r="16" spans="2:18">
      <c r="B16" s="172">
        <v>0.98604316000000003</v>
      </c>
      <c r="C16" s="54">
        <v>3.4485440434496271E-2</v>
      </c>
      <c r="D16" s="54">
        <v>0.9655145579518436</v>
      </c>
      <c r="E16" s="173">
        <v>1.6136602946536437E-9</v>
      </c>
      <c r="G16" s="145"/>
      <c r="H16" s="92"/>
      <c r="M16" s="86">
        <v>0.97499495999999997</v>
      </c>
      <c r="N16" s="94">
        <v>18.110503527898089</v>
      </c>
      <c r="O16" s="86">
        <v>0.61815070000000005</v>
      </c>
      <c r="P16" s="94">
        <v>18.695750047162168</v>
      </c>
      <c r="Q16" s="86">
        <v>0.62243413999999997</v>
      </c>
      <c r="R16" s="94">
        <v>14.855660983781901</v>
      </c>
    </row>
    <row r="17" spans="2:18">
      <c r="B17" s="172">
        <v>0.99737966</v>
      </c>
      <c r="C17" s="54">
        <v>3.5169436790214489E-2</v>
      </c>
      <c r="D17" s="54">
        <v>0.9648305615217474</v>
      </c>
      <c r="E17" s="173">
        <v>1.6880381160000099E-9</v>
      </c>
      <c r="G17" s="145"/>
      <c r="H17" s="92"/>
      <c r="M17" s="86">
        <v>0.98604316000000003</v>
      </c>
      <c r="N17" s="94">
        <v>17.969966228997418</v>
      </c>
      <c r="O17" s="86">
        <v>0.62835174999999999</v>
      </c>
      <c r="P17" s="94">
        <v>18.561327249090301</v>
      </c>
      <c r="Q17" s="86">
        <v>0.63311857000000005</v>
      </c>
      <c r="R17" s="94">
        <v>14.769024605229159</v>
      </c>
    </row>
    <row r="18" spans="2:18">
      <c r="B18" s="172">
        <v>1.0072760000000001</v>
      </c>
      <c r="C18" s="54">
        <v>3.5876122241471922E-2</v>
      </c>
      <c r="D18" s="54">
        <v>0.96412387597233917</v>
      </c>
      <c r="E18" s="173">
        <v>1.7861889407552949E-9</v>
      </c>
      <c r="G18" s="145"/>
      <c r="H18" s="92"/>
      <c r="M18" s="86">
        <v>0.99737966</v>
      </c>
      <c r="N18" s="94">
        <v>17.829427970096752</v>
      </c>
      <c r="O18" s="86">
        <v>0.63879819999999998</v>
      </c>
      <c r="P18" s="94">
        <v>18.426905551018429</v>
      </c>
      <c r="Q18" s="86">
        <v>0.64407239999999999</v>
      </c>
      <c r="R18" s="94">
        <v>14.682388026676399</v>
      </c>
    </row>
    <row r="19" spans="2:18" ht="15" thickBot="1">
      <c r="B19" s="172">
        <v>1.0170920999999999</v>
      </c>
      <c r="C19" s="54">
        <v>3.6595523058518459E-2</v>
      </c>
      <c r="D19" s="54">
        <v>0.96340447505168991</v>
      </c>
      <c r="E19" s="173">
        <v>1.8897916329430085E-9</v>
      </c>
      <c r="G19" s="146"/>
      <c r="H19" s="147"/>
      <c r="M19" s="86">
        <v>1.0072760000000001</v>
      </c>
      <c r="N19" s="94">
        <v>17.696529901609345</v>
      </c>
      <c r="O19" s="86">
        <v>0.64897329999999998</v>
      </c>
      <c r="P19" s="94">
        <v>18.295115653185459</v>
      </c>
      <c r="Q19" s="86">
        <v>0.65530973999999997</v>
      </c>
      <c r="R19" s="94">
        <v>14.595750648123659</v>
      </c>
    </row>
    <row r="20" spans="2:18" ht="15" thickBot="1">
      <c r="B20" s="172">
        <v>1.0271351</v>
      </c>
      <c r="C20" s="54">
        <v>3.7325787836993217E-2</v>
      </c>
      <c r="D20" s="54">
        <v>0.96267421016804833</v>
      </c>
      <c r="E20" s="173">
        <v>1.9949583419671889E-9</v>
      </c>
      <c r="G20" s="245" t="s">
        <v>400</v>
      </c>
      <c r="H20" s="247"/>
      <c r="M20" s="86">
        <v>1.0170920999999999</v>
      </c>
      <c r="N20" s="94">
        <v>17.564968233194129</v>
      </c>
      <c r="O20" s="86">
        <v>0.65834930000000003</v>
      </c>
      <c r="P20" s="94">
        <v>18.168401255813418</v>
      </c>
      <c r="Q20" s="86">
        <v>0.66684555999999995</v>
      </c>
      <c r="R20" s="94">
        <v>14.50911416957085</v>
      </c>
    </row>
    <row r="21" spans="2:18" ht="16.5">
      <c r="B21" s="172">
        <v>1.0374159000000001</v>
      </c>
      <c r="C21" s="54">
        <v>3.8067152870503607E-2</v>
      </c>
      <c r="D21" s="54">
        <v>0.96193284502777221</v>
      </c>
      <c r="E21" s="173">
        <v>2.1017240841768092E-9</v>
      </c>
      <c r="G21" s="31" t="s">
        <v>640</v>
      </c>
      <c r="H21" s="142" t="s">
        <v>660</v>
      </c>
      <c r="M21" s="86">
        <v>1.0271351</v>
      </c>
      <c r="N21" s="94">
        <v>17.433405634778918</v>
      </c>
      <c r="O21" s="86">
        <v>0.66793219999999998</v>
      </c>
      <c r="P21" s="94">
        <v>18.041688858441375</v>
      </c>
      <c r="Q21" s="86">
        <v>0.67767674</v>
      </c>
      <c r="R21" s="94">
        <v>14.42492439488743</v>
      </c>
    </row>
    <row r="22" spans="2:18" ht="15" thickBot="1">
      <c r="B22" s="172">
        <v>1.047946</v>
      </c>
      <c r="C22" s="54">
        <v>3.8819874944511737E-2</v>
      </c>
      <c r="D22" s="54">
        <v>0.96118012284536258</v>
      </c>
      <c r="E22" s="173">
        <v>2.2101257366344893E-9</v>
      </c>
      <c r="G22" s="146"/>
      <c r="H22" s="147"/>
      <c r="M22" s="86">
        <v>1.0374159000000001</v>
      </c>
      <c r="N22" s="94">
        <v>17.301842936363702</v>
      </c>
      <c r="O22" s="86">
        <v>0.67773134000000002</v>
      </c>
      <c r="P22" s="94">
        <v>17.914974661069326</v>
      </c>
      <c r="Q22" s="86">
        <v>0.68746423999999995</v>
      </c>
      <c r="R22" s="94">
        <v>14.343830725102949</v>
      </c>
    </row>
    <row r="23" spans="2:18">
      <c r="B23" s="172">
        <v>1.0587375999999999</v>
      </c>
      <c r="C23" s="54">
        <v>3.9584227846021842E-2</v>
      </c>
      <c r="D23" s="54">
        <v>0.96041576983377641</v>
      </c>
      <c r="E23" s="173">
        <v>2.3202017825372897E-9</v>
      </c>
      <c r="M23" s="86">
        <v>1.047946</v>
      </c>
      <c r="N23" s="94">
        <v>17.170283287948482</v>
      </c>
      <c r="O23" s="86">
        <v>0.6877567</v>
      </c>
      <c r="P23" s="94">
        <v>17.788260263697286</v>
      </c>
      <c r="Q23" s="86">
        <v>0.69747740000000003</v>
      </c>
      <c r="R23" s="94">
        <v>14.262737455318501</v>
      </c>
    </row>
    <row r="24" spans="2:18">
      <c r="B24" s="172">
        <v>1.0698044</v>
      </c>
      <c r="C24" s="54">
        <v>4.0360479173404289E-2</v>
      </c>
      <c r="D24" s="54">
        <v>0.95963951839460493</v>
      </c>
      <c r="E24" s="173">
        <v>2.43199081122926E-9</v>
      </c>
      <c r="M24" s="86">
        <v>1.0587375999999999</v>
      </c>
      <c r="N24" s="94">
        <v>17.03872063953327</v>
      </c>
      <c r="O24" s="86">
        <v>0.69801897000000002</v>
      </c>
      <c r="P24" s="94">
        <v>17.66154786632524</v>
      </c>
      <c r="Q24" s="86">
        <v>0.70772690000000005</v>
      </c>
      <c r="R24" s="94">
        <v>14.181643185534041</v>
      </c>
    </row>
    <row r="25" spans="2:18">
      <c r="B25" s="172">
        <v>1.0811605</v>
      </c>
      <c r="C25" s="54">
        <v>4.1148897833385829E-2</v>
      </c>
      <c r="D25" s="54">
        <v>0.95885109962108095</v>
      </c>
      <c r="E25" s="173">
        <v>2.5455331737625632E-9</v>
      </c>
      <c r="M25" s="86">
        <v>1.0698044</v>
      </c>
      <c r="N25" s="94">
        <v>16.907158041118052</v>
      </c>
      <c r="O25" s="86">
        <v>0.70852965000000001</v>
      </c>
      <c r="P25" s="94">
        <v>17.534833468953199</v>
      </c>
      <c r="Q25" s="86">
        <v>0.71822417000000005</v>
      </c>
      <c r="R25" s="94">
        <v>14.100551015749559</v>
      </c>
    </row>
    <row r="26" spans="2:18">
      <c r="B26" s="172">
        <v>1.0928215999999999</v>
      </c>
      <c r="C26" s="54">
        <v>4.1949785325124084E-2</v>
      </c>
      <c r="D26" s="54">
        <v>0.95805021201400498</v>
      </c>
      <c r="E26" s="173">
        <v>2.6608708465790118E-9</v>
      </c>
      <c r="M26" s="86">
        <v>1.0811605</v>
      </c>
      <c r="N26" s="94">
        <v>16.775596342702837</v>
      </c>
      <c r="O26" s="86">
        <v>0.71930099999999997</v>
      </c>
      <c r="P26" s="94">
        <v>17.408121071581157</v>
      </c>
      <c r="Q26" s="86">
        <v>0.72898149999999995</v>
      </c>
      <c r="R26" s="94">
        <v>14.019456845965101</v>
      </c>
    </row>
    <row r="27" spans="2:18">
      <c r="B27" s="172">
        <v>1.1033987999999999</v>
      </c>
      <c r="C27" s="54">
        <v>4.277192101143347E-2</v>
      </c>
      <c r="D27" s="54">
        <v>0.95722807618628958</v>
      </c>
      <c r="E27" s="173">
        <v>2.8022770086429106E-9</v>
      </c>
      <c r="M27" s="86">
        <v>1.0928215999999999</v>
      </c>
      <c r="N27" s="94">
        <v>16.644033684287624</v>
      </c>
      <c r="O27" s="86">
        <v>0.72912670000000002</v>
      </c>
      <c r="P27" s="94">
        <v>17.286758474995754</v>
      </c>
      <c r="Q27" s="86">
        <v>0.740012</v>
      </c>
      <c r="R27" s="94">
        <v>13.93836367618065</v>
      </c>
    </row>
    <row r="28" spans="2:18">
      <c r="B28" s="172">
        <v>1.113688</v>
      </c>
      <c r="C28" s="54">
        <v>4.3609911806872875E-2</v>
      </c>
      <c r="D28" s="54">
        <v>0.9563900852379118</v>
      </c>
      <c r="E28" s="173">
        <v>2.9552154458950995E-9</v>
      </c>
      <c r="M28" s="86">
        <v>1.1033987999999999</v>
      </c>
      <c r="N28" s="94">
        <v>16.517719646287226</v>
      </c>
      <c r="O28" s="86">
        <v>0.73798627000000006</v>
      </c>
      <c r="P28" s="94">
        <v>17.170527679164671</v>
      </c>
      <c r="Q28" s="86">
        <v>0.75133000000000005</v>
      </c>
      <c r="R28" s="94">
        <v>13.857269306396169</v>
      </c>
    </row>
    <row r="29" spans="2:18">
      <c r="B29" s="172">
        <v>1.1242269</v>
      </c>
      <c r="C29" s="54">
        <v>4.4460703490650434E-2</v>
      </c>
      <c r="D29" s="54">
        <v>0.95553929339885879</v>
      </c>
      <c r="E29" s="173">
        <v>3.1104908336098049E-9</v>
      </c>
      <c r="M29" s="86">
        <v>1.113688</v>
      </c>
      <c r="N29" s="94">
        <v>16.393420678446088</v>
      </c>
      <c r="O29" s="86">
        <v>0.74703039999999998</v>
      </c>
      <c r="P29" s="94">
        <v>17.05429578333359</v>
      </c>
      <c r="Q29" s="86">
        <v>0.76295084000000002</v>
      </c>
      <c r="R29" s="94">
        <v>13.7761762366117</v>
      </c>
    </row>
    <row r="30" spans="2:18">
      <c r="B30" s="172">
        <v>1.1350279000000001</v>
      </c>
      <c r="C30" s="54">
        <v>4.5324597773587126E-2</v>
      </c>
      <c r="D30" s="54">
        <v>0.95467539895825548</v>
      </c>
      <c r="E30" s="173">
        <v>3.2681573366235614E-9</v>
      </c>
      <c r="M30" s="86">
        <v>1.1242269</v>
      </c>
      <c r="N30" s="94">
        <v>16.269122690604956</v>
      </c>
      <c r="O30" s="86">
        <v>0.75626682999999995</v>
      </c>
      <c r="P30" s="94">
        <v>16.938064087502511</v>
      </c>
      <c r="Q30" s="86">
        <v>0.77489125999999997</v>
      </c>
      <c r="R30" s="94">
        <v>13.695082966827199</v>
      </c>
    </row>
    <row r="31" spans="2:18">
      <c r="B31" s="172">
        <v>1.1461045000000001</v>
      </c>
      <c r="C31" s="54">
        <v>4.6201897509298269E-2</v>
      </c>
      <c r="D31" s="54">
        <v>0.95379809906243151</v>
      </c>
      <c r="E31" s="173">
        <v>3.4282701750340545E-9</v>
      </c>
      <c r="M31" s="86">
        <v>1.1350279000000001</v>
      </c>
      <c r="N31" s="94">
        <v>16.144823692763826</v>
      </c>
      <c r="O31" s="86">
        <v>0.76570400000000005</v>
      </c>
      <c r="P31" s="94">
        <v>16.821833291671425</v>
      </c>
      <c r="Q31" s="86">
        <v>0.78582370000000001</v>
      </c>
      <c r="R31" s="94">
        <v>13.616710003161201</v>
      </c>
    </row>
    <row r="32" spans="2:18">
      <c r="B32" s="172">
        <v>1.1574708</v>
      </c>
      <c r="C32" s="54">
        <v>4.7092914802637345E-2</v>
      </c>
      <c r="D32" s="54">
        <v>0.95290708160647575</v>
      </c>
      <c r="E32" s="173">
        <v>3.5908870105992476E-9</v>
      </c>
      <c r="M32" s="86">
        <v>1.1461045000000001</v>
      </c>
      <c r="N32" s="94">
        <v>16.020524694922688</v>
      </c>
      <c r="O32" s="86">
        <v>0.77535074999999998</v>
      </c>
      <c r="P32" s="94">
        <v>16.705602495840338</v>
      </c>
      <c r="Q32" s="86">
        <v>0.79647659999999998</v>
      </c>
      <c r="R32" s="94">
        <v>13.5394466419905</v>
      </c>
    </row>
    <row r="33" spans="2:18">
      <c r="B33" s="172">
        <v>1.1691427000000001</v>
      </c>
      <c r="C33" s="54">
        <v>4.7997978684398784E-2</v>
      </c>
      <c r="D33" s="54">
        <v>0.95200201755953429</v>
      </c>
      <c r="E33" s="173">
        <v>3.7560669876322334E-9</v>
      </c>
      <c r="M33" s="86">
        <v>1.1574708</v>
      </c>
      <c r="N33" s="94">
        <v>15.896226707081553</v>
      </c>
      <c r="O33" s="86">
        <v>0.78521669999999999</v>
      </c>
      <c r="P33" s="94">
        <v>16.589371700009259</v>
      </c>
      <c r="Q33" s="86">
        <v>0.80739740000000004</v>
      </c>
      <c r="R33" s="94">
        <v>13.4621823808196</v>
      </c>
    </row>
    <row r="34" spans="2:18">
      <c r="B34" s="172">
        <v>1.1795599999999999</v>
      </c>
      <c r="C34" s="54">
        <v>4.8926291259396182E-2</v>
      </c>
      <c r="D34" s="54">
        <v>0.9510737047805824</v>
      </c>
      <c r="E34" s="173">
        <v>3.9600213620471326E-9</v>
      </c>
      <c r="M34" s="86">
        <v>1.1691427000000001</v>
      </c>
      <c r="N34" s="94">
        <v>15.771927709240416</v>
      </c>
      <c r="O34" s="86">
        <v>0.79531200000000002</v>
      </c>
      <c r="P34" s="94">
        <v>16.473138904178182</v>
      </c>
      <c r="Q34" s="86">
        <v>0.81859994000000003</v>
      </c>
      <c r="R34" s="94">
        <v>13.384919119648901</v>
      </c>
    </row>
    <row r="35" spans="2:18">
      <c r="B35" s="172">
        <v>1.1900790000000001</v>
      </c>
      <c r="C35" s="54">
        <v>4.9869651757663114E-2</v>
      </c>
      <c r="D35" s="54">
        <v>0.95013034407176022</v>
      </c>
      <c r="E35" s="173">
        <v>4.1705767137206678E-9</v>
      </c>
      <c r="M35" s="86">
        <v>1.1795599999999999</v>
      </c>
      <c r="N35" s="94">
        <v>15.65292566198592</v>
      </c>
      <c r="O35" s="86">
        <v>0.80564754999999999</v>
      </c>
      <c r="P35" s="94">
        <v>16.356908108347096</v>
      </c>
      <c r="Q35" s="86">
        <v>0.83009909999999998</v>
      </c>
      <c r="R35" s="94">
        <v>13.3076557584781</v>
      </c>
    </row>
    <row r="36" spans="2:18">
      <c r="B36" s="172">
        <v>1.2008591</v>
      </c>
      <c r="C36" s="54">
        <v>5.0827515414794258E-2</v>
      </c>
      <c r="D36" s="54">
        <v>0.94917248020083611</v>
      </c>
      <c r="E36" s="173">
        <v>4.3843696275542044E-9</v>
      </c>
      <c r="M36" s="86">
        <v>1.1900790000000001</v>
      </c>
      <c r="N36" s="94">
        <v>15.534430714787534</v>
      </c>
      <c r="O36" s="86">
        <v>0.81623509999999999</v>
      </c>
      <c r="P36" s="94">
        <v>16.240677312516009</v>
      </c>
      <c r="Q36" s="86">
        <v>0.84085080000000001</v>
      </c>
      <c r="R36" s="94">
        <v>13.2324136033447</v>
      </c>
    </row>
    <row r="37" spans="2:18">
      <c r="B37" s="172">
        <v>1.2119135000000001</v>
      </c>
      <c r="C37" s="54">
        <v>5.1800213636634188E-2</v>
      </c>
      <c r="D37" s="54">
        <v>0.9481997817618919</v>
      </c>
      <c r="E37" s="173">
        <v>4.6014740018635071E-9</v>
      </c>
      <c r="M37" s="86">
        <v>1.2008591</v>
      </c>
      <c r="N37" s="94">
        <v>15.415934727589157</v>
      </c>
      <c r="O37" s="86">
        <v>0.82708720000000002</v>
      </c>
      <c r="P37" s="94">
        <v>16.124446616684931</v>
      </c>
      <c r="Q37" s="86">
        <v>0.85167599999999999</v>
      </c>
      <c r="R37" s="94">
        <v>13.157542949320099</v>
      </c>
    </row>
    <row r="38" spans="2:18">
      <c r="B38" s="172">
        <v>1.2232567000000001</v>
      </c>
      <c r="C38" s="54">
        <v>5.2788102992187079E-2</v>
      </c>
      <c r="D38" s="54">
        <v>0.94721189218584423</v>
      </c>
      <c r="E38" s="173">
        <v>4.8219686607770939E-9</v>
      </c>
      <c r="M38" s="86">
        <v>1.2119135000000001</v>
      </c>
      <c r="N38" s="94">
        <v>15.297440770390775</v>
      </c>
      <c r="O38" s="86">
        <v>0.83821749999999995</v>
      </c>
      <c r="P38" s="94">
        <v>16.008214720853839</v>
      </c>
      <c r="Q38" s="86">
        <v>0.86277795000000002</v>
      </c>
      <c r="R38" s="94">
        <v>13.082672495295601</v>
      </c>
    </row>
    <row r="39" spans="2:18">
      <c r="B39" s="172">
        <v>1.2349041999999999</v>
      </c>
      <c r="C39" s="54">
        <v>5.3791537825308315E-2</v>
      </c>
      <c r="D39" s="54">
        <v>0.94620845712875912</v>
      </c>
      <c r="E39" s="173">
        <v>5.0459326365581225E-9</v>
      </c>
      <c r="M39" s="86">
        <v>1.2232567000000001</v>
      </c>
      <c r="N39" s="94">
        <v>15.178944773192397</v>
      </c>
      <c r="O39" s="86">
        <v>0.84964050000000002</v>
      </c>
      <c r="P39" s="94">
        <v>15.891982925022772</v>
      </c>
      <c r="Q39" s="86">
        <v>0.87417113999999996</v>
      </c>
      <c r="R39" s="94">
        <v>13.007801941271099</v>
      </c>
    </row>
    <row r="40" spans="2:18">
      <c r="B40" s="172">
        <v>1.2466111</v>
      </c>
      <c r="C40" s="54">
        <v>5.4812368890196313E-2</v>
      </c>
      <c r="D40" s="54">
        <v>0.94518762582745519</v>
      </c>
      <c r="E40" s="173">
        <v>5.2823485612213238E-9</v>
      </c>
      <c r="M40" s="86">
        <v>1.2349041999999999</v>
      </c>
      <c r="N40" s="94">
        <v>15.06044877599401</v>
      </c>
      <c r="O40" s="86">
        <v>0.86137209999999997</v>
      </c>
      <c r="P40" s="94">
        <v>15.775752129191678</v>
      </c>
      <c r="Q40" s="86">
        <v>0.88587130000000003</v>
      </c>
      <c r="R40" s="94">
        <v>12.932931387246501</v>
      </c>
    </row>
    <row r="41" spans="2:18">
      <c r="B41" s="172">
        <v>1.2563031</v>
      </c>
      <c r="C41" s="54">
        <v>5.5861957088402948E-2</v>
      </c>
      <c r="D41" s="54">
        <v>0.94413803731095647</v>
      </c>
      <c r="E41" s="173">
        <v>5.6006404988300419E-9</v>
      </c>
      <c r="M41" s="86">
        <v>1.2466111</v>
      </c>
      <c r="N41" s="94">
        <v>14.942782378932984</v>
      </c>
      <c r="O41" s="86">
        <v>0.87342940000000002</v>
      </c>
      <c r="P41" s="94">
        <v>15.659521333360601</v>
      </c>
      <c r="Q41" s="86">
        <v>0.89606189999999997</v>
      </c>
      <c r="R41" s="94">
        <v>12.861359246349299</v>
      </c>
    </row>
    <row r="42" spans="2:18">
      <c r="B42" s="172">
        <v>1.2662161999999999</v>
      </c>
      <c r="C42" s="54">
        <v>5.6927297354111971E-2</v>
      </c>
      <c r="D42" s="54">
        <v>0.94307269672217986</v>
      </c>
      <c r="E42" s="173">
        <v>5.9237082057970698E-9</v>
      </c>
      <c r="M42" s="86">
        <v>1.2563031</v>
      </c>
      <c r="N42" s="94">
        <v>14.832337483070591</v>
      </c>
      <c r="O42" s="86">
        <v>0.88583109999999998</v>
      </c>
      <c r="P42" s="94">
        <v>15.543290637529511</v>
      </c>
      <c r="Q42" s="86">
        <v>0.90645790000000004</v>
      </c>
      <c r="R42" s="94">
        <v>12.7898579057291</v>
      </c>
    </row>
    <row r="43" spans="2:18">
      <c r="B43" s="172">
        <v>1.2763609</v>
      </c>
      <c r="C43" s="54">
        <v>5.8008741747774338E-2</v>
      </c>
      <c r="D43" s="54">
        <v>0.94199125200056555</v>
      </c>
      <c r="E43" s="173">
        <v>6.2516602003576228E-9</v>
      </c>
      <c r="M43" s="86">
        <v>1.2662161999999999</v>
      </c>
      <c r="N43" s="94">
        <v>14.721891587208189</v>
      </c>
      <c r="O43" s="86">
        <v>0.8964683</v>
      </c>
      <c r="P43" s="94">
        <v>15.433863643195409</v>
      </c>
      <c r="Q43" s="86">
        <v>0.91710882999999999</v>
      </c>
      <c r="R43" s="94">
        <v>12.718354765108701</v>
      </c>
    </row>
    <row r="44" spans="2:18">
      <c r="B44" s="172">
        <v>1.2867481999999999</v>
      </c>
      <c r="C44" s="54">
        <v>5.9106656237623623E-2</v>
      </c>
      <c r="D44" s="54">
        <v>0.94089333717776913</v>
      </c>
      <c r="E44" s="173">
        <v>6.5846071291572294E-9</v>
      </c>
      <c r="M44" s="86">
        <v>1.2763609</v>
      </c>
      <c r="N44" s="94">
        <v>14.611446731345799</v>
      </c>
      <c r="O44" s="86">
        <v>0.90698456999999999</v>
      </c>
      <c r="P44" s="94">
        <v>15.32565194912813</v>
      </c>
      <c r="Q44" s="86">
        <v>0.92802759999999995</v>
      </c>
      <c r="R44" s="94">
        <v>12.646852624488499</v>
      </c>
    </row>
    <row r="45" spans="2:18">
      <c r="B45" s="172">
        <v>1.29739</v>
      </c>
      <c r="C45" s="54">
        <v>6.0221432724546817E-2</v>
      </c>
      <c r="D45" s="54">
        <v>0.93977856035278773</v>
      </c>
      <c r="E45" s="173">
        <v>6.9226654621700265E-9</v>
      </c>
      <c r="M45" s="86">
        <v>1.2867481999999999</v>
      </c>
      <c r="N45" s="94">
        <v>14.501001825483401</v>
      </c>
      <c r="O45" s="86">
        <v>0.91776179999999996</v>
      </c>
      <c r="P45" s="94">
        <v>15.217439155060859</v>
      </c>
      <c r="Q45" s="86">
        <v>0.9392279</v>
      </c>
      <c r="R45" s="94">
        <v>12.5753505838682</v>
      </c>
    </row>
    <row r="46" spans="2:18">
      <c r="B46" s="172">
        <v>1.3082992</v>
      </c>
      <c r="C46" s="54">
        <v>6.1353444215808399E-2</v>
      </c>
      <c r="D46" s="54">
        <v>0.93864654851823892</v>
      </c>
      <c r="E46" s="173">
        <v>7.2659525718038789E-9</v>
      </c>
      <c r="M46" s="86">
        <v>1.29739</v>
      </c>
      <c r="N46" s="94">
        <v>14.390555999621006</v>
      </c>
      <c r="O46" s="86">
        <v>0.92881329999999995</v>
      </c>
      <c r="P46" s="94">
        <v>15.109226460993579</v>
      </c>
      <c r="Q46" s="86">
        <v>0.95072469999999998</v>
      </c>
      <c r="R46" s="94">
        <v>12.5038484432479</v>
      </c>
    </row>
    <row r="47" spans="2:18">
      <c r="B47" s="172">
        <v>1.3194896</v>
      </c>
      <c r="C47" s="54">
        <v>6.2503100338024364E-2</v>
      </c>
      <c r="D47" s="54">
        <v>0.93749689204738518</v>
      </c>
      <c r="E47" s="173">
        <v>7.6145905351375414E-9</v>
      </c>
      <c r="M47" s="86">
        <v>1.3082992</v>
      </c>
      <c r="N47" s="94">
        <v>14.28011110375861</v>
      </c>
      <c r="O47" s="86">
        <v>0.93926279999999995</v>
      </c>
      <c r="P47" s="94">
        <v>15.00379686778296</v>
      </c>
      <c r="Q47" s="86">
        <v>0.96253425000000004</v>
      </c>
      <c r="R47" s="94">
        <v>12.432347102627599</v>
      </c>
    </row>
    <row r="48" spans="2:18">
      <c r="B48" s="172">
        <v>1.3309759000000001</v>
      </c>
      <c r="C48" s="54">
        <v>6.3670823592043235E-2</v>
      </c>
      <c r="D48" s="54">
        <v>0.9363291684392494</v>
      </c>
      <c r="E48" s="173">
        <v>7.9687073354557712E-9</v>
      </c>
      <c r="M48" s="86">
        <v>1.3194896</v>
      </c>
      <c r="N48" s="94">
        <v>14.169666707896209</v>
      </c>
      <c r="O48" s="86">
        <v>0.94990474000000003</v>
      </c>
      <c r="P48" s="94">
        <v>14.89856677463357</v>
      </c>
      <c r="Q48" s="86">
        <v>0.97467387000000005</v>
      </c>
      <c r="R48" s="94">
        <v>12.360843962007401</v>
      </c>
    </row>
    <row r="49" spans="2:18">
      <c r="B49" s="172">
        <v>1.3427742</v>
      </c>
      <c r="C49" s="54">
        <v>6.4857036417270961E-2</v>
      </c>
      <c r="D49" s="54">
        <v>0.93514295525429825</v>
      </c>
      <c r="E49" s="173">
        <v>8.3284308626036511E-9</v>
      </c>
      <c r="M49" s="86">
        <v>1.3309759000000001</v>
      </c>
      <c r="N49" s="94">
        <v>14.05922131203382</v>
      </c>
      <c r="O49" s="86">
        <v>0.96081399999999995</v>
      </c>
      <c r="P49" s="94">
        <v>14.793335481484201</v>
      </c>
      <c r="Q49" s="86">
        <v>0.9871626</v>
      </c>
      <c r="R49" s="94">
        <v>12.2893419213871</v>
      </c>
    </row>
    <row r="50" spans="2:18">
      <c r="B50" s="172">
        <v>1.3549020000000001</v>
      </c>
      <c r="C50" s="54">
        <v>6.606219052146009E-2</v>
      </c>
      <c r="D50" s="54">
        <v>0.93393780078464361</v>
      </c>
      <c r="E50" s="173">
        <v>8.6938962947986784E-9</v>
      </c>
      <c r="M50" s="86">
        <v>1.3427742</v>
      </c>
      <c r="N50" s="94">
        <v>13.94877641617142</v>
      </c>
      <c r="O50" s="86">
        <v>0.97197944000000003</v>
      </c>
      <c r="P50" s="94">
        <v>14.688179388364231</v>
      </c>
      <c r="Q50" s="86">
        <v>0.99935830000000003</v>
      </c>
      <c r="R50" s="94">
        <v>12.218871586654501</v>
      </c>
    </row>
    <row r="51" spans="2:18">
      <c r="B51" s="172">
        <v>1.3673784</v>
      </c>
      <c r="C51" s="54">
        <v>6.7286726736063104E-2</v>
      </c>
      <c r="D51" s="54">
        <v>0.93271326419869371</v>
      </c>
      <c r="E51" s="173">
        <v>9.0652430968122033E-9</v>
      </c>
      <c r="M51" s="86">
        <v>1.3549020000000001</v>
      </c>
      <c r="N51" s="94">
        <v>13.83833162030902</v>
      </c>
      <c r="O51" s="86">
        <v>0.98202970000000001</v>
      </c>
      <c r="P51" s="94">
        <v>14.587211896864599</v>
      </c>
      <c r="Q51" s="86">
        <v>1.0098480999999999</v>
      </c>
      <c r="R51" s="94">
        <v>12.1515243697398</v>
      </c>
    </row>
    <row r="52" spans="2:18">
      <c r="B52" s="172">
        <v>1.3802236000000001</v>
      </c>
      <c r="C52" s="54">
        <v>6.8531136778732335E-2</v>
      </c>
      <c r="D52" s="54">
        <v>0.93146885377865429</v>
      </c>
      <c r="E52" s="173">
        <v>9.442613455686194E-9</v>
      </c>
      <c r="M52" s="86">
        <v>1.3673784</v>
      </c>
      <c r="N52" s="94">
        <v>13.727886684446633</v>
      </c>
      <c r="O52" s="86">
        <v>0.99231800000000003</v>
      </c>
      <c r="P52" s="94">
        <v>14.486243405365</v>
      </c>
      <c r="Q52" s="86">
        <v>1.0205976999999999</v>
      </c>
      <c r="R52" s="94">
        <v>12.084176352824999</v>
      </c>
    </row>
    <row r="53" spans="2:18">
      <c r="B53" s="172">
        <v>1.3934605</v>
      </c>
      <c r="C53" s="54">
        <v>6.9795889825964186E-2</v>
      </c>
      <c r="D53" s="54">
        <v>0.93020410034788048</v>
      </c>
      <c r="E53" s="173">
        <v>9.8261553243286388E-9</v>
      </c>
      <c r="M53" s="86">
        <v>1.3802236000000001</v>
      </c>
      <c r="N53" s="94">
        <v>13.617440828584229</v>
      </c>
      <c r="O53" s="86">
        <v>1.0028558999999999</v>
      </c>
      <c r="P53" s="94">
        <v>14.385274913865381</v>
      </c>
      <c r="Q53" s="86">
        <v>1.0316201</v>
      </c>
      <c r="R53" s="94">
        <v>12.0168282359102</v>
      </c>
    </row>
    <row r="54" spans="2:18">
      <c r="B54" s="172">
        <v>1.4052404000000001</v>
      </c>
      <c r="C54" s="54">
        <v>7.1087863446802832E-2</v>
      </c>
      <c r="D54" s="54">
        <v>0.92891212624488906</v>
      </c>
      <c r="E54" s="173">
        <v>1.0308308094053739E-8</v>
      </c>
      <c r="M54" s="86">
        <v>1.3934605</v>
      </c>
      <c r="N54" s="94">
        <v>13.506995932721841</v>
      </c>
      <c r="O54" s="86">
        <v>1.0136559999999999</v>
      </c>
      <c r="P54" s="94">
        <v>14.284307922365759</v>
      </c>
      <c r="Q54" s="86">
        <v>1.0429295000000001</v>
      </c>
      <c r="R54" s="94">
        <v>11.9494810189953</v>
      </c>
    </row>
    <row r="55" spans="2:18">
      <c r="B55" s="172">
        <v>1.4152967999999999</v>
      </c>
      <c r="C55" s="54">
        <v>7.2406759636907903E-2</v>
      </c>
      <c r="D55" s="54">
        <v>0.92759322946566536</v>
      </c>
      <c r="E55" s="173">
        <v>1.0897426669760765E-8</v>
      </c>
      <c r="M55" s="86">
        <v>1.4052404000000001</v>
      </c>
      <c r="N55" s="94">
        <v>13.401262238144339</v>
      </c>
      <c r="O55" s="86">
        <v>1.0247314000000001</v>
      </c>
      <c r="P55" s="94">
        <v>14.183339830866149</v>
      </c>
      <c r="Q55" s="86">
        <v>1.0545412999999999</v>
      </c>
      <c r="R55" s="94">
        <v>11.882132902080599</v>
      </c>
    </row>
    <row r="56" spans="2:18">
      <c r="B56" s="172">
        <v>1.4255914999999999</v>
      </c>
      <c r="C56" s="54">
        <v>7.3745776120541728E-2</v>
      </c>
      <c r="D56" s="54">
        <v>0.92625421238392502</v>
      </c>
      <c r="E56" s="173">
        <v>1.1495533326300339E-8</v>
      </c>
      <c r="M56" s="86">
        <v>1.4152967999999999</v>
      </c>
      <c r="N56" s="94">
        <v>13.300570344941992</v>
      </c>
      <c r="O56" s="86">
        <v>1.0360967999999999</v>
      </c>
      <c r="P56" s="94">
        <v>14.08237133936653</v>
      </c>
      <c r="Q56" s="86">
        <v>1.0664723</v>
      </c>
      <c r="R56" s="94">
        <v>11.814785485165899</v>
      </c>
    </row>
    <row r="57" spans="2:18">
      <c r="B57" s="172">
        <v>1.4361360999999999</v>
      </c>
      <c r="C57" s="54">
        <v>7.5105376351021491E-2</v>
      </c>
      <c r="D57" s="54">
        <v>0.92489461154614505</v>
      </c>
      <c r="E57" s="173">
        <v>1.2102833501133205E-8</v>
      </c>
      <c r="M57" s="86">
        <v>1.4255914999999999</v>
      </c>
      <c r="N57" s="94">
        <v>13.19987735173963</v>
      </c>
      <c r="O57" s="86">
        <v>1.0477675</v>
      </c>
      <c r="P57" s="94">
        <v>13.98140384786692</v>
      </c>
      <c r="Q57" s="86">
        <v>1.0787401000000001</v>
      </c>
      <c r="R57" s="94">
        <v>11.747437568251</v>
      </c>
    </row>
    <row r="58" spans="2:18">
      <c r="B58" s="172">
        <v>1.4469433</v>
      </c>
      <c r="C58" s="54">
        <v>7.6486038551004124E-2</v>
      </c>
      <c r="D58" s="54">
        <v>0.92351394872945181</v>
      </c>
      <c r="E58" s="173">
        <v>1.2719544062741616E-8</v>
      </c>
      <c r="M58" s="86">
        <v>1.4361360999999999</v>
      </c>
      <c r="N58" s="94">
        <v>13.099185408537259</v>
      </c>
      <c r="O58" s="86">
        <v>1.0593859999999999</v>
      </c>
      <c r="P58" s="94">
        <v>13.881436756882</v>
      </c>
      <c r="Q58" s="86">
        <v>1.0913647</v>
      </c>
      <c r="R58" s="94">
        <v>11.680090651336199</v>
      </c>
    </row>
    <row r="59" spans="2:18">
      <c r="B59" s="172">
        <v>1.4580261999999999</v>
      </c>
      <c r="C59" s="54">
        <v>7.7888264915444164E-2</v>
      </c>
      <c r="D59" s="54">
        <v>0.92211172173867251</v>
      </c>
      <c r="E59" s="173">
        <v>1.3345883305600507E-8</v>
      </c>
      <c r="M59" s="86">
        <v>1.4469433</v>
      </c>
      <c r="N59" s="94">
        <v>12.998493435334909</v>
      </c>
      <c r="O59" s="86">
        <v>1.0696528000000001</v>
      </c>
      <c r="P59" s="94">
        <v>13.785823468135639</v>
      </c>
      <c r="Q59" s="86">
        <v>1.1043673000000001</v>
      </c>
      <c r="R59" s="94">
        <v>11.6127421344215</v>
      </c>
    </row>
    <row r="60" spans="2:18">
      <c r="B60" s="172">
        <v>1.4693992</v>
      </c>
      <c r="C60" s="54">
        <v>7.931255671856216E-2</v>
      </c>
      <c r="D60" s="54">
        <v>0.92068742929935743</v>
      </c>
      <c r="E60" s="173">
        <v>1.3982080318877628E-8</v>
      </c>
      <c r="M60" s="86">
        <v>1.4580261999999999</v>
      </c>
      <c r="N60" s="94">
        <v>12.897800472132539</v>
      </c>
      <c r="O60" s="86">
        <v>1.0801681999999999</v>
      </c>
      <c r="P60" s="94">
        <v>13.690211279389271</v>
      </c>
      <c r="Q60" s="86">
        <v>1.1163057000000001</v>
      </c>
      <c r="R60" s="94">
        <v>11.547355634725399</v>
      </c>
    </row>
    <row r="61" spans="2:18">
      <c r="B61" s="172">
        <v>1.4810783000000001</v>
      </c>
      <c r="C61" s="54">
        <v>8.0759425397915419E-2</v>
      </c>
      <c r="D61" s="54">
        <v>0.91924055997371845</v>
      </c>
      <c r="E61" s="173">
        <v>1.4628366217253392E-8</v>
      </c>
      <c r="M61" s="86">
        <v>1.4693992</v>
      </c>
      <c r="N61" s="94">
        <v>12.797108578930201</v>
      </c>
      <c r="O61" s="86">
        <v>1.0909445</v>
      </c>
      <c r="P61" s="94">
        <v>13.594598090642901</v>
      </c>
      <c r="Q61" s="86">
        <v>1.1271802</v>
      </c>
      <c r="R61" s="94">
        <v>11.483797951090001</v>
      </c>
    </row>
    <row r="62" spans="2:18">
      <c r="B62" s="172">
        <v>1.49308</v>
      </c>
      <c r="C62" s="54">
        <v>8.2229448144974154E-2</v>
      </c>
      <c r="D62" s="54">
        <v>0.91777053657003971</v>
      </c>
      <c r="E62" s="173">
        <v>1.5284986097523466E-8</v>
      </c>
      <c r="M62" s="86">
        <v>1.4810783000000001</v>
      </c>
      <c r="N62" s="94">
        <v>12.696416485727829</v>
      </c>
      <c r="O62" s="86">
        <v>1.1019950999999999</v>
      </c>
      <c r="P62" s="94">
        <v>13.49898590189653</v>
      </c>
      <c r="Q62" s="86">
        <v>1.138334</v>
      </c>
      <c r="R62" s="94">
        <v>11.4202406674548</v>
      </c>
    </row>
    <row r="63" spans="2:18">
      <c r="B63" s="172">
        <v>1.505423</v>
      </c>
      <c r="C63" s="54">
        <v>8.372315694538586E-2</v>
      </c>
      <c r="D63" s="54">
        <v>0.91627682710242497</v>
      </c>
      <c r="E63" s="173">
        <v>1.5952189221800686E-8</v>
      </c>
      <c r="M63" s="86">
        <v>1.49308</v>
      </c>
      <c r="N63" s="94">
        <v>12.595723592525461</v>
      </c>
      <c r="O63" s="86">
        <v>1.1133343</v>
      </c>
      <c r="P63" s="94">
        <v>13.40337261315017</v>
      </c>
      <c r="Q63" s="86">
        <v>1.1497820000000001</v>
      </c>
      <c r="R63" s="94">
        <v>11.3566838838194</v>
      </c>
    </row>
    <row r="64" spans="2:18">
      <c r="B64" s="172">
        <v>1.518127</v>
      </c>
      <c r="C64" s="54">
        <v>8.5241131651315485E-2</v>
      </c>
      <c r="D64" s="54">
        <v>0.91475885171845139</v>
      </c>
      <c r="E64" s="173">
        <v>1.6630233090458787E-8</v>
      </c>
      <c r="M64" s="86">
        <v>1.505423</v>
      </c>
      <c r="N64" s="94">
        <v>12.495031699323109</v>
      </c>
      <c r="O64" s="86">
        <v>1.1249775</v>
      </c>
      <c r="P64" s="94">
        <v>13.3077603244038</v>
      </c>
      <c r="Q64" s="86">
        <v>1.1615397000000001</v>
      </c>
      <c r="R64" s="94">
        <v>11.293126600183999</v>
      </c>
    </row>
    <row r="65" spans="2:18">
      <c r="B65" s="172">
        <v>1.5312138</v>
      </c>
      <c r="C65" s="54">
        <v>8.6783980070005873E-2</v>
      </c>
      <c r="D65" s="54">
        <v>0.91321600261061098</v>
      </c>
      <c r="E65" s="173">
        <v>1.7319383193623361E-8</v>
      </c>
      <c r="M65" s="86">
        <v>1.518127</v>
      </c>
      <c r="N65" s="94">
        <v>12.394339206120751</v>
      </c>
      <c r="O65" s="86">
        <v>1.1369412999999999</v>
      </c>
      <c r="P65" s="94">
        <v>13.212147235657431</v>
      </c>
      <c r="Q65" s="86">
        <v>1.1736248</v>
      </c>
      <c r="R65" s="94">
        <v>11.229569416548701</v>
      </c>
    </row>
    <row r="66" spans="2:18">
      <c r="B66" s="172">
        <v>1.5447071999999999</v>
      </c>
      <c r="C66" s="54">
        <v>8.8352292349453534E-2</v>
      </c>
      <c r="D66" s="54">
        <v>0.91164768963062959</v>
      </c>
      <c r="E66" s="173">
        <v>1.8019916833178981E-8</v>
      </c>
      <c r="M66" s="86">
        <v>1.5312138</v>
      </c>
      <c r="N66" s="94">
        <v>12.29364681291838</v>
      </c>
      <c r="O66" s="86">
        <v>1.1484977000000001</v>
      </c>
      <c r="P66" s="94">
        <v>13.1183104481882</v>
      </c>
      <c r="Q66" s="86">
        <v>1.1860557</v>
      </c>
      <c r="R66" s="94">
        <v>11.166011532913302</v>
      </c>
    </row>
    <row r="67" spans="2:18">
      <c r="B67" s="172">
        <v>1.5586333000000001</v>
      </c>
      <c r="C67" s="54">
        <v>8.9946745745711751E-2</v>
      </c>
      <c r="D67" s="54">
        <v>0.91005323552217154</v>
      </c>
      <c r="E67" s="173">
        <v>1.8732116724709269E-8</v>
      </c>
      <c r="M67" s="86">
        <v>1.5447071999999999</v>
      </c>
      <c r="N67" s="94">
        <v>12.192954719716031</v>
      </c>
      <c r="O67" s="86">
        <v>1.1589860000000001</v>
      </c>
      <c r="P67" s="94">
        <v>13.0276839630287</v>
      </c>
      <c r="Q67" s="86">
        <v>1.1988529000000001</v>
      </c>
      <c r="R67" s="94">
        <v>11.1024540492781</v>
      </c>
    </row>
    <row r="68" spans="2:18">
      <c r="B68" s="172">
        <v>1.5701096999999999</v>
      </c>
      <c r="C68" s="54">
        <v>9.1570178642351868E-2</v>
      </c>
      <c r="D68" s="54">
        <v>0.90842980169629184</v>
      </c>
      <c r="E68" s="173">
        <v>1.9661356251656762E-8</v>
      </c>
      <c r="M68" s="86">
        <v>1.5586333000000001</v>
      </c>
      <c r="N68" s="94">
        <v>12.09226182651366</v>
      </c>
      <c r="O68" s="86">
        <v>1.1697337999999999</v>
      </c>
      <c r="P68" s="94">
        <v>12.93705747786924</v>
      </c>
      <c r="Q68" s="86">
        <v>1.2120388</v>
      </c>
      <c r="R68" s="94">
        <v>11.038896765642802</v>
      </c>
    </row>
    <row r="69" spans="2:18">
      <c r="B69" s="172">
        <v>1.5814257</v>
      </c>
      <c r="C69" s="54">
        <v>9.3219725929312977E-2</v>
      </c>
      <c r="D69" s="54">
        <v>0.90678025343263369</v>
      </c>
      <c r="E69" s="173">
        <v>2.0638053291238726E-8</v>
      </c>
      <c r="M69" s="86">
        <v>1.5701096999999999</v>
      </c>
      <c r="N69" s="94">
        <v>11.9974124358854</v>
      </c>
      <c r="O69" s="86">
        <v>1.1807543</v>
      </c>
      <c r="P69" s="94">
        <v>12.846431192709749</v>
      </c>
      <c r="Q69" s="86">
        <v>1.2256376</v>
      </c>
      <c r="R69" s="94">
        <v>10.975339982007</v>
      </c>
    </row>
    <row r="70" spans="2:18">
      <c r="B70" s="172">
        <v>1.5930443999999999</v>
      </c>
      <c r="C70" s="54">
        <v>9.4895504353704571E-2</v>
      </c>
      <c r="D70" s="54">
        <v>0.90510447401600647</v>
      </c>
      <c r="E70" s="173">
        <v>2.1630289050167133E-8</v>
      </c>
      <c r="M70" s="86">
        <v>1.5814257</v>
      </c>
      <c r="N70" s="94">
        <v>11.9034870456648</v>
      </c>
      <c r="O70" s="86">
        <v>1.1920618000000001</v>
      </c>
      <c r="P70" s="94">
        <v>12.755804707550261</v>
      </c>
      <c r="Q70" s="86">
        <v>1.2372999</v>
      </c>
      <c r="R70" s="94">
        <v>10.914510935460299</v>
      </c>
    </row>
    <row r="71" spans="2:18">
      <c r="B71" s="172">
        <v>1.6049825</v>
      </c>
      <c r="C71" s="54">
        <v>9.6598144851831338E-2</v>
      </c>
      <c r="D71" s="54">
        <v>0.90340183250973383</v>
      </c>
      <c r="E71" s="173">
        <v>2.2638434719829285E-8</v>
      </c>
      <c r="M71" s="86">
        <v>1.5930443999999999</v>
      </c>
      <c r="N71" s="94">
        <v>11.809561555444228</v>
      </c>
      <c r="O71" s="86">
        <v>1.2036716999999999</v>
      </c>
      <c r="P71" s="94">
        <v>12.66517822239077</v>
      </c>
      <c r="Q71" s="86">
        <v>1.2486233</v>
      </c>
      <c r="R71" s="94">
        <v>10.854422198984999</v>
      </c>
    </row>
    <row r="72" spans="2:18">
      <c r="B72" s="172">
        <v>1.6172580999999999</v>
      </c>
      <c r="C72" s="54">
        <v>9.8328322033582841E-2</v>
      </c>
      <c r="D72" s="54">
        <v>0.9016716543035409</v>
      </c>
      <c r="E72" s="173">
        <v>2.3662876323172128E-8</v>
      </c>
      <c r="M72" s="86">
        <v>1.6049825</v>
      </c>
      <c r="N72" s="94">
        <v>11.71563596522366</v>
      </c>
      <c r="O72" s="86">
        <v>1.2156004</v>
      </c>
      <c r="P72" s="94">
        <v>12.5745517372313</v>
      </c>
      <c r="Q72" s="86">
        <v>1.2602496000000001</v>
      </c>
      <c r="R72" s="94">
        <v>10.79433456251</v>
      </c>
    </row>
    <row r="73" spans="2:18">
      <c r="B73" s="172">
        <v>1.6298907</v>
      </c>
      <c r="C73" s="54">
        <v>0.10008668547465091</v>
      </c>
      <c r="D73" s="54">
        <v>0.899913289821339</v>
      </c>
      <c r="E73" s="173">
        <v>2.47040101724253E-8</v>
      </c>
      <c r="M73" s="86">
        <v>1.6172580999999999</v>
      </c>
      <c r="N73" s="94">
        <v>11.6217105750031</v>
      </c>
      <c r="O73" s="86">
        <v>1.2278659999999999</v>
      </c>
      <c r="P73" s="94">
        <v>12.483925452071821</v>
      </c>
      <c r="Q73" s="86">
        <v>1.2721958</v>
      </c>
      <c r="R73" s="94">
        <v>10.734246226034999</v>
      </c>
    </row>
    <row r="74" spans="2:18">
      <c r="B74" s="172">
        <v>1.6429019</v>
      </c>
      <c r="C74" s="54">
        <v>0.10187393769939238</v>
      </c>
      <c r="D74" s="54">
        <v>0.89812603653836098</v>
      </c>
      <c r="E74" s="173">
        <v>2.5762246559341818E-8</v>
      </c>
      <c r="M74" s="86">
        <v>1.6298907</v>
      </c>
      <c r="N74" s="94">
        <v>11.52778508478252</v>
      </c>
      <c r="O74" s="86">
        <v>1.2393396999999999</v>
      </c>
      <c r="P74" s="94">
        <v>12.395738069363098</v>
      </c>
      <c r="Q74" s="86">
        <v>1.2844800999999999</v>
      </c>
      <c r="R74" s="94">
        <v>10.67415868956</v>
      </c>
    </row>
    <row r="75" spans="2:18">
      <c r="B75" s="172">
        <v>1.6547795999999999</v>
      </c>
      <c r="C75" s="54">
        <v>0.10369006424495236</v>
      </c>
      <c r="D75" s="54">
        <v>0.89630990875704841</v>
      </c>
      <c r="E75" s="173">
        <v>2.6997999261480802E-8</v>
      </c>
      <c r="M75" s="86">
        <v>1.6429019</v>
      </c>
      <c r="N75" s="94">
        <v>11.433859594561911</v>
      </c>
      <c r="O75" s="86">
        <v>1.2500604</v>
      </c>
      <c r="P75" s="94">
        <v>12.309755688870199</v>
      </c>
      <c r="Q75" s="86">
        <v>1.2971219</v>
      </c>
      <c r="R75" s="94">
        <v>10.614070553085</v>
      </c>
    </row>
    <row r="76" spans="2:18">
      <c r="B76" s="172">
        <v>1.6662250999999999</v>
      </c>
      <c r="C76" s="54">
        <v>0.10553495663746686</v>
      </c>
      <c r="D76" s="54">
        <v>0.89446501503054077</v>
      </c>
      <c r="E76" s="173">
        <v>2.8331992413977327E-8</v>
      </c>
      <c r="M76" s="86">
        <v>1.6547795999999999</v>
      </c>
      <c r="N76" s="94">
        <v>11.34284570623414</v>
      </c>
      <c r="O76" s="86">
        <v>1.2610526</v>
      </c>
      <c r="P76" s="94">
        <v>12.223774908377351</v>
      </c>
      <c r="Q76" s="86">
        <v>1.3101426</v>
      </c>
      <c r="R76" s="94">
        <v>10.55398261661</v>
      </c>
    </row>
    <row r="77" spans="2:18">
      <c r="B77" s="172">
        <v>1.6779805000000001</v>
      </c>
      <c r="C77" s="54">
        <v>0.10740948939208327</v>
      </c>
      <c r="D77" s="54">
        <v>0.89259048092051541</v>
      </c>
      <c r="E77" s="173">
        <v>2.9687401298398463E-8</v>
      </c>
      <c r="M77" s="86">
        <v>1.6662250999999999</v>
      </c>
      <c r="N77" s="94">
        <v>11.25324951882698</v>
      </c>
      <c r="O77" s="86">
        <v>1.2723302999999999</v>
      </c>
      <c r="P77" s="94">
        <v>12.137792027884538</v>
      </c>
      <c r="Q77" s="86">
        <v>1.323566</v>
      </c>
      <c r="R77" s="94">
        <v>10.493894080135</v>
      </c>
    </row>
    <row r="78" spans="2:18">
      <c r="B78" s="172">
        <v>1.6900630000000001</v>
      </c>
      <c r="C78" s="54">
        <v>0.1093143273467507</v>
      </c>
      <c r="D78" s="54">
        <v>0.89068564158850905</v>
      </c>
      <c r="E78" s="173">
        <v>3.1064740279853264E-8</v>
      </c>
      <c r="M78" s="86">
        <v>1.6779805000000001</v>
      </c>
      <c r="N78" s="94">
        <v>11.163651431419799</v>
      </c>
      <c r="O78" s="86">
        <v>1.2839084999999999</v>
      </c>
      <c r="P78" s="94">
        <v>12.051810247391661</v>
      </c>
      <c r="Q78" s="86">
        <v>1.3374174999999999</v>
      </c>
      <c r="R78" s="94">
        <v>10.433805943659699</v>
      </c>
    </row>
    <row r="79" spans="2:18">
      <c r="B79" s="172">
        <v>1.7024912999999999</v>
      </c>
      <c r="C79" s="54">
        <v>0.11125026777177988</v>
      </c>
      <c r="D79" s="54">
        <v>0.88874969976367091</v>
      </c>
      <c r="E79" s="173">
        <v>3.2464549218579914E-8</v>
      </c>
      <c r="M79" s="86">
        <v>1.6900630000000001</v>
      </c>
      <c r="N79" s="94">
        <v>11.07405524401265</v>
      </c>
      <c r="O79" s="86">
        <v>1.2958038999999999</v>
      </c>
      <c r="P79" s="94">
        <v>11.9658273668988</v>
      </c>
      <c r="Q79" s="86">
        <v>1.3514819</v>
      </c>
      <c r="R79" s="94">
        <v>10.3739765139367</v>
      </c>
    </row>
    <row r="80" spans="2:18">
      <c r="B80" s="172">
        <v>1.7152858</v>
      </c>
      <c r="C80" s="54">
        <v>0.11321803157519306</v>
      </c>
      <c r="D80" s="54">
        <v>0.88678193453742316</v>
      </c>
      <c r="E80" s="173">
        <v>3.3887383687701269E-8</v>
      </c>
      <c r="M80" s="86">
        <v>1.7024912999999999</v>
      </c>
      <c r="N80" s="94">
        <v>10.984457156605449</v>
      </c>
      <c r="O80" s="86">
        <v>1.3080343999999999</v>
      </c>
      <c r="P80" s="94">
        <v>11.8798465864059</v>
      </c>
      <c r="Q80" s="86">
        <v>1.361753</v>
      </c>
      <c r="R80" s="94">
        <v>10.318549699217</v>
      </c>
    </row>
    <row r="81" spans="2:18">
      <c r="B81" s="172">
        <v>1.7284687000000001</v>
      </c>
      <c r="C81" s="54">
        <v>0.11521842875473595</v>
      </c>
      <c r="D81" s="54">
        <v>0.88478153591145248</v>
      </c>
      <c r="E81" s="173">
        <v>3.5333811653649846E-8</v>
      </c>
      <c r="M81" s="86">
        <v>1.7152858</v>
      </c>
      <c r="N81" s="94">
        <v>10.894859969198301</v>
      </c>
      <c r="O81" s="86">
        <v>1.3206192000000001</v>
      </c>
      <c r="P81" s="94">
        <v>11.793864805913101</v>
      </c>
      <c r="Q81" s="86">
        <v>1.3722728</v>
      </c>
      <c r="R81" s="94">
        <v>10.263122484497302</v>
      </c>
    </row>
    <row r="82" spans="2:18">
      <c r="B82" s="172">
        <v>1.7404565000000001</v>
      </c>
      <c r="C82" s="54">
        <v>0.11724880358728169</v>
      </c>
      <c r="D82" s="54">
        <v>0.88275115935433079</v>
      </c>
      <c r="E82" s="173">
        <v>3.7058387341355013E-8</v>
      </c>
      <c r="M82" s="86">
        <v>1.7284687000000001</v>
      </c>
      <c r="N82" s="94">
        <v>10.80526278179112</v>
      </c>
      <c r="O82" s="86">
        <v>1.3313271</v>
      </c>
      <c r="P82" s="94">
        <v>11.712287632365641</v>
      </c>
      <c r="Q82" s="86">
        <v>1.3830538999999999</v>
      </c>
      <c r="R82" s="94">
        <v>10.207695669777999</v>
      </c>
    </row>
    <row r="83" spans="2:18">
      <c r="B83" s="172">
        <v>1.7510159000000001</v>
      </c>
      <c r="C83" s="54">
        <v>0.11930791539175216</v>
      </c>
      <c r="D83" s="54">
        <v>0.88069204552297298</v>
      </c>
      <c r="E83" s="173">
        <v>3.9085274883941869E-8</v>
      </c>
      <c r="M83" s="86">
        <v>1.7404565000000001</v>
      </c>
      <c r="N83" s="94">
        <v>10.718561397212602</v>
      </c>
      <c r="O83" s="86">
        <v>1.3412921</v>
      </c>
      <c r="P83" s="94">
        <v>11.632649661876499</v>
      </c>
      <c r="Q83" s="86">
        <v>1.3941094000000001</v>
      </c>
      <c r="R83" s="94">
        <v>10.152268855058299</v>
      </c>
    </row>
    <row r="84" spans="2:18">
      <c r="B84" s="172">
        <v>1.7618384</v>
      </c>
      <c r="C84" s="54">
        <v>0.12139965950188346</v>
      </c>
      <c r="D84" s="54">
        <v>0.87860029935383821</v>
      </c>
      <c r="E84" s="173">
        <v>4.1144278441348433E-8</v>
      </c>
      <c r="M84" s="86">
        <v>1.7510159000000001</v>
      </c>
      <c r="N84" s="94">
        <v>10.63496831567066</v>
      </c>
      <c r="O84" s="86">
        <v>1.3514911999999999</v>
      </c>
      <c r="P84" s="94">
        <v>11.55301219138736</v>
      </c>
      <c r="Q84" s="86">
        <v>1.4054537</v>
      </c>
      <c r="R84" s="94">
        <v>10.096841940338599</v>
      </c>
    </row>
    <row r="85" spans="2:18">
      <c r="B85" s="172">
        <v>1.7729375000000001</v>
      </c>
      <c r="C85" s="54">
        <v>0.12352481210217839</v>
      </c>
      <c r="D85" s="54">
        <v>0.87647514466165499</v>
      </c>
      <c r="E85" s="173">
        <v>4.3236166614751947E-8</v>
      </c>
      <c r="M85" s="86">
        <v>1.7618384</v>
      </c>
      <c r="N85" s="94">
        <v>10.551374734128698</v>
      </c>
      <c r="O85" s="86">
        <v>1.3619356</v>
      </c>
      <c r="P85" s="94">
        <v>11.47337442089824</v>
      </c>
      <c r="Q85" s="86">
        <v>1.4171023</v>
      </c>
      <c r="R85" s="94">
        <v>10.041415525619401</v>
      </c>
    </row>
    <row r="86" spans="2:18">
      <c r="B86" s="172">
        <v>1.7843279000000001</v>
      </c>
      <c r="C86" s="54">
        <v>0.12568415580925171</v>
      </c>
      <c r="D86" s="54">
        <v>0.87431579882901955</v>
      </c>
      <c r="E86" s="173">
        <v>4.5361728691226748E-8</v>
      </c>
      <c r="M86" s="86">
        <v>1.7729375000000001</v>
      </c>
      <c r="N86" s="94">
        <v>10.467781152586729</v>
      </c>
      <c r="O86" s="86">
        <v>1.3726373999999999</v>
      </c>
      <c r="P86" s="94">
        <v>11.3937377504091</v>
      </c>
      <c r="Q86" s="86">
        <v>1.4290719000000001</v>
      </c>
      <c r="R86" s="94">
        <v>9.9859881108996014</v>
      </c>
    </row>
    <row r="87" spans="2:18">
      <c r="B87" s="172">
        <v>1.7960248999999999</v>
      </c>
      <c r="C87" s="54">
        <v>0.12787857142852332</v>
      </c>
      <c r="D87" s="54">
        <v>0.87212138104967896</v>
      </c>
      <c r="E87" s="173">
        <v>4.7521797816247123E-8</v>
      </c>
      <c r="M87" s="86">
        <v>1.7843279000000001</v>
      </c>
      <c r="N87" s="94">
        <v>10.384189571044789</v>
      </c>
      <c r="O87" s="86">
        <v>1.3836094999999999</v>
      </c>
      <c r="P87" s="94">
        <v>11.31410007991996</v>
      </c>
      <c r="Q87" s="86">
        <v>1.4413809</v>
      </c>
      <c r="R87" s="94">
        <v>9.9305612961800005</v>
      </c>
    </row>
    <row r="88" spans="2:18">
      <c r="B88" s="172">
        <v>1.8080457000000001</v>
      </c>
      <c r="C88" s="54">
        <v>0.13010889563500699</v>
      </c>
      <c r="D88" s="54">
        <v>0.86989105464777861</v>
      </c>
      <c r="E88" s="173">
        <v>4.9717214474199031E-8</v>
      </c>
      <c r="M88" s="86">
        <v>1.7960248999999999</v>
      </c>
      <c r="N88" s="94">
        <v>10.30059598950284</v>
      </c>
      <c r="O88" s="86">
        <v>1.3948661</v>
      </c>
      <c r="P88" s="94">
        <v>11.234461309430801</v>
      </c>
      <c r="Q88" s="86">
        <v>1.4540489000000001</v>
      </c>
      <c r="R88" s="94">
        <v>9.8751343814610006</v>
      </c>
    </row>
    <row r="89" spans="2:18">
      <c r="B89" s="172">
        <v>1.8204088</v>
      </c>
      <c r="C89" s="54">
        <v>0.13237601709138253</v>
      </c>
      <c r="D89" s="54">
        <v>0.86762393095976698</v>
      </c>
      <c r="E89" s="173">
        <v>5.1948850482333888E-8</v>
      </c>
      <c r="M89" s="86">
        <v>1.8080457000000001</v>
      </c>
      <c r="N89" s="94">
        <v>10.2170024079609</v>
      </c>
      <c r="O89" s="86">
        <v>1.4064220999999999</v>
      </c>
      <c r="P89" s="94">
        <v>11.1548245389417</v>
      </c>
      <c r="Q89" s="86">
        <v>1.4670974999999999</v>
      </c>
      <c r="R89" s="94">
        <v>9.8197076667409995</v>
      </c>
    </row>
    <row r="90" spans="2:18">
      <c r="B90" s="172">
        <v>1.8331341999999999</v>
      </c>
      <c r="C90" s="54">
        <v>0.13468082722499</v>
      </c>
      <c r="D90" s="54">
        <v>0.86531911855741017</v>
      </c>
      <c r="E90" s="173">
        <v>5.4217599855137501E-8</v>
      </c>
      <c r="M90" s="86">
        <v>1.8204088</v>
      </c>
      <c r="N90" s="94">
        <v>10.13340882641894</v>
      </c>
      <c r="O90" s="86">
        <v>1.4182942000000001</v>
      </c>
      <c r="P90" s="94">
        <v>11.075186968452499</v>
      </c>
      <c r="Q90" s="86">
        <v>1.4805504</v>
      </c>
      <c r="R90" s="94">
        <v>9.7642809520210001</v>
      </c>
    </row>
    <row r="91" spans="2:18">
      <c r="B91" s="172">
        <v>1.8462436</v>
      </c>
      <c r="C91" s="54">
        <v>0.13702432798332537</v>
      </c>
      <c r="D91" s="54">
        <v>0.86297561549225099</v>
      </c>
      <c r="E91" s="173">
        <v>5.6524423796795294E-8</v>
      </c>
      <c r="M91" s="86">
        <v>1.8331341999999999</v>
      </c>
      <c r="N91" s="94">
        <v>10.049817244876969</v>
      </c>
      <c r="O91" s="86">
        <v>1.4304999</v>
      </c>
      <c r="P91" s="94">
        <v>10.995549197963399</v>
      </c>
      <c r="Q91" s="86">
        <v>1.4944333000000001</v>
      </c>
      <c r="R91" s="94">
        <v>9.7088536373020009</v>
      </c>
    </row>
    <row r="92" spans="2:18">
      <c r="B92" s="172">
        <v>1.8597611999999999</v>
      </c>
      <c r="C92" s="54">
        <v>0.13940747438661877</v>
      </c>
      <c r="D92" s="54">
        <v>0.8605924667431113</v>
      </c>
      <c r="E92" s="173">
        <v>5.8870269876016622E-8</v>
      </c>
      <c r="M92" s="86">
        <v>1.8462436</v>
      </c>
      <c r="N92" s="94">
        <v>9.9662236633350485</v>
      </c>
      <c r="O92" s="86">
        <v>1.4430585</v>
      </c>
      <c r="P92" s="94">
        <v>10.915911627474202</v>
      </c>
      <c r="Q92" s="86">
        <v>1.5087748000000001</v>
      </c>
      <c r="R92" s="94">
        <v>9.6534268225820004</v>
      </c>
    </row>
    <row r="93" spans="2:18">
      <c r="B93" s="172">
        <v>1.873713</v>
      </c>
      <c r="C93" s="54">
        <v>0.14183127230391526</v>
      </c>
      <c r="D93" s="54">
        <v>0.85816866643994316</v>
      </c>
      <c r="E93" s="173">
        <v>6.1256141469646429E-8</v>
      </c>
      <c r="M93" s="86">
        <v>1.8597611999999999</v>
      </c>
      <c r="N93" s="94">
        <v>9.882630081793101</v>
      </c>
      <c r="O93" s="86">
        <v>1.4559913</v>
      </c>
      <c r="P93" s="94">
        <v>10.8362749569851</v>
      </c>
      <c r="Q93" s="86">
        <v>1.5236061000000001</v>
      </c>
      <c r="R93" s="94">
        <v>9.5980001078629993</v>
      </c>
    </row>
    <row r="94" spans="2:18">
      <c r="B94" s="172">
        <v>1.888128</v>
      </c>
      <c r="C94" s="54">
        <v>0.14429675904291309</v>
      </c>
      <c r="D94" s="54">
        <v>0.85570317727403267</v>
      </c>
      <c r="E94" s="173">
        <v>6.3683054306328935E-8</v>
      </c>
      <c r="M94" s="86">
        <v>1.873713</v>
      </c>
      <c r="N94" s="94">
        <v>9.7990364002511612</v>
      </c>
      <c r="O94" s="86">
        <v>1.4693209</v>
      </c>
      <c r="P94" s="94">
        <v>10.7566370864959</v>
      </c>
      <c r="Q94" s="86">
        <v>1.5389618</v>
      </c>
      <c r="R94" s="94">
        <v>9.5425730931430017</v>
      </c>
    </row>
    <row r="95" spans="2:18">
      <c r="B95" s="172">
        <v>1.9030378999999999</v>
      </c>
      <c r="C95" s="54">
        <v>0.14680507936658632</v>
      </c>
      <c r="D95" s="54">
        <v>0.85319485448130683</v>
      </c>
      <c r="E95" s="173">
        <v>6.6152106972551328E-8</v>
      </c>
      <c r="M95" s="86">
        <v>1.888128</v>
      </c>
      <c r="N95" s="94">
        <v>9.7154448187091997</v>
      </c>
      <c r="O95" s="86">
        <v>1.4830726000000001</v>
      </c>
      <c r="P95" s="94">
        <v>10.676999616006801</v>
      </c>
      <c r="Q95" s="86">
        <v>1.5548804000000001</v>
      </c>
      <c r="R95" s="94">
        <v>9.4871464784240001</v>
      </c>
    </row>
    <row r="96" spans="2:18">
      <c r="B96" s="172">
        <v>1.9179691000000001</v>
      </c>
      <c r="C96" s="54">
        <v>0.14935404516186565</v>
      </c>
      <c r="D96" s="54">
        <v>0.8506458860540993</v>
      </c>
      <c r="E96" s="173">
        <v>6.8784034984442238E-8</v>
      </c>
      <c r="M96" s="86">
        <v>1.9030378999999999</v>
      </c>
      <c r="N96" s="94">
        <v>9.6318513371672587</v>
      </c>
      <c r="O96" s="86">
        <v>1.4972742000000001</v>
      </c>
      <c r="P96" s="94">
        <v>10.597362745517701</v>
      </c>
      <c r="Q96" s="86">
        <v>1.5714047</v>
      </c>
      <c r="R96" s="94">
        <v>9.4317193637039995</v>
      </c>
    </row>
    <row r="97" spans="2:18">
      <c r="B97" s="172">
        <v>1.9287795999999999</v>
      </c>
      <c r="C97" s="54">
        <v>0.15191677590285835</v>
      </c>
      <c r="D97" s="54">
        <v>0.84808315156664427</v>
      </c>
      <c r="E97" s="173">
        <v>7.2530497454887667E-8</v>
      </c>
      <c r="M97" s="86">
        <v>1.9179691000000001</v>
      </c>
      <c r="N97" s="94">
        <v>9.5489934568182999</v>
      </c>
      <c r="O97" s="86">
        <v>1.5117974000000001</v>
      </c>
      <c r="P97" s="94">
        <v>10.517970075713599</v>
      </c>
      <c r="Q97" s="86">
        <v>1.5885828</v>
      </c>
      <c r="R97" s="94">
        <v>9.3762924489839996</v>
      </c>
    </row>
    <row r="98" spans="2:18">
      <c r="B98" s="172">
        <v>1.9398662</v>
      </c>
      <c r="C98" s="54">
        <v>0.1545211161538636</v>
      </c>
      <c r="D98" s="54">
        <v>0.84547880750831972</v>
      </c>
      <c r="E98" s="173">
        <v>7.633781672653085E-8</v>
      </c>
      <c r="M98" s="86">
        <v>1.9287795999999999</v>
      </c>
      <c r="N98" s="94">
        <v>9.4726654870571387</v>
      </c>
      <c r="O98" s="86">
        <v>1.5219731000000001</v>
      </c>
      <c r="P98" s="94">
        <v>10.445868426294799</v>
      </c>
      <c r="Q98" s="86">
        <v>1.6064683</v>
      </c>
      <c r="R98" s="94">
        <v>9.3208655342645006</v>
      </c>
    </row>
    <row r="99" spans="2:18">
      <c r="B99" s="172">
        <v>1.9512432</v>
      </c>
      <c r="C99" s="54">
        <v>0.15716812685232967</v>
      </c>
      <c r="D99" s="54">
        <v>0.84283179294016453</v>
      </c>
      <c r="E99" s="173">
        <v>8.020750579490788E-8</v>
      </c>
      <c r="M99" s="86">
        <v>1.9398662</v>
      </c>
      <c r="N99" s="94">
        <v>9.3963384172959596</v>
      </c>
      <c r="O99" s="86">
        <v>1.5323929999999999</v>
      </c>
      <c r="P99" s="94">
        <v>10.373767676876</v>
      </c>
      <c r="Q99" s="86">
        <v>1.6220091999999999</v>
      </c>
      <c r="R99" s="94">
        <v>9.2675458001750002</v>
      </c>
    </row>
    <row r="100" spans="2:18">
      <c r="B100" s="172">
        <v>1.9629261</v>
      </c>
      <c r="C100" s="54">
        <v>0.15985883241358753</v>
      </c>
      <c r="D100" s="54">
        <v>0.84014108344532556</v>
      </c>
      <c r="E100" s="173">
        <v>8.41410869500761E-8</v>
      </c>
      <c r="M100" s="86">
        <v>1.9512432</v>
      </c>
      <c r="N100" s="94">
        <v>9.3200105475347996</v>
      </c>
      <c r="O100" s="86">
        <v>1.5430691000000001</v>
      </c>
      <c r="P100" s="94">
        <v>10.3016665274573</v>
      </c>
      <c r="Q100" s="86">
        <v>1.6359276</v>
      </c>
      <c r="R100" s="94">
        <v>9.2156701213084986</v>
      </c>
    </row>
    <row r="101" spans="2:18">
      <c r="B101" s="172">
        <v>1.9749322</v>
      </c>
      <c r="C101" s="54">
        <v>0.16259436690711687</v>
      </c>
      <c r="D101" s="54">
        <v>0.83740554495269548</v>
      </c>
      <c r="E101" s="173">
        <v>8.8140187707333997E-8</v>
      </c>
      <c r="M101" s="86">
        <v>1.9629261</v>
      </c>
      <c r="N101" s="94">
        <v>9.2436831777735495</v>
      </c>
      <c r="O101" s="86">
        <v>1.5540141999999999</v>
      </c>
      <c r="P101" s="94">
        <v>10.2295654780386</v>
      </c>
      <c r="Q101" s="86">
        <v>1.6503068000000001</v>
      </c>
      <c r="R101" s="94">
        <v>9.1637935424409989</v>
      </c>
    </row>
    <row r="102" spans="2:18">
      <c r="B102" s="172">
        <v>1.9872795000000001</v>
      </c>
      <c r="C102" s="54">
        <v>0.16537582364578829</v>
      </c>
      <c r="D102" s="54">
        <v>0.83462408414778322</v>
      </c>
      <c r="E102" s="173">
        <v>9.220642859475541E-8</v>
      </c>
      <c r="M102" s="86">
        <v>1.9749322</v>
      </c>
      <c r="N102" s="94">
        <v>9.1673551080123996</v>
      </c>
      <c r="O102" s="86">
        <v>1.5652424</v>
      </c>
      <c r="P102" s="94">
        <v>10.1574641286199</v>
      </c>
      <c r="Q102" s="86">
        <v>1.6651784999999999</v>
      </c>
      <c r="R102" s="94">
        <v>9.1119171635739988</v>
      </c>
    </row>
    <row r="103" spans="2:18">
      <c r="B103" s="172">
        <v>1.9999883000000001</v>
      </c>
      <c r="C103" s="54">
        <v>0.1682043797486947</v>
      </c>
      <c r="D103" s="54">
        <v>0.83179552390977285</v>
      </c>
      <c r="E103" s="173">
        <v>9.6341532460300944E-8</v>
      </c>
      <c r="M103" s="86">
        <v>1.9872795000000001</v>
      </c>
      <c r="N103" s="94">
        <v>9.0910277382511993</v>
      </c>
      <c r="O103" s="86">
        <v>1.5767685</v>
      </c>
      <c r="P103" s="94">
        <v>10.085363579201099</v>
      </c>
      <c r="Q103" s="86">
        <v>1.6805775999999999</v>
      </c>
      <c r="R103" s="94">
        <v>9.0600415847069993</v>
      </c>
    </row>
    <row r="104" spans="2:18">
      <c r="B104" s="172">
        <v>2.0130800999999998</v>
      </c>
      <c r="C104" s="54">
        <v>0.17108124934754301</v>
      </c>
      <c r="D104" s="54">
        <v>0.82891865010519739</v>
      </c>
      <c r="E104" s="173">
        <v>1.005472596087558E-7</v>
      </c>
      <c r="M104" s="86">
        <v>1.9999883000000001</v>
      </c>
      <c r="N104" s="94">
        <v>9.0146998684900002</v>
      </c>
      <c r="O104" s="86">
        <v>1.5886089000000001</v>
      </c>
      <c r="P104" s="94">
        <v>10.013262229782399</v>
      </c>
      <c r="Q104" s="86">
        <v>1.6951309999999999</v>
      </c>
      <c r="R104" s="94">
        <v>9.0091295858050007</v>
      </c>
    </row>
    <row r="105" spans="2:18">
      <c r="B105" s="172">
        <v>2.0265789999999999</v>
      </c>
      <c r="C105" s="54">
        <v>0.17400768099958996</v>
      </c>
      <c r="D105" s="54">
        <v>0.82599221417497404</v>
      </c>
      <c r="E105" s="173">
        <v>1.0482543587385447E-7</v>
      </c>
      <c r="M105" s="86">
        <v>2.0130800999999998</v>
      </c>
      <c r="N105" s="94">
        <v>8.9383722987288401</v>
      </c>
      <c r="O105" s="86">
        <v>1.6007811999999999</v>
      </c>
      <c r="P105" s="94">
        <v>9.9411611803636006</v>
      </c>
      <c r="Q105" s="86">
        <v>1.7096441</v>
      </c>
      <c r="R105" s="94">
        <v>8.958578816775999</v>
      </c>
    </row>
    <row r="106" spans="2:18">
      <c r="B106" s="172">
        <v>2.040511</v>
      </c>
      <c r="C106" s="54">
        <v>0.17698495264755895</v>
      </c>
      <c r="D106" s="54">
        <v>0.82301493817451021</v>
      </c>
      <c r="E106" s="173">
        <v>1.0917793100480712E-7</v>
      </c>
      <c r="M106" s="86">
        <v>2.0265789999999999</v>
      </c>
      <c r="N106" s="94">
        <v>8.8620444289676712</v>
      </c>
      <c r="O106" s="86">
        <v>1.6133044999999999</v>
      </c>
      <c r="P106" s="94">
        <v>9.8690601309449004</v>
      </c>
      <c r="Q106" s="86">
        <v>1.7246589999999999</v>
      </c>
      <c r="R106" s="94">
        <v>8.9080278477470003</v>
      </c>
    </row>
    <row r="107" spans="2:18">
      <c r="B107" s="172">
        <v>2.0549045000000001</v>
      </c>
      <c r="C107" s="54">
        <v>0.1800144076582178</v>
      </c>
      <c r="D107" s="54">
        <v>0.81998547873504091</v>
      </c>
      <c r="E107" s="173">
        <v>1.136067410927546E-7</v>
      </c>
      <c r="M107" s="86">
        <v>2.040511</v>
      </c>
      <c r="N107" s="94">
        <v>8.7857169592063986</v>
      </c>
      <c r="O107" s="86">
        <v>1.6261996000000001</v>
      </c>
      <c r="P107" s="94">
        <v>9.7969590815261007</v>
      </c>
      <c r="Q107" s="86">
        <v>1.7402116999999999</v>
      </c>
      <c r="R107" s="94">
        <v>8.857476378717001</v>
      </c>
    </row>
    <row r="108" spans="2:18">
      <c r="B108" s="172">
        <v>2.0697915999999998</v>
      </c>
      <c r="C108" s="54">
        <v>0.18309745269796496</v>
      </c>
      <c r="D108" s="54">
        <v>0.81690242918818345</v>
      </c>
      <c r="E108" s="173">
        <v>1.1811385160647539E-7</v>
      </c>
      <c r="M108" s="86">
        <v>2.0549045000000001</v>
      </c>
      <c r="N108" s="94">
        <v>8.7093889894453014</v>
      </c>
      <c r="O108" s="86">
        <v>1.6394894</v>
      </c>
      <c r="P108" s="94">
        <v>9.7248584321073004</v>
      </c>
      <c r="Q108" s="86">
        <v>1.7563420000000001</v>
      </c>
      <c r="R108" s="94">
        <v>8.8069254096880005</v>
      </c>
    </row>
    <row r="109" spans="2:18">
      <c r="B109" s="172">
        <v>2.0852072000000001</v>
      </c>
      <c r="C109" s="54">
        <v>0.18623547799583459</v>
      </c>
      <c r="D109" s="54">
        <v>0.8137643993027901</v>
      </c>
      <c r="E109" s="173">
        <v>1.2270137539448955E-7</v>
      </c>
      <c r="M109" s="86">
        <v>2.0697915999999998</v>
      </c>
      <c r="N109" s="94">
        <v>8.6330611196841005</v>
      </c>
      <c r="O109" s="86">
        <v>1.6531988</v>
      </c>
      <c r="P109" s="94">
        <v>9.6527571826886991</v>
      </c>
      <c r="Q109" s="86">
        <v>1.7705301</v>
      </c>
      <c r="R109" s="94">
        <v>8.7580239127400006</v>
      </c>
    </row>
    <row r="110" spans="2:18">
      <c r="B110" s="172">
        <v>2.1011902999999998</v>
      </c>
      <c r="C110" s="54">
        <v>0.1894299943407152</v>
      </c>
      <c r="D110" s="54">
        <v>0.81056987828781912</v>
      </c>
      <c r="E110" s="173">
        <v>1.2737146555698782E-7</v>
      </c>
      <c r="M110" s="86">
        <v>2.0852072000000001</v>
      </c>
      <c r="N110" s="94">
        <v>8.5567337499229996</v>
      </c>
      <c r="O110" s="86">
        <v>1.6673551</v>
      </c>
      <c r="P110" s="94">
        <v>9.5806560332699</v>
      </c>
      <c r="Q110" s="86">
        <v>1.7847761</v>
      </c>
      <c r="R110" s="94">
        <v>8.7093853432179991</v>
      </c>
    </row>
    <row r="111" spans="2:18">
      <c r="B111" s="172">
        <v>2.1145320000000001</v>
      </c>
      <c r="C111" s="54">
        <v>0.19264556897249388</v>
      </c>
      <c r="D111" s="54">
        <v>0.80735429774646128</v>
      </c>
      <c r="E111" s="173">
        <v>1.3328104484802381E-7</v>
      </c>
      <c r="M111" s="86">
        <v>2.1011902999999998</v>
      </c>
      <c r="N111" s="94">
        <v>8.4804056801617005</v>
      </c>
      <c r="O111" s="86">
        <v>1.6819884000000001</v>
      </c>
      <c r="P111" s="94">
        <v>9.5085550838511992</v>
      </c>
      <c r="Q111" s="86">
        <v>1.7995052</v>
      </c>
      <c r="R111" s="94">
        <v>8.6607467736949992</v>
      </c>
    </row>
    <row r="112" spans="2:18">
      <c r="B112" s="172">
        <v>2.1269998999999999</v>
      </c>
      <c r="C112" s="54">
        <v>0.19590219103886528</v>
      </c>
      <c r="D112" s="54">
        <v>0.804097669216431</v>
      </c>
      <c r="E112" s="173">
        <v>1.3974470369926463E-7</v>
      </c>
      <c r="M112" s="86">
        <v>2.1145320000000001</v>
      </c>
      <c r="N112" s="94">
        <v>8.4077672205959999</v>
      </c>
      <c r="O112" s="86">
        <v>1.6971320000000001</v>
      </c>
      <c r="P112" s="94">
        <v>9.4364538344323989</v>
      </c>
      <c r="Q112" s="86">
        <v>1.8147515000000001</v>
      </c>
      <c r="R112" s="94">
        <v>8.6121086041720005</v>
      </c>
    </row>
    <row r="113" spans="2:18">
      <c r="B113" s="172">
        <v>2.1398359999999998</v>
      </c>
      <c r="C113" s="54">
        <v>0.19921487195329207</v>
      </c>
      <c r="D113" s="54">
        <v>0.8007849817270124</v>
      </c>
      <c r="E113" s="173">
        <v>1.4631969563205041E-7</v>
      </c>
      <c r="M113" s="86">
        <v>2.1269998999999999</v>
      </c>
      <c r="N113" s="94">
        <v>8.3365606649902002</v>
      </c>
      <c r="O113" s="86">
        <v>1.7112067</v>
      </c>
      <c r="P113" s="94">
        <v>9.3662748943058993</v>
      </c>
      <c r="Q113" s="86">
        <v>1.8305525</v>
      </c>
      <c r="R113" s="94">
        <v>8.5634701346490001</v>
      </c>
    </row>
    <row r="114" spans="2:18">
      <c r="B114" s="172">
        <v>2.1530635</v>
      </c>
      <c r="C114" s="54">
        <v>0.20258517024030223</v>
      </c>
      <c r="D114" s="54">
        <v>0.79741467675073341</v>
      </c>
      <c r="E114" s="173">
        <v>1.5300896444219397E-7</v>
      </c>
      <c r="M114" s="86">
        <v>2.1398359999999998</v>
      </c>
      <c r="N114" s="94">
        <v>8.2653548093841991</v>
      </c>
      <c r="O114" s="86">
        <v>1.7229308999999999</v>
      </c>
      <c r="P114" s="94">
        <v>9.299357969951199</v>
      </c>
      <c r="Q114" s="86">
        <v>1.8469502</v>
      </c>
      <c r="R114" s="94">
        <v>8.5148318651260002</v>
      </c>
    </row>
    <row r="115" spans="2:18">
      <c r="B115" s="172">
        <v>2.1667063</v>
      </c>
      <c r="C115" s="54">
        <v>0.20601454972498484</v>
      </c>
      <c r="D115" s="54">
        <v>0.79398529045948851</v>
      </c>
      <c r="E115" s="173">
        <v>1.5981552648627021E-7</v>
      </c>
      <c r="M115" s="86">
        <v>2.1530635</v>
      </c>
      <c r="N115" s="94">
        <v>8.1941486537781998</v>
      </c>
      <c r="O115" s="86">
        <v>1.7349802999999999</v>
      </c>
      <c r="P115" s="94">
        <v>9.2324403455963999</v>
      </c>
      <c r="Q115" s="86">
        <v>1.8639915</v>
      </c>
      <c r="R115" s="94">
        <v>8.4661929956030004</v>
      </c>
    </row>
    <row r="116" spans="2:18">
      <c r="B116" s="172">
        <v>2.1807919</v>
      </c>
      <c r="C116" s="54">
        <v>0.20950455992103084</v>
      </c>
      <c r="D116" s="54">
        <v>0.79049527333650194</v>
      </c>
      <c r="E116" s="173">
        <v>1.6674246724003204E-7</v>
      </c>
      <c r="M116" s="86">
        <v>2.1667063</v>
      </c>
      <c r="N116" s="94">
        <v>8.1229422981723012</v>
      </c>
      <c r="O116" s="86">
        <v>1.7473737</v>
      </c>
      <c r="P116" s="94">
        <v>9.1655231212416002</v>
      </c>
      <c r="Q116" s="86">
        <v>1.8817288000000001</v>
      </c>
      <c r="R116" s="94">
        <v>8.4175547260800005</v>
      </c>
    </row>
    <row r="117" spans="2:18">
      <c r="B117" s="172">
        <v>2.1953494999999998</v>
      </c>
      <c r="C117" s="54">
        <v>0.2130568721835269</v>
      </c>
      <c r="D117" s="54">
        <v>0.78694295402345849</v>
      </c>
      <c r="E117" s="173">
        <v>1.7379301468794533E-7</v>
      </c>
      <c r="M117" s="86">
        <v>2.1807919</v>
      </c>
      <c r="N117" s="94">
        <v>8.0517364425663995</v>
      </c>
      <c r="O117" s="86">
        <v>1.7601310999999999</v>
      </c>
      <c r="P117" s="94">
        <v>9.0986063968869999</v>
      </c>
      <c r="Q117" s="86">
        <v>1.9002215</v>
      </c>
      <c r="R117" s="94">
        <v>8.3689161565570007</v>
      </c>
    </row>
    <row r="118" spans="2:18">
      <c r="B118" s="172">
        <v>2.2104119999999998</v>
      </c>
      <c r="C118" s="54">
        <v>0.2166731488735259</v>
      </c>
      <c r="D118" s="54">
        <v>0.78332667015594726</v>
      </c>
      <c r="E118" s="173">
        <v>1.8097052675043595E-7</v>
      </c>
      <c r="M118" s="86">
        <v>2.1953494999999998</v>
      </c>
      <c r="N118" s="94">
        <v>7.9805301869604</v>
      </c>
      <c r="O118" s="86">
        <v>1.7732748</v>
      </c>
      <c r="P118" s="94">
        <v>9.0316890725320995</v>
      </c>
      <c r="Q118" s="86">
        <v>1.9189434000000001</v>
      </c>
      <c r="R118" s="94">
        <v>8.3206009448490015</v>
      </c>
    </row>
    <row r="119" spans="2:18">
      <c r="B119" s="172">
        <v>2.2237558000000002</v>
      </c>
      <c r="C119" s="54">
        <v>0.22032093011483511</v>
      </c>
      <c r="D119" s="54">
        <v>0.77967888039740352</v>
      </c>
      <c r="E119" s="173">
        <v>1.89487761372131E-7</v>
      </c>
      <c r="M119" s="86">
        <v>2.2104119999999998</v>
      </c>
      <c r="N119" s="94">
        <v>7.9093238313545005</v>
      </c>
      <c r="O119" s="86">
        <v>1.7868284999999999</v>
      </c>
      <c r="P119" s="94">
        <v>8.9647720481774993</v>
      </c>
      <c r="Q119" s="86">
        <v>1.9344342000000001</v>
      </c>
      <c r="R119" s="94">
        <v>8.2744191147630008</v>
      </c>
    </row>
    <row r="120" spans="2:18">
      <c r="B120" s="172">
        <v>2.2365694</v>
      </c>
      <c r="C120" s="54">
        <v>0.22401868374602776</v>
      </c>
      <c r="D120" s="54">
        <v>0.7759811175991399</v>
      </c>
      <c r="E120" s="173">
        <v>1.9865483227602398E-7</v>
      </c>
      <c r="M120" s="86">
        <v>2.2237558000000002</v>
      </c>
      <c r="N120" s="94">
        <v>7.8405142856814996</v>
      </c>
      <c r="O120" s="86">
        <v>1.8008188999999999</v>
      </c>
      <c r="P120" s="94">
        <v>8.8978548238226995</v>
      </c>
      <c r="Q120" s="86">
        <v>1.9504980000000001</v>
      </c>
      <c r="R120" s="94">
        <v>8.2282370846750013</v>
      </c>
    </row>
    <row r="121" spans="2:18">
      <c r="B121" s="172">
        <v>2.2497728000000001</v>
      </c>
      <c r="C121" s="54">
        <v>0.22778155944386838</v>
      </c>
      <c r="D121" s="54">
        <v>0.77221823257283928</v>
      </c>
      <c r="E121" s="173">
        <v>2.0798329235102929E-7</v>
      </c>
      <c r="M121" s="86">
        <v>2.2365694</v>
      </c>
      <c r="N121" s="94">
        <v>7.7726878440820002</v>
      </c>
      <c r="O121" s="86">
        <v>1.8152752000000001</v>
      </c>
      <c r="P121" s="94">
        <v>8.8309372994678998</v>
      </c>
      <c r="Q121" s="86">
        <v>1.9671787999999999</v>
      </c>
      <c r="R121" s="94">
        <v>8.1820547545889983</v>
      </c>
    </row>
    <row r="122" spans="2:18">
      <c r="B122" s="172">
        <v>2.2633899999999998</v>
      </c>
      <c r="C122" s="54">
        <v>0.23161124119271831</v>
      </c>
      <c r="D122" s="54">
        <v>0.76838854132983769</v>
      </c>
      <c r="E122" s="173">
        <v>2.1747744406076408E-7</v>
      </c>
      <c r="M122" s="86">
        <v>2.2497728000000001</v>
      </c>
      <c r="N122" s="94">
        <v>7.7048612024823999</v>
      </c>
      <c r="O122" s="86">
        <v>1.8276904</v>
      </c>
      <c r="P122" s="94">
        <v>8.7667604966721999</v>
      </c>
      <c r="Q122" s="86">
        <v>1.984526</v>
      </c>
      <c r="R122" s="94">
        <v>8.135872524501</v>
      </c>
    </row>
    <row r="123" spans="2:18">
      <c r="B123" s="172">
        <v>2.2774483999999999</v>
      </c>
      <c r="C123" s="54">
        <v>0.23550958989469739</v>
      </c>
      <c r="D123" s="54">
        <v>0.76449018296354976</v>
      </c>
      <c r="E123" s="173">
        <v>2.2714175286315358E-7</v>
      </c>
      <c r="M123" s="86">
        <v>2.2633899999999998</v>
      </c>
      <c r="N123" s="94">
        <v>7.6370347608828002</v>
      </c>
      <c r="O123" s="86">
        <v>1.8399041</v>
      </c>
      <c r="P123" s="94">
        <v>8.7031800985669996</v>
      </c>
      <c r="Q123" s="86">
        <v>2.0025952</v>
      </c>
      <c r="R123" s="94">
        <v>8.0896901944150006</v>
      </c>
    </row>
    <row r="124" spans="2:18">
      <c r="B124" s="172">
        <v>2.2919770000000002</v>
      </c>
      <c r="C124" s="54">
        <v>0.23947843489038259</v>
      </c>
      <c r="D124" s="54">
        <v>0.76052132812877582</v>
      </c>
      <c r="E124" s="173">
        <v>2.3698084147312007E-7</v>
      </c>
      <c r="M124" s="86">
        <v>2.2774483999999999</v>
      </c>
      <c r="N124" s="94">
        <v>7.5692081192831999</v>
      </c>
      <c r="O124" s="86">
        <v>1.8524712000000001</v>
      </c>
      <c r="P124" s="94">
        <v>8.6395994004615009</v>
      </c>
      <c r="Q124" s="86">
        <v>2.0214489000000002</v>
      </c>
      <c r="R124" s="94">
        <v>8.0435082643270004</v>
      </c>
    </row>
    <row r="125" spans="2:18">
      <c r="B125" s="172">
        <v>2.3070083000000001</v>
      </c>
      <c r="C125" s="54">
        <v>0.243519694132454</v>
      </c>
      <c r="D125" s="54">
        <v>0.75648005886809011</v>
      </c>
      <c r="E125" s="173">
        <v>2.4699945591135907E-7</v>
      </c>
      <c r="M125" s="86">
        <v>2.2919770000000002</v>
      </c>
      <c r="N125" s="94">
        <v>7.5013810776836003</v>
      </c>
      <c r="O125" s="86">
        <v>1.865413</v>
      </c>
      <c r="P125" s="94">
        <v>8.5760184023563006</v>
      </c>
      <c r="Q125" s="86">
        <v>2.0411581999999999</v>
      </c>
      <c r="R125" s="94">
        <v>7.9973258342400007</v>
      </c>
    </row>
    <row r="126" spans="2:18">
      <c r="B126" s="172">
        <v>2.3225787000000002</v>
      </c>
      <c r="C126" s="54">
        <v>0.24763538330526455</v>
      </c>
      <c r="D126" s="54">
        <v>0.75236435949213787</v>
      </c>
      <c r="E126" s="173">
        <v>2.5720259771992215E-7</v>
      </c>
      <c r="M126" s="86">
        <v>2.3070083000000001</v>
      </c>
      <c r="N126" s="94">
        <v>7.4335548360840003</v>
      </c>
      <c r="O126" s="86">
        <v>1.8787522000000001</v>
      </c>
      <c r="P126" s="94">
        <v>8.5124377042510009</v>
      </c>
      <c r="Q126" s="86">
        <v>2.0618048</v>
      </c>
      <c r="R126" s="94">
        <v>7.9511436041530006</v>
      </c>
    </row>
    <row r="127" spans="2:18">
      <c r="B127" s="172">
        <v>2.3354032</v>
      </c>
      <c r="C127" s="54">
        <v>0.25176356275812622</v>
      </c>
      <c r="D127" s="54">
        <v>0.74823616675982341</v>
      </c>
      <c r="E127" s="173">
        <v>2.7048205054160218E-7</v>
      </c>
      <c r="M127" s="86">
        <v>2.3225787000000002</v>
      </c>
      <c r="N127" s="94">
        <v>7.3657280944843997</v>
      </c>
      <c r="O127" s="86">
        <v>1.8925141999999999</v>
      </c>
      <c r="P127" s="94">
        <v>8.4488571061459012</v>
      </c>
      <c r="Q127" s="86">
        <v>2.0834820000000001</v>
      </c>
      <c r="R127" s="94">
        <v>7.9049621740650009</v>
      </c>
    </row>
    <row r="128" spans="2:18">
      <c r="B128" s="172">
        <v>2.3471440000000001</v>
      </c>
      <c r="C128" s="54">
        <v>0.25593666202001286</v>
      </c>
      <c r="D128" s="54">
        <v>0.74406305272535322</v>
      </c>
      <c r="E128" s="173">
        <v>2.8525463395037982E-7</v>
      </c>
      <c r="M128" s="86">
        <v>2.3354032</v>
      </c>
      <c r="N128" s="94">
        <v>7.3011613748330992</v>
      </c>
      <c r="O128" s="86">
        <v>1.9067266</v>
      </c>
      <c r="P128" s="94">
        <v>8.3852767080404007</v>
      </c>
      <c r="Q128" s="86">
        <v>2.1043023999999999</v>
      </c>
      <c r="R128" s="94">
        <v>7.8596481599360004</v>
      </c>
    </row>
    <row r="129" spans="2:18">
      <c r="B129" s="172">
        <v>2.3592105000000001</v>
      </c>
      <c r="C129" s="54">
        <v>0.26018324290367928</v>
      </c>
      <c r="D129" s="54">
        <v>0.73981645680905983</v>
      </c>
      <c r="E129" s="173">
        <v>3.0028726098285496E-7</v>
      </c>
      <c r="M129" s="86">
        <v>2.3471440000000001</v>
      </c>
      <c r="N129" s="94">
        <v>7.2380040646741994</v>
      </c>
      <c r="O129" s="86">
        <v>1.9214199000000001</v>
      </c>
      <c r="P129" s="94">
        <v>8.3216961099352016</v>
      </c>
      <c r="Q129" s="86">
        <v>2.1230492999999999</v>
      </c>
      <c r="R129" s="94">
        <v>7.8156350185650005</v>
      </c>
    </row>
    <row r="130" spans="2:18">
      <c r="B130" s="172">
        <v>2.3716219999999999</v>
      </c>
      <c r="C130" s="54">
        <v>0.26450524253272462</v>
      </c>
      <c r="D130" s="54">
        <v>0.73549444188037738</v>
      </c>
      <c r="E130" s="173">
        <v>3.1558689791059012E-7</v>
      </c>
      <c r="M130" s="86">
        <v>2.3592105000000001</v>
      </c>
      <c r="N130" s="94">
        <v>7.1748471545151995</v>
      </c>
      <c r="O130" s="86">
        <v>1.9354141</v>
      </c>
      <c r="P130" s="94">
        <v>8.2593576280888001</v>
      </c>
      <c r="Q130" s="86">
        <v>2.1426419999999999</v>
      </c>
      <c r="R130" s="94">
        <v>7.77162177719</v>
      </c>
    </row>
    <row r="131" spans="2:18">
      <c r="B131" s="172">
        <v>2.3843990000000002</v>
      </c>
      <c r="C131" s="54">
        <v>0.26890470553294027</v>
      </c>
      <c r="D131" s="54">
        <v>0.73109496330635027</v>
      </c>
      <c r="E131" s="173">
        <v>3.3116070942353981E-7</v>
      </c>
      <c r="M131" s="86">
        <v>2.3716219999999999</v>
      </c>
      <c r="N131" s="94">
        <v>7.1116900443561999</v>
      </c>
      <c r="O131" s="86">
        <v>1.9465319999999999</v>
      </c>
      <c r="P131" s="94">
        <v>8.2003481897842008</v>
      </c>
      <c r="Q131" s="86">
        <v>2.1631605999999999</v>
      </c>
      <c r="R131" s="94">
        <v>7.7276081358200006</v>
      </c>
    </row>
    <row r="132" spans="2:18">
      <c r="B132" s="172">
        <v>2.3975632</v>
      </c>
      <c r="C132" s="54">
        <v>0.27338371202446898</v>
      </c>
      <c r="D132" s="54">
        <v>0.72661594095934667</v>
      </c>
      <c r="E132" s="173">
        <v>3.4701618443443417E-7</v>
      </c>
      <c r="M132" s="86">
        <v>2.3843990000000002</v>
      </c>
      <c r="N132" s="94">
        <v>7.0485330341971997</v>
      </c>
      <c r="O132" s="86">
        <v>1.9579419</v>
      </c>
      <c r="P132" s="94">
        <v>8.1413385514796985</v>
      </c>
      <c r="Q132" s="86">
        <v>2.1846966999999999</v>
      </c>
      <c r="R132" s="94">
        <v>7.6835947944500003</v>
      </c>
    </row>
    <row r="133" spans="2:18">
      <c r="B133" s="172">
        <v>2.4111387999999998</v>
      </c>
      <c r="C133" s="54">
        <v>0.27794444824027964</v>
      </c>
      <c r="D133" s="54">
        <v>0.72205518859880014</v>
      </c>
      <c r="E133" s="173">
        <v>3.6316092026665495E-7</v>
      </c>
      <c r="M133" s="86">
        <v>2.3975632</v>
      </c>
      <c r="N133" s="94">
        <v>6.9853759240384994</v>
      </c>
      <c r="O133" s="86">
        <v>1.9696598000000001</v>
      </c>
      <c r="P133" s="94">
        <v>8.0823289131750009</v>
      </c>
      <c r="Q133" s="86">
        <v>2.207357</v>
      </c>
      <c r="R133" s="94">
        <v>7.6395815530800002</v>
      </c>
    </row>
    <row r="134" spans="2:18">
      <c r="B134" s="172">
        <v>2.4251524999999998</v>
      </c>
      <c r="C134" s="54">
        <v>0.28258918719009452</v>
      </c>
      <c r="D134" s="54">
        <v>0.71741043320689635</v>
      </c>
      <c r="E134" s="173">
        <v>3.7960300905696561E-7</v>
      </c>
      <c r="M134" s="86">
        <v>2.4111387999999998</v>
      </c>
      <c r="N134" s="94">
        <v>6.9222192138795</v>
      </c>
      <c r="O134" s="86">
        <v>1.9817026</v>
      </c>
      <c r="P134" s="94">
        <v>8.0233187748704999</v>
      </c>
      <c r="Q134" s="86">
        <v>2.2312647999999999</v>
      </c>
      <c r="R134" s="94">
        <v>7.5955676117060005</v>
      </c>
    </row>
    <row r="135" spans="2:18">
      <c r="B135" s="172">
        <v>2.4396336000000001</v>
      </c>
      <c r="C135" s="54">
        <v>0.28732024257517702</v>
      </c>
      <c r="D135" s="54">
        <v>0.71267936107414365</v>
      </c>
      <c r="E135" s="173">
        <v>3.9635067925711087E-7</v>
      </c>
      <c r="M135" s="86">
        <v>2.4251524999999998</v>
      </c>
      <c r="N135" s="94">
        <v>6.8590618037205004</v>
      </c>
      <c r="O135" s="86">
        <v>1.9940888999999999</v>
      </c>
      <c r="P135" s="94">
        <v>7.9643091365660004</v>
      </c>
      <c r="Q135" s="86">
        <v>2.2565659999999998</v>
      </c>
      <c r="R135" s="94">
        <v>7.5515540703359996</v>
      </c>
    </row>
    <row r="136" spans="2:18">
      <c r="B136" s="172">
        <v>2.4546142</v>
      </c>
      <c r="C136" s="54">
        <v>0.29214005134615983</v>
      </c>
      <c r="D136" s="54">
        <v>0.70785953524128942</v>
      </c>
      <c r="E136" s="173">
        <v>4.1341255074140061E-7</v>
      </c>
      <c r="M136" s="86">
        <v>2.4396336000000001</v>
      </c>
      <c r="N136" s="94">
        <v>6.7959050935616006</v>
      </c>
      <c r="O136" s="86">
        <v>2.0068388000000001</v>
      </c>
      <c r="P136" s="94">
        <v>7.9052993982619997</v>
      </c>
      <c r="Q136" s="86">
        <v>2.2806422999999998</v>
      </c>
      <c r="R136" s="94">
        <v>7.5086179622099998</v>
      </c>
    </row>
    <row r="137" spans="2:18">
      <c r="B137" s="172">
        <v>2.4701301999999998</v>
      </c>
      <c r="C137" s="54">
        <v>0.29705116969661555</v>
      </c>
      <c r="D137" s="54">
        <v>0.702948399505812</v>
      </c>
      <c r="E137" s="173">
        <v>4.30797572373867E-7</v>
      </c>
      <c r="M137" s="86">
        <v>2.4546142</v>
      </c>
      <c r="N137" s="94">
        <v>6.7327481834025997</v>
      </c>
      <c r="O137" s="86">
        <v>2.0199745</v>
      </c>
      <c r="P137" s="94">
        <v>7.8462898599572002</v>
      </c>
      <c r="Q137" s="86">
        <v>2.3037271000000001</v>
      </c>
      <c r="R137" s="94">
        <v>7.4665637170419998</v>
      </c>
    </row>
    <row r="138" spans="2:18">
      <c r="B138" s="172">
        <v>2.4862207999999999</v>
      </c>
      <c r="C138" s="54">
        <v>0.30205614877111064</v>
      </c>
      <c r="D138" s="54">
        <v>0.69794340271390887</v>
      </c>
      <c r="E138" s="173">
        <v>4.4851498048071173E-7</v>
      </c>
      <c r="M138" s="86">
        <v>2.4701301999999998</v>
      </c>
      <c r="N138" s="94">
        <v>6.6695909732436007</v>
      </c>
      <c r="O138" s="86">
        <v>2.0335196999999998</v>
      </c>
      <c r="P138" s="94">
        <v>7.7872803216526991</v>
      </c>
      <c r="Q138" s="86">
        <v>2.3281082999999998</v>
      </c>
      <c r="R138" s="94">
        <v>7.4245088718760002</v>
      </c>
    </row>
    <row r="139" spans="2:18">
      <c r="B139" s="172">
        <v>2.5029309</v>
      </c>
      <c r="C139" s="54">
        <v>0.3071577706233164</v>
      </c>
      <c r="D139" s="54">
        <v>0.69284176280225684</v>
      </c>
      <c r="E139" s="173">
        <v>4.6657442674039265E-7</v>
      </c>
      <c r="M139" s="86">
        <v>2.4862207999999999</v>
      </c>
      <c r="N139" s="94">
        <v>6.6064339630845996</v>
      </c>
      <c r="O139" s="86">
        <v>2.0475013</v>
      </c>
      <c r="P139" s="94">
        <v>7.7282702833479995</v>
      </c>
      <c r="Q139" s="86">
        <v>2.3539400000000001</v>
      </c>
      <c r="R139" s="94">
        <v>7.3824539267060008</v>
      </c>
    </row>
    <row r="140" spans="2:18">
      <c r="B140" s="172">
        <v>2.5203096999999999</v>
      </c>
      <c r="C140" s="54">
        <v>0.31235883735381609</v>
      </c>
      <c r="D140" s="54">
        <v>0.68764067766029213</v>
      </c>
      <c r="E140" s="173">
        <v>4.8498589165878599E-7</v>
      </c>
      <c r="M140" s="86">
        <v>2.5029309</v>
      </c>
      <c r="N140" s="94">
        <v>6.5432767529256006</v>
      </c>
      <c r="O140" s="86">
        <v>2.0619478</v>
      </c>
      <c r="P140" s="94">
        <v>7.6692605450435005</v>
      </c>
      <c r="Q140" s="86">
        <v>2.3814060000000001</v>
      </c>
      <c r="R140" s="94">
        <v>7.3403991815399996</v>
      </c>
    </row>
    <row r="141" spans="2:18">
      <c r="B141" s="172">
        <v>2.5384129999999998</v>
      </c>
      <c r="C141" s="54">
        <v>0.31766228303119043</v>
      </c>
      <c r="D141" s="54">
        <v>0.68233721320902718</v>
      </c>
      <c r="E141" s="173">
        <v>5.037597824823777E-7</v>
      </c>
      <c r="M141" s="86">
        <v>2.5203096999999999</v>
      </c>
      <c r="N141" s="94">
        <v>6.4801198427667002</v>
      </c>
      <c r="O141" s="86">
        <v>2.0768917</v>
      </c>
      <c r="P141" s="94">
        <v>7.6102509067390001</v>
      </c>
      <c r="Q141" s="86">
        <v>2.4107270000000001</v>
      </c>
      <c r="R141" s="94">
        <v>7.2983440363699996</v>
      </c>
    </row>
    <row r="142" spans="2:18">
      <c r="B142" s="172">
        <v>2.5573039999999998</v>
      </c>
      <c r="C142" s="54">
        <v>0.32307115168073014</v>
      </c>
      <c r="D142" s="54">
        <v>0.67692832541238579</v>
      </c>
      <c r="E142" s="173">
        <v>5.2290688406667969E-7</v>
      </c>
      <c r="M142" s="86">
        <v>2.5384129999999998</v>
      </c>
      <c r="N142" s="94">
        <v>6.4169626326076994</v>
      </c>
      <c r="O142" s="86">
        <v>2.092368</v>
      </c>
      <c r="P142" s="94">
        <v>7.5512411684343999</v>
      </c>
      <c r="Q142" s="86">
        <v>2.4421718000000001</v>
      </c>
      <c r="R142" s="94">
        <v>7.2562893912100002</v>
      </c>
    </row>
    <row r="143" spans="2:18">
      <c r="B143" s="172">
        <v>2.5719069999999999</v>
      </c>
      <c r="C143" s="54">
        <v>0.32845655236931431</v>
      </c>
      <c r="D143" s="54">
        <v>0.67154289964284997</v>
      </c>
      <c r="E143" s="173">
        <v>5.4798783570074676E-7</v>
      </c>
      <c r="M143" s="86">
        <v>2.5573039999999998</v>
      </c>
      <c r="N143" s="94">
        <v>6.3538056224487001</v>
      </c>
      <c r="O143" s="86">
        <v>2.1084160000000001</v>
      </c>
      <c r="P143" s="94">
        <v>7.4922311301299995</v>
      </c>
      <c r="Q143" s="86">
        <v>2.4760722999999998</v>
      </c>
      <c r="R143" s="94">
        <v>7.2142345460400001</v>
      </c>
    </row>
    <row r="144" spans="2:18">
      <c r="B144" s="172">
        <v>2.5844855</v>
      </c>
      <c r="C144" s="54">
        <v>0.33387894079909863</v>
      </c>
      <c r="D144" s="54">
        <v>0.66612048297861159</v>
      </c>
      <c r="E144" s="173">
        <v>5.7622228991794575E-7</v>
      </c>
      <c r="M144" s="86">
        <v>2.5719069999999999</v>
      </c>
      <c r="N144" s="94">
        <v>6.2944696492927994</v>
      </c>
      <c r="O144" s="86">
        <v>2.1250800000000001</v>
      </c>
      <c r="P144" s="94">
        <v>7.4332214918249999</v>
      </c>
      <c r="Q144" s="86">
        <v>2.5090906999999998</v>
      </c>
      <c r="R144" s="94">
        <v>7.1732546645599999</v>
      </c>
    </row>
    <row r="145" spans="2:18">
      <c r="B145" s="172">
        <v>2.5974390000000001</v>
      </c>
      <c r="C145" s="54">
        <v>0.33940225751119868</v>
      </c>
      <c r="D145" s="54">
        <v>0.66059713750653659</v>
      </c>
      <c r="E145" s="173">
        <v>6.0498226483650694E-7</v>
      </c>
      <c r="M145" s="86">
        <v>2.5844855</v>
      </c>
      <c r="N145" s="94">
        <v>6.2369662938789991</v>
      </c>
      <c r="O145" s="86">
        <v>2.1424093000000002</v>
      </c>
      <c r="P145" s="94">
        <v>7.3742118535205998</v>
      </c>
      <c r="Q145" s="86">
        <v>2.5430899999999999</v>
      </c>
      <c r="R145" s="94">
        <v>7.1327356141599996</v>
      </c>
    </row>
    <row r="146" spans="2:18">
      <c r="B146" s="172">
        <v>2.6107912</v>
      </c>
      <c r="C146" s="54">
        <v>0.34502934083068898</v>
      </c>
      <c r="D146" s="54">
        <v>0.6549700248867999</v>
      </c>
      <c r="E146" s="173">
        <v>6.3428251118499537E-7</v>
      </c>
      <c r="M146" s="86">
        <v>2.5974390000000001</v>
      </c>
      <c r="N146" s="94">
        <v>6.1794621384649995</v>
      </c>
      <c r="O146" s="86">
        <v>2.1604587999999998</v>
      </c>
      <c r="P146" s="94">
        <v>7.3152018152164997</v>
      </c>
      <c r="Q146" s="86">
        <v>2.5799786999999998</v>
      </c>
      <c r="R146" s="94">
        <v>7.0922165837740003</v>
      </c>
    </row>
    <row r="147" spans="2:18">
      <c r="B147" s="172">
        <v>2.6245666000000001</v>
      </c>
      <c r="C147" s="54">
        <v>0.35076312144906929</v>
      </c>
      <c r="D147" s="54">
        <v>0.64923621441250223</v>
      </c>
      <c r="E147" s="173">
        <v>6.6413842855033497E-7</v>
      </c>
      <c r="M147" s="86">
        <v>2.6107912</v>
      </c>
      <c r="N147" s="94">
        <v>6.1219584830512002</v>
      </c>
      <c r="O147" s="86">
        <v>2.1780225999999998</v>
      </c>
      <c r="P147" s="94">
        <v>7.2571442870487006</v>
      </c>
      <c r="Q147" s="86">
        <v>2.6202939999999999</v>
      </c>
      <c r="R147" s="94">
        <v>7.0516980333800001</v>
      </c>
    </row>
    <row r="148" spans="2:18">
      <c r="B148" s="172">
        <v>2.6387934999999998</v>
      </c>
      <c r="C148" s="54">
        <v>0.35660670017860058</v>
      </c>
      <c r="D148" s="54">
        <v>0.64339260525544584</v>
      </c>
      <c r="E148" s="173">
        <v>6.9456595364867746E-7</v>
      </c>
      <c r="M148" s="86">
        <v>2.6245666000000001</v>
      </c>
      <c r="N148" s="94">
        <v>6.0644545276372996</v>
      </c>
      <c r="O148" s="86">
        <v>2.1900594</v>
      </c>
      <c r="P148" s="94">
        <v>7.2036366073291989</v>
      </c>
      <c r="Q148" s="86">
        <v>2.6616843000000001</v>
      </c>
      <c r="R148" s="94">
        <v>7.0120355813140005</v>
      </c>
    </row>
    <row r="149" spans="2:18">
      <c r="B149" s="172">
        <v>2.6535022000000001</v>
      </c>
      <c r="C149" s="54">
        <v>0.36256321472596403</v>
      </c>
      <c r="D149" s="54">
        <v>0.63743605969235417</v>
      </c>
      <c r="E149" s="173">
        <v>7.2558168185402078E-7</v>
      </c>
      <c r="M149" s="86">
        <v>2.6387934999999998</v>
      </c>
      <c r="N149" s="94">
        <v>6.0069510722236998</v>
      </c>
      <c r="O149" s="86">
        <v>2.2024395000000001</v>
      </c>
      <c r="P149" s="94">
        <v>7.1501288276100006</v>
      </c>
      <c r="Q149" s="86">
        <v>2.7064555000000001</v>
      </c>
      <c r="R149" s="94">
        <v>6.9726229429900002</v>
      </c>
    </row>
    <row r="150" spans="2:18">
      <c r="B150" s="172">
        <v>2.6687264000000002</v>
      </c>
      <c r="C150" s="54">
        <v>0.36863601137630331</v>
      </c>
      <c r="D150" s="54">
        <v>0.63136323142094952</v>
      </c>
      <c r="E150" s="173">
        <v>7.5720274726863167E-7</v>
      </c>
      <c r="M150" s="86">
        <v>2.6535022000000001</v>
      </c>
      <c r="N150" s="94">
        <v>5.9494469168096993</v>
      </c>
      <c r="O150" s="86">
        <v>2.2151828</v>
      </c>
      <c r="P150" s="94">
        <v>7.0966211478907004</v>
      </c>
      <c r="Q150" s="86">
        <v>2.7563784</v>
      </c>
      <c r="R150" s="94">
        <v>6.93320960467</v>
      </c>
    </row>
    <row r="151" spans="2:18">
      <c r="B151" s="172">
        <v>2.684504</v>
      </c>
      <c r="C151" s="54">
        <v>0.37482851141460166</v>
      </c>
      <c r="D151" s="54">
        <v>0.62517069913819379</v>
      </c>
      <c r="E151" s="173">
        <v>7.8944720451161154E-7</v>
      </c>
      <c r="M151" s="86">
        <v>2.6687264000000002</v>
      </c>
      <c r="N151" s="94">
        <v>5.8919433613956995</v>
      </c>
      <c r="O151" s="86">
        <v>2.2283110000000002</v>
      </c>
      <c r="P151" s="94">
        <v>7.0431132681713002</v>
      </c>
      <c r="Q151" s="86">
        <v>2.8127944</v>
      </c>
      <c r="R151" s="94">
        <v>6.8937970663400003</v>
      </c>
    </row>
    <row r="152" spans="2:18">
      <c r="B152" s="172">
        <v>2.7008765000000001</v>
      </c>
      <c r="C152" s="54">
        <v>0.38114428772538816</v>
      </c>
      <c r="D152" s="54">
        <v>0.6188548899410905</v>
      </c>
      <c r="E152" s="173">
        <v>8.2233352124429658E-7</v>
      </c>
      <c r="M152" s="86">
        <v>2.684504</v>
      </c>
      <c r="N152" s="94">
        <v>5.8344393059818005</v>
      </c>
      <c r="O152" s="86">
        <v>2.2418490000000002</v>
      </c>
      <c r="P152" s="94">
        <v>6.9896057884523</v>
      </c>
      <c r="Q152" s="86">
        <v>2.874234</v>
      </c>
      <c r="R152" s="94">
        <v>6.8551517191000011</v>
      </c>
    </row>
    <row r="153" spans="2:18">
      <c r="B153" s="172">
        <v>2.7178903000000001</v>
      </c>
      <c r="C153" s="54">
        <v>0.3875870747574745</v>
      </c>
      <c r="D153" s="54">
        <v>0.61241206936130144</v>
      </c>
      <c r="E153" s="173">
        <v>8.5588122402920369E-7</v>
      </c>
      <c r="M153" s="86">
        <v>2.7008765000000001</v>
      </c>
      <c r="N153" s="94">
        <v>5.7769358505680009</v>
      </c>
      <c r="O153" s="86">
        <v>2.2558221999999999</v>
      </c>
      <c r="P153" s="94">
        <v>6.9360979087329993</v>
      </c>
      <c r="Q153" s="86">
        <v>2.9451100000000001</v>
      </c>
      <c r="R153" s="94">
        <v>6.8166428673200006</v>
      </c>
    </row>
    <row r="154" spans="2:18">
      <c r="B154" s="172">
        <v>2.7355977999999999</v>
      </c>
      <c r="C154" s="54">
        <v>0.39416073884232494</v>
      </c>
      <c r="D154" s="54">
        <v>0.60583837104740623</v>
      </c>
      <c r="E154" s="173">
        <v>8.9011026873493739E-7</v>
      </c>
      <c r="M154" s="86">
        <v>2.7178903000000001</v>
      </c>
      <c r="N154" s="94">
        <v>5.7194316951542001</v>
      </c>
      <c r="O154" s="86">
        <v>2.2702599999999999</v>
      </c>
      <c r="P154" s="94">
        <v>6.8825904290130007</v>
      </c>
      <c r="Q154" s="86">
        <v>3.0268438</v>
      </c>
      <c r="R154" s="94">
        <v>6.7787350367799997</v>
      </c>
    </row>
    <row r="155" spans="2:18">
      <c r="B155" s="172">
        <v>2.7540583999999999</v>
      </c>
      <c r="C155" s="54">
        <v>0.40086926437205522</v>
      </c>
      <c r="D155" s="54">
        <v>0.59912981058613313</v>
      </c>
      <c r="E155" s="173">
        <v>9.2504181152070142E-7</v>
      </c>
      <c r="M155" s="86">
        <v>2.7355977999999999</v>
      </c>
      <c r="N155" s="94">
        <v>5.6619279397402007</v>
      </c>
      <c r="O155" s="86">
        <v>2.2851946000000001</v>
      </c>
      <c r="P155" s="94">
        <v>6.8290826492939996</v>
      </c>
      <c r="Q155" s="86">
        <v>3.1271284000000001</v>
      </c>
      <c r="R155" s="94">
        <v>6.7409037579399991</v>
      </c>
    </row>
    <row r="156" spans="2:18">
      <c r="B156" s="172">
        <v>2.7733386000000002</v>
      </c>
      <c r="C156" s="54">
        <v>0.40771692504970775</v>
      </c>
      <c r="D156" s="54">
        <v>0.59228211425275468</v>
      </c>
      <c r="E156" s="173">
        <v>9.6069753737468336E-7</v>
      </c>
      <c r="M156" s="86">
        <v>2.7540583999999999</v>
      </c>
      <c r="N156" s="94">
        <v>5.6044241843267004</v>
      </c>
      <c r="O156" s="86">
        <v>2.3006609999999998</v>
      </c>
      <c r="P156" s="94">
        <v>6.775574769574999</v>
      </c>
      <c r="Q156" s="86">
        <v>3.2545101999999999</v>
      </c>
      <c r="R156" s="94">
        <v>6.7036210566600003</v>
      </c>
    </row>
    <row r="157" spans="2:18">
      <c r="B157" s="172">
        <v>2.7935145000000001</v>
      </c>
      <c r="C157" s="54">
        <v>0.41470800576336314</v>
      </c>
      <c r="D157" s="54">
        <v>0.58529099713637556</v>
      </c>
      <c r="E157" s="173">
        <v>9.9710026133277145E-7</v>
      </c>
      <c r="M157" s="86">
        <v>2.7733386000000002</v>
      </c>
      <c r="N157" s="94">
        <v>5.5469203289127007</v>
      </c>
      <c r="O157" s="86">
        <v>2.3166986000000001</v>
      </c>
      <c r="P157" s="94">
        <v>6.722067089856</v>
      </c>
      <c r="Q157" s="86">
        <v>3.4319033999999999</v>
      </c>
      <c r="R157" s="94">
        <v>6.6668815751699997</v>
      </c>
    </row>
    <row r="158" spans="2:18">
      <c r="B158" s="172">
        <v>2.8146737000000002</v>
      </c>
      <c r="C158" s="54">
        <v>0.42184715302980913</v>
      </c>
      <c r="D158" s="54">
        <v>0.57815181269643046</v>
      </c>
      <c r="E158" s="173">
        <v>1.0342737604086323E-6</v>
      </c>
      <c r="M158" s="86">
        <v>2.7935145000000001</v>
      </c>
      <c r="N158" s="94">
        <v>5.4894165734986995</v>
      </c>
      <c r="O158" s="86">
        <v>2.3333510999999998</v>
      </c>
      <c r="P158" s="94">
        <v>6.6685593101359997</v>
      </c>
      <c r="Q158" s="86">
        <v>3.7285593000000001</v>
      </c>
      <c r="R158" s="94">
        <v>6.6313073559999998</v>
      </c>
    </row>
    <row r="159" spans="2:18">
      <c r="B159" s="172">
        <v>2.832087</v>
      </c>
      <c r="C159" s="54">
        <v>0.42898639676651151</v>
      </c>
      <c r="D159" s="54">
        <v>0.57101251269419773</v>
      </c>
      <c r="E159" s="173">
        <v>1.0905392909471181E-6</v>
      </c>
      <c r="M159" s="86">
        <v>2.8146737000000002</v>
      </c>
      <c r="N159" s="94">
        <v>5.4319129180850005</v>
      </c>
      <c r="O159" s="86">
        <v>2.3506680000000002</v>
      </c>
      <c r="P159" s="94">
        <v>6.6150515304170003</v>
      </c>
      <c r="Q159" s="86">
        <v>4.6062006999999996</v>
      </c>
      <c r="R159" s="94">
        <v>6.6078194080000001</v>
      </c>
    </row>
    <row r="160" spans="2:18">
      <c r="B160" s="172">
        <v>2.8475838000000002</v>
      </c>
      <c r="C160" s="54">
        <v>0.43618925904864586</v>
      </c>
      <c r="D160" s="54">
        <v>0.5638095832189266</v>
      </c>
      <c r="E160" s="173">
        <v>1.1577324274441175E-6</v>
      </c>
      <c r="M160" s="86">
        <v>2.832087</v>
      </c>
      <c r="N160" s="94">
        <v>5.3770758639124994</v>
      </c>
      <c r="O160" s="86">
        <v>2.3687038</v>
      </c>
      <c r="P160" s="94">
        <v>6.561543750697</v>
      </c>
      <c r="Q160" s="86">
        <v>4.6094160000000004</v>
      </c>
      <c r="R160" s="94">
        <v>6.607780517000001</v>
      </c>
    </row>
    <row r="161" spans="2:18">
      <c r="B161" s="172">
        <v>2.8636537</v>
      </c>
      <c r="C161" s="54">
        <v>0.44353808767640968</v>
      </c>
      <c r="D161" s="54">
        <v>0.55646068603574916</v>
      </c>
      <c r="E161" s="173">
        <v>1.2262878412745946E-6</v>
      </c>
      <c r="M161" s="86">
        <v>2.8475838000000002</v>
      </c>
      <c r="N161" s="94">
        <v>5.3236512633637005</v>
      </c>
      <c r="O161" s="86">
        <v>2.3875213</v>
      </c>
      <c r="P161" s="94">
        <v>6.5080358709789996</v>
      </c>
      <c r="Q161" s="86">
        <v>5.4924134999999996</v>
      </c>
      <c r="R161" s="94">
        <v>6.5925568349999999</v>
      </c>
    </row>
    <row r="162" spans="2:18">
      <c r="B162" s="172">
        <v>2.8803413</v>
      </c>
      <c r="C162" s="54">
        <v>0.4510374922224244</v>
      </c>
      <c r="D162" s="54">
        <v>0.54896121153039179</v>
      </c>
      <c r="E162" s="173">
        <v>1.2962471837707561E-6</v>
      </c>
      <c r="M162" s="86">
        <v>2.8636537</v>
      </c>
      <c r="N162" s="94">
        <v>5.2702267628149997</v>
      </c>
      <c r="O162" s="86">
        <v>2.4071913</v>
      </c>
      <c r="P162" s="94">
        <v>6.4545281912589996</v>
      </c>
      <c r="Q162" s="86">
        <v>5.7969679999999997</v>
      </c>
      <c r="R162" s="94">
        <v>6.5898062328999991</v>
      </c>
    </row>
    <row r="163" spans="2:18">
      <c r="B163" s="172">
        <v>2.8976958000000002</v>
      </c>
      <c r="C163" s="54">
        <v>0.45869203521986857</v>
      </c>
      <c r="D163" s="54">
        <v>0.54130659712570284</v>
      </c>
      <c r="E163" s="173">
        <v>1.3676544287719989E-6</v>
      </c>
      <c r="M163" s="86">
        <v>2.8803413</v>
      </c>
      <c r="N163" s="94">
        <v>5.2168024622655</v>
      </c>
      <c r="O163" s="86">
        <v>2.4277945000000001</v>
      </c>
      <c r="P163" s="94">
        <v>6.4010204115400002</v>
      </c>
      <c r="Q163" s="86">
        <v>5.9798169999999997</v>
      </c>
      <c r="R163" s="94">
        <v>6.5881954231000002</v>
      </c>
    </row>
    <row r="164" spans="2:18">
      <c r="B164" s="172">
        <v>2.9157730000000002</v>
      </c>
      <c r="C164" s="54">
        <v>0.46650668440841897</v>
      </c>
      <c r="D164" s="54">
        <v>0.53349187503680884</v>
      </c>
      <c r="E164" s="173">
        <v>1.4405547721707314E-6</v>
      </c>
      <c r="M164" s="86">
        <v>2.8976958000000002</v>
      </c>
      <c r="N164" s="94">
        <v>5.1633778617165991</v>
      </c>
      <c r="O164" s="86">
        <v>2.4488818999999999</v>
      </c>
      <c r="P164" s="94">
        <v>6.3478126668449999</v>
      </c>
      <c r="Q164" s="86">
        <v>6.1155486000000003</v>
      </c>
      <c r="R164" s="94">
        <v>6.58721719446</v>
      </c>
    </row>
    <row r="165" spans="2:18">
      <c r="B165" s="172">
        <v>2.9346352000000002</v>
      </c>
      <c r="C165" s="54">
        <v>0.47448645578596182</v>
      </c>
      <c r="D165" s="54">
        <v>0.52551202921872076</v>
      </c>
      <c r="E165" s="173">
        <v>1.5149953172748501E-6</v>
      </c>
      <c r="M165" s="86">
        <v>2.9157730000000002</v>
      </c>
      <c r="N165" s="94">
        <v>5.1099533611677002</v>
      </c>
      <c r="O165" s="86">
        <v>2.4639861999999999</v>
      </c>
      <c r="P165" s="94">
        <v>6.2983438593340004</v>
      </c>
      <c r="Q165" s="86">
        <v>6.2183109999999999</v>
      </c>
      <c r="R165" s="94">
        <v>6.5868473241500007</v>
      </c>
    </row>
    <row r="166" spans="2:18">
      <c r="B166" s="172">
        <v>2.9543539999999999</v>
      </c>
      <c r="C166" s="54">
        <v>0.4826366147802672</v>
      </c>
      <c r="D166" s="54">
        <v>0.51736179419368822</v>
      </c>
      <c r="E166" s="173">
        <v>1.5910260446349792E-6</v>
      </c>
      <c r="M166" s="86">
        <v>2.9346352000000002</v>
      </c>
      <c r="N166" s="94">
        <v>5.056529160618001</v>
      </c>
      <c r="O166" s="86">
        <v>2.4796345</v>
      </c>
      <c r="P166" s="94">
        <v>6.2488746518239999</v>
      </c>
      <c r="Q166" s="86">
        <v>6.3084707</v>
      </c>
      <c r="R166" s="94">
        <v>6.5869521499200001</v>
      </c>
    </row>
    <row r="167" spans="2:18">
      <c r="B167" s="172">
        <v>2.9750109</v>
      </c>
      <c r="C167" s="54">
        <v>0.4909627531221577</v>
      </c>
      <c r="D167" s="54">
        <v>0.50903557817985234</v>
      </c>
      <c r="E167" s="173">
        <v>1.668697990081627E-6</v>
      </c>
      <c r="M167" s="86">
        <v>2.9543539999999999</v>
      </c>
      <c r="N167" s="94">
        <v>5.0031044600695003</v>
      </c>
      <c r="O167" s="86">
        <v>2.4958680000000002</v>
      </c>
      <c r="P167" s="94">
        <v>6.1994060443130001</v>
      </c>
      <c r="Q167" s="86">
        <v>6.385993</v>
      </c>
      <c r="R167" s="94">
        <v>6.5875663861099989</v>
      </c>
    </row>
    <row r="168" spans="2:18">
      <c r="B168" s="172">
        <v>2.9943252</v>
      </c>
      <c r="C168" s="54">
        <v>0.49938452518928311</v>
      </c>
      <c r="D168" s="54">
        <v>0.50061371762093143</v>
      </c>
      <c r="E168" s="173">
        <v>1.757189785404347E-6</v>
      </c>
      <c r="M168" s="86">
        <v>2.9750109</v>
      </c>
      <c r="N168" s="94">
        <v>4.9496799595209993</v>
      </c>
      <c r="O168" s="86">
        <v>2.5127320000000002</v>
      </c>
      <c r="P168" s="94">
        <v>6.1499372368019998</v>
      </c>
      <c r="Q168" s="86">
        <v>6.4542865999999997</v>
      </c>
      <c r="R168" s="94">
        <v>6.5886862641500006</v>
      </c>
    </row>
    <row r="169" spans="2:18">
      <c r="B169" s="172">
        <v>3.0111309999999998</v>
      </c>
      <c r="C169" s="54">
        <v>0.50786511692829173</v>
      </c>
      <c r="D169" s="54">
        <v>0.49213302279980486</v>
      </c>
      <c r="E169" s="173">
        <v>1.8602719034309477E-6</v>
      </c>
      <c r="M169" s="86">
        <v>2.9943252</v>
      </c>
      <c r="N169" s="94">
        <v>4.8974431057370005</v>
      </c>
      <c r="O169" s="86">
        <v>2.5302772999999998</v>
      </c>
      <c r="P169" s="94">
        <v>6.1004688292899996</v>
      </c>
      <c r="Q169" s="86">
        <v>6.5135699999999996</v>
      </c>
      <c r="R169" s="94">
        <v>6.5904078483399999</v>
      </c>
    </row>
    <row r="170" spans="2:18">
      <c r="B170" s="172">
        <v>3.0286133</v>
      </c>
      <c r="C170" s="54">
        <v>0.51652464532983455</v>
      </c>
      <c r="D170" s="54">
        <v>0.48347338914123145</v>
      </c>
      <c r="E170" s="173">
        <v>1.9655289340916454E-6</v>
      </c>
      <c r="M170" s="86">
        <v>3.0111309999999998</v>
      </c>
      <c r="N170" s="94">
        <v>4.8468436164469999</v>
      </c>
      <c r="O170" s="86">
        <v>2.5485612999999998</v>
      </c>
      <c r="P170" s="94">
        <v>6.050999921779999</v>
      </c>
      <c r="Q170" s="86">
        <v>6.5661936000000001</v>
      </c>
      <c r="R170" s="94">
        <v>6.5926679749799995</v>
      </c>
    </row>
    <row r="171" spans="2:18">
      <c r="B171" s="172">
        <v>3.0468289999999998</v>
      </c>
      <c r="C171" s="54">
        <v>0.52536886611666456</v>
      </c>
      <c r="D171" s="54">
        <v>0.47462906085256124</v>
      </c>
      <c r="E171" s="173">
        <v>2.0730307742786386E-6</v>
      </c>
      <c r="M171" s="86">
        <v>3.0286133</v>
      </c>
      <c r="N171" s="94">
        <v>4.7962443271569999</v>
      </c>
      <c r="O171" s="86">
        <v>2.5676489999999998</v>
      </c>
      <c r="P171" s="94">
        <v>6.0015311142689995</v>
      </c>
      <c r="Q171" s="86">
        <v>6.6221743000000002</v>
      </c>
      <c r="R171" s="94">
        <v>6.59512878493</v>
      </c>
    </row>
    <row r="172" spans="2:18">
      <c r="B172" s="172">
        <v>3.0658422000000001</v>
      </c>
      <c r="C172" s="54">
        <v>0.5344036972677414</v>
      </c>
      <c r="D172" s="54">
        <v>0.46559411988293498</v>
      </c>
      <c r="E172" s="173">
        <v>2.1828493236037282E-6</v>
      </c>
      <c r="M172" s="86">
        <v>3.0468289999999998</v>
      </c>
      <c r="N172" s="94">
        <v>4.7456449378679997</v>
      </c>
      <c r="O172" s="86">
        <v>2.5876142999999998</v>
      </c>
      <c r="P172" s="94">
        <v>5.9520624067570003</v>
      </c>
      <c r="Q172" s="86">
        <v>6.6664070000000004</v>
      </c>
      <c r="R172" s="94">
        <v>6.5985035695549996</v>
      </c>
    </row>
    <row r="173" spans="2:18">
      <c r="B173" s="172">
        <v>3.0857263000000001</v>
      </c>
      <c r="C173" s="54">
        <v>0.54363538035945425</v>
      </c>
      <c r="D173" s="54">
        <v>0.45636232457933423</v>
      </c>
      <c r="E173" s="173">
        <v>2.2950612115913097E-6</v>
      </c>
      <c r="M173" s="86">
        <v>3.0658422000000001</v>
      </c>
      <c r="N173" s="94">
        <v>4.6950455485770002</v>
      </c>
      <c r="O173" s="86">
        <v>2.6085422</v>
      </c>
      <c r="P173" s="94">
        <v>5.902593599247</v>
      </c>
      <c r="Q173" s="86">
        <v>6.7155060000000004</v>
      </c>
      <c r="R173" s="94">
        <v>6.6018890773100001</v>
      </c>
    </row>
    <row r="174" spans="2:18">
      <c r="B174" s="172">
        <v>3.1065643000000001</v>
      </c>
      <c r="C174" s="54">
        <v>0.55307043558180669</v>
      </c>
      <c r="D174" s="54">
        <v>0.44692715467363042</v>
      </c>
      <c r="E174" s="173">
        <v>2.4097445629605646E-6</v>
      </c>
      <c r="M174" s="86">
        <v>3.0857263000000001</v>
      </c>
      <c r="N174" s="94">
        <v>4.6444460592879997</v>
      </c>
      <c r="O174" s="86">
        <v>2.6305293999999999</v>
      </c>
      <c r="P174" s="94">
        <v>5.8531250917359996</v>
      </c>
      <c r="Q174" s="86">
        <v>6.7537374000000003</v>
      </c>
      <c r="R174" s="94">
        <v>6.6063904788199999</v>
      </c>
    </row>
    <row r="175" spans="2:18">
      <c r="B175" s="172">
        <v>3.1284529999999999</v>
      </c>
      <c r="C175" s="54">
        <v>0.56271567136215117</v>
      </c>
      <c r="D175" s="54">
        <v>0.43728180165482583</v>
      </c>
      <c r="E175" s="173">
        <v>2.5269830229249741E-6</v>
      </c>
      <c r="M175" s="86">
        <v>3.1065643000000001</v>
      </c>
      <c r="N175" s="94">
        <v>4.5938470699979996</v>
      </c>
      <c r="O175" s="86">
        <v>2.6487916</v>
      </c>
      <c r="P175" s="94">
        <v>5.8059751087700002</v>
      </c>
      <c r="Q175" s="86">
        <v>6.7956624000000003</v>
      </c>
      <c r="R175" s="94">
        <v>6.6108924803229989</v>
      </c>
    </row>
    <row r="176" spans="2:18">
      <c r="B176" s="172">
        <v>3.1515038</v>
      </c>
      <c r="C176" s="54">
        <v>0.57257814593333545</v>
      </c>
      <c r="D176" s="54">
        <v>0.42741920720466081</v>
      </c>
      <c r="E176" s="173">
        <v>2.6468620037445453E-6</v>
      </c>
      <c r="M176" s="86">
        <v>3.1284529999999999</v>
      </c>
      <c r="N176" s="94">
        <v>4.5432473807090004</v>
      </c>
      <c r="O176" s="86">
        <v>2.6665523000000002</v>
      </c>
      <c r="P176" s="94">
        <v>5.7594204833779994</v>
      </c>
      <c r="Q176" s="86">
        <v>6.8316635999999997</v>
      </c>
      <c r="R176" s="94">
        <v>6.616353515386999</v>
      </c>
    </row>
    <row r="177" spans="2:18">
      <c r="B177" s="172">
        <v>3.1749094000000002</v>
      </c>
      <c r="C177" s="54">
        <v>0.58262958228926265</v>
      </c>
      <c r="D177" s="54">
        <v>0.4173676411408766</v>
      </c>
      <c r="E177" s="173">
        <v>2.7765698607068259E-6</v>
      </c>
      <c r="M177" s="86">
        <v>3.1515038</v>
      </c>
      <c r="N177" s="94">
        <v>4.4926478914189998</v>
      </c>
      <c r="O177" s="86">
        <v>2.6850705000000001</v>
      </c>
      <c r="P177" s="94">
        <v>5.7128652579850003</v>
      </c>
      <c r="Q177" s="86">
        <v>6.8687763000000004</v>
      </c>
      <c r="R177" s="94">
        <v>6.6219976860029997</v>
      </c>
    </row>
    <row r="178" spans="2:18">
      <c r="B178" s="172">
        <v>3.1953583000000001</v>
      </c>
      <c r="C178" s="54">
        <v>0.59274969838323599</v>
      </c>
      <c r="D178" s="54">
        <v>0.40724736120972538</v>
      </c>
      <c r="E178" s="173">
        <v>2.940407038606192E-6</v>
      </c>
      <c r="M178" s="86">
        <v>3.1749094000000002</v>
      </c>
      <c r="N178" s="94">
        <v>4.4424378347390006</v>
      </c>
      <c r="O178" s="86">
        <v>2.7044139999999999</v>
      </c>
      <c r="P178" s="94">
        <v>5.6663103325919995</v>
      </c>
      <c r="Q178" s="86">
        <v>6.9040793999999996</v>
      </c>
      <c r="R178" s="94">
        <v>6.6282223846399999</v>
      </c>
    </row>
    <row r="179" spans="2:18">
      <c r="B179" s="172">
        <v>3.2168179000000001</v>
      </c>
      <c r="C179" s="54">
        <v>0.60309575762059975</v>
      </c>
      <c r="D179" s="54">
        <v>0.39690113447652031</v>
      </c>
      <c r="E179" s="173">
        <v>3.107902879859278E-6</v>
      </c>
      <c r="M179" s="86">
        <v>3.1953583000000001</v>
      </c>
      <c r="N179" s="94">
        <v>4.3939209199159999</v>
      </c>
      <c r="O179" s="86">
        <v>2.7246589999999999</v>
      </c>
      <c r="P179" s="94">
        <v>5.6197554072000004</v>
      </c>
      <c r="Q179" s="86">
        <v>6.9371767000000002</v>
      </c>
      <c r="R179" s="94">
        <v>6.6350746804369996</v>
      </c>
    </row>
    <row r="180" spans="2:18">
      <c r="B180" s="172">
        <v>3.2393930000000002</v>
      </c>
      <c r="C180" s="54">
        <v>0.61367549747959682</v>
      </c>
      <c r="D180" s="54">
        <v>0.38632122333936825</v>
      </c>
      <c r="E180" s="173">
        <v>3.2791810349735834E-6</v>
      </c>
      <c r="M180" s="86">
        <v>3.2168179000000001</v>
      </c>
      <c r="N180" s="94">
        <v>4.3454038050930004</v>
      </c>
      <c r="O180" s="86">
        <v>2.7458939999999998</v>
      </c>
      <c r="P180" s="94">
        <v>5.5732003818070002</v>
      </c>
      <c r="Q180" s="86">
        <v>6.9682836999999997</v>
      </c>
      <c r="R180" s="94">
        <v>6.642610289936</v>
      </c>
    </row>
    <row r="181" spans="2:18">
      <c r="B181" s="172">
        <v>3.2632061999999999</v>
      </c>
      <c r="C181" s="54">
        <v>0.62449686653553838</v>
      </c>
      <c r="D181" s="54">
        <v>0.37549967909331711</v>
      </c>
      <c r="E181" s="173">
        <v>3.4543711445514539E-6</v>
      </c>
      <c r="M181" s="86">
        <v>3.2393930000000002</v>
      </c>
      <c r="N181" s="94">
        <v>4.2968868902699997</v>
      </c>
      <c r="O181" s="86">
        <v>2.7682210999999999</v>
      </c>
      <c r="P181" s="94">
        <v>5.5266454564140002</v>
      </c>
      <c r="Q181" s="86">
        <v>6.9987830000000004</v>
      </c>
      <c r="R181" s="94">
        <v>6.6505881458800005</v>
      </c>
    </row>
    <row r="182" spans="2:18">
      <c r="B182" s="172">
        <v>3.2863853000000001</v>
      </c>
      <c r="C182" s="54">
        <v>0.63548823464069093</v>
      </c>
      <c r="D182" s="54">
        <v>0.36450810576049475</v>
      </c>
      <c r="E182" s="173">
        <v>3.6595988143602675E-6</v>
      </c>
      <c r="M182" s="86">
        <v>3.2632061999999999</v>
      </c>
      <c r="N182" s="94">
        <v>4.2483700754470002</v>
      </c>
      <c r="O182" s="86">
        <v>2.7917584999999998</v>
      </c>
      <c r="P182" s="94">
        <v>5.4800903310209996</v>
      </c>
      <c r="Q182" s="86">
        <v>7.0294129999999999</v>
      </c>
      <c r="R182" s="94">
        <v>6.6589575693600001</v>
      </c>
    </row>
    <row r="183" spans="2:18">
      <c r="B183" s="172">
        <v>3.3092703999999999</v>
      </c>
      <c r="C183" s="54">
        <v>0.64666958390242413</v>
      </c>
      <c r="D183" s="54">
        <v>0.35332652677641452</v>
      </c>
      <c r="E183" s="173">
        <v>3.8893211612243191E-6</v>
      </c>
      <c r="M183" s="86">
        <v>3.2863853000000001</v>
      </c>
      <c r="N183" s="94">
        <v>4.2006489726899998</v>
      </c>
      <c r="O183" s="86">
        <v>2.8166449999999998</v>
      </c>
      <c r="P183" s="94">
        <v>5.4335353056280002</v>
      </c>
      <c r="Q183" s="86">
        <v>7.0576160000000003</v>
      </c>
      <c r="R183" s="94">
        <v>6.6681269349999992</v>
      </c>
    </row>
    <row r="184" spans="2:18">
      <c r="B184" s="172">
        <v>3.3334286</v>
      </c>
      <c r="C184" s="54">
        <v>0.65810754741898414</v>
      </c>
      <c r="D184" s="54">
        <v>0.34188832826540339</v>
      </c>
      <c r="E184" s="173">
        <v>4.1243156123512196E-6</v>
      </c>
      <c r="M184" s="86">
        <v>3.3092703999999999</v>
      </c>
      <c r="N184" s="94">
        <v>4.1535276544030006</v>
      </c>
      <c r="O184" s="86">
        <v>2.8430447999999999</v>
      </c>
      <c r="P184" s="94">
        <v>5.386980280235</v>
      </c>
      <c r="Q184" s="86">
        <v>7.0868869999999999</v>
      </c>
      <c r="R184" s="94">
        <v>6.6774880612319993</v>
      </c>
    </row>
    <row r="185" spans="2:18">
      <c r="B185" s="172">
        <v>3.3590105000000001</v>
      </c>
      <c r="C185" s="54">
        <v>0.66981106774505905</v>
      </c>
      <c r="D185" s="54">
        <v>0.33018456748868874</v>
      </c>
      <c r="E185" s="173">
        <v>4.3647662522490998E-6</v>
      </c>
      <c r="M185" s="86">
        <v>3.3334286</v>
      </c>
      <c r="N185" s="94">
        <v>4.1064066361170006</v>
      </c>
      <c r="O185" s="86">
        <v>2.8681326</v>
      </c>
      <c r="P185" s="94">
        <v>5.3415668709090003</v>
      </c>
      <c r="Q185" s="86">
        <v>7.1132150000000003</v>
      </c>
      <c r="R185" s="94">
        <v>6.6878659094510002</v>
      </c>
    </row>
    <row r="186" spans="2:18">
      <c r="B186" s="172">
        <v>3.3861940000000001</v>
      </c>
      <c r="C186" s="54">
        <v>0.68178950206772349</v>
      </c>
      <c r="D186" s="54">
        <v>0.31820588706825936</v>
      </c>
      <c r="E186" s="173">
        <v>4.610864017234427E-6</v>
      </c>
      <c r="M186" s="86">
        <v>3.3590105000000001</v>
      </c>
      <c r="N186" s="94">
        <v>4.0592854178320001</v>
      </c>
      <c r="O186" s="86">
        <v>2.8917869999999999</v>
      </c>
      <c r="P186" s="94">
        <v>5.29721735606</v>
      </c>
      <c r="Q186" s="86">
        <v>7.1412424999999997</v>
      </c>
      <c r="R186" s="94">
        <v>6.6982437576709994</v>
      </c>
    </row>
    <row r="187" spans="2:18">
      <c r="B187" s="172">
        <v>3.4099917</v>
      </c>
      <c r="C187" s="54">
        <v>0.69383393462751219</v>
      </c>
      <c r="D187" s="54">
        <v>0.30616104943375749</v>
      </c>
      <c r="E187" s="173">
        <v>5.0159387303141368E-6</v>
      </c>
      <c r="M187" s="86">
        <v>3.3861940000000001</v>
      </c>
      <c r="N187" s="94">
        <v>4.0121642995439997</v>
      </c>
      <c r="O187" s="86">
        <v>2.9168042999999999</v>
      </c>
      <c r="P187" s="94">
        <v>5.2528676412099999</v>
      </c>
      <c r="Q187" s="86">
        <v>7.1660656999999999</v>
      </c>
      <c r="R187" s="94">
        <v>6.7098323986440001</v>
      </c>
    </row>
    <row r="188" spans="2:18">
      <c r="B188" s="172">
        <v>3.4349021999999998</v>
      </c>
      <c r="C188" s="54">
        <v>0.70614384151271337</v>
      </c>
      <c r="D188" s="54">
        <v>0.29385072063171036</v>
      </c>
      <c r="E188" s="173">
        <v>5.4378555762394129E-6</v>
      </c>
      <c r="M188" s="86">
        <v>3.4099917</v>
      </c>
      <c r="N188" s="94">
        <v>3.9671293988780003</v>
      </c>
      <c r="O188" s="86">
        <v>2.9433512999999998</v>
      </c>
      <c r="P188" s="94">
        <v>5.2085180263600002</v>
      </c>
      <c r="Q188" s="86">
        <v>7.1923294000000002</v>
      </c>
      <c r="R188" s="94">
        <v>6.7214356431540008</v>
      </c>
    </row>
    <row r="189" spans="2:18">
      <c r="B189" s="172">
        <v>3.4613290000000001</v>
      </c>
      <c r="C189" s="54">
        <v>0.71873908516928275</v>
      </c>
      <c r="D189" s="54">
        <v>0.28125504527923983</v>
      </c>
      <c r="E189" s="173">
        <v>5.8695514772866281E-6</v>
      </c>
      <c r="M189" s="86">
        <v>3.4349021999999998</v>
      </c>
      <c r="N189" s="94">
        <v>3.9221959283349999</v>
      </c>
      <c r="O189" s="86">
        <v>2.9716271999999999</v>
      </c>
      <c r="P189" s="94">
        <v>5.1641685115159994</v>
      </c>
      <c r="Q189" s="86">
        <v>7.215077</v>
      </c>
      <c r="R189" s="94">
        <v>6.7345691560179999</v>
      </c>
    </row>
    <row r="190" spans="2:18">
      <c r="B190" s="172">
        <v>3.4894688</v>
      </c>
      <c r="C190" s="54">
        <v>0.73162967201660967</v>
      </c>
      <c r="D190" s="54">
        <v>0.26836401661292075</v>
      </c>
      <c r="E190" s="173">
        <v>6.3113704696237192E-6</v>
      </c>
      <c r="M190" s="86">
        <v>3.4613290000000001</v>
      </c>
      <c r="N190" s="94">
        <v>3.8772623577910004</v>
      </c>
      <c r="O190" s="86">
        <v>3.0005495999999998</v>
      </c>
      <c r="P190" s="94">
        <v>5.120403870873</v>
      </c>
      <c r="Q190" s="86">
        <v>7.2378644999999997</v>
      </c>
      <c r="R190" s="94">
        <v>6.7480441286949997</v>
      </c>
    </row>
    <row r="191" spans="2:18">
      <c r="B191" s="172">
        <v>3.5195590000000001</v>
      </c>
      <c r="C191" s="54">
        <v>0.74482614493996369</v>
      </c>
      <c r="D191" s="54">
        <v>0.25516709138796106</v>
      </c>
      <c r="E191" s="173">
        <v>6.7636720753221552E-6</v>
      </c>
      <c r="M191" s="86">
        <v>3.4894688</v>
      </c>
      <c r="N191" s="94">
        <v>3.8323289872479998</v>
      </c>
      <c r="O191" s="86">
        <v>3.0292124999999999</v>
      </c>
      <c r="P191" s="94">
        <v>5.0776000445360001</v>
      </c>
      <c r="Q191" s="86">
        <v>7.2619147000000002</v>
      </c>
      <c r="R191" s="94">
        <v>6.7615189013709998</v>
      </c>
    </row>
    <row r="192" spans="2:18">
      <c r="B192" s="172">
        <v>3.5518900000000002</v>
      </c>
      <c r="C192" s="54">
        <v>0.7583394732289227</v>
      </c>
      <c r="D192" s="54">
        <v>0.24165329993570106</v>
      </c>
      <c r="E192" s="173">
        <v>7.2268353761975742E-6</v>
      </c>
      <c r="M192" s="86">
        <v>3.5195590000000001</v>
      </c>
      <c r="N192" s="94">
        <v>3.7873959167039999</v>
      </c>
      <c r="O192" s="86">
        <v>3.0599015000000001</v>
      </c>
      <c r="P192" s="94">
        <v>5.0347960882019995</v>
      </c>
      <c r="Q192" s="86">
        <v>7.2873749999999999</v>
      </c>
      <c r="R192" s="94">
        <v>6.7749943740490002</v>
      </c>
    </row>
    <row r="193" spans="2:18">
      <c r="B193" s="172">
        <v>3.5868229999999999</v>
      </c>
      <c r="C193" s="54">
        <v>0.77218124363864926</v>
      </c>
      <c r="D193" s="54">
        <v>0.22781105510561556</v>
      </c>
      <c r="E193" s="173">
        <v>7.7012557352908249E-6</v>
      </c>
      <c r="M193" s="86">
        <v>3.5518900000000002</v>
      </c>
      <c r="N193" s="94">
        <v>3.7424624461600002</v>
      </c>
      <c r="O193" s="86">
        <v>3.0929250000000001</v>
      </c>
      <c r="P193" s="94">
        <v>4.9919921918650001</v>
      </c>
      <c r="Q193" s="86">
        <v>7.310899</v>
      </c>
      <c r="R193" s="94">
        <v>6.7896860936260008</v>
      </c>
    </row>
    <row r="194" spans="2:18">
      <c r="B194" s="172">
        <v>3.6248136</v>
      </c>
      <c r="C194" s="54">
        <v>0.78636357043588967</v>
      </c>
      <c r="D194" s="54">
        <v>0.21362824221587512</v>
      </c>
      <c r="E194" s="173">
        <v>8.1873482352469449E-6</v>
      </c>
      <c r="M194" s="86">
        <v>3.5868229999999999</v>
      </c>
      <c r="N194" s="94">
        <v>3.6975290756169996</v>
      </c>
      <c r="O194" s="86">
        <v>3.1286679999999998</v>
      </c>
      <c r="P194" s="94">
        <v>4.9491881955299988</v>
      </c>
      <c r="Q194" s="86">
        <v>7.3317174999999999</v>
      </c>
      <c r="R194" s="94">
        <v>6.8057133742100007</v>
      </c>
    </row>
    <row r="195" spans="2:18">
      <c r="B195" s="172">
        <v>3.6664488</v>
      </c>
      <c r="C195" s="54">
        <v>0.80089917849155434</v>
      </c>
      <c r="D195" s="54">
        <v>0.19909213595888633</v>
      </c>
      <c r="E195" s="173">
        <v>8.6855495593609114E-6</v>
      </c>
      <c r="M195" s="86">
        <v>3.6248136</v>
      </c>
      <c r="N195" s="94">
        <v>3.6525957050730002</v>
      </c>
      <c r="O195" s="86">
        <v>3.1662338000000001</v>
      </c>
      <c r="P195" s="94">
        <v>4.9066816048839996</v>
      </c>
      <c r="Q195" s="86">
        <v>7.3535849999999998</v>
      </c>
      <c r="R195" s="94">
        <v>6.8217396547920002</v>
      </c>
    </row>
    <row r="196" spans="2:18">
      <c r="B196" s="172">
        <v>3.7072090000000002</v>
      </c>
      <c r="C196" s="54">
        <v>0.81561930881886568</v>
      </c>
      <c r="D196" s="54">
        <v>0.18437123245660253</v>
      </c>
      <c r="E196" s="173">
        <v>9.4587245317627548E-6</v>
      </c>
      <c r="M196" s="86">
        <v>3.6664488</v>
      </c>
      <c r="N196" s="94">
        <v>3.6076623345300001</v>
      </c>
      <c r="O196" s="86">
        <v>3.2025565999999999</v>
      </c>
      <c r="P196" s="94">
        <v>4.8651184358830006</v>
      </c>
      <c r="Q196" s="86">
        <v>7.3766116999999998</v>
      </c>
      <c r="R196" s="94">
        <v>6.8377663353760001</v>
      </c>
    </row>
    <row r="197" spans="2:18">
      <c r="B197" s="172">
        <v>3.7499319999999998</v>
      </c>
      <c r="C197" s="54">
        <v>0.83062917512330015</v>
      </c>
      <c r="D197" s="54">
        <v>0.16936047078826927</v>
      </c>
      <c r="E197" s="173">
        <v>1.035408843056774E-5</v>
      </c>
      <c r="M197" s="86">
        <v>3.7072090000000002</v>
      </c>
      <c r="N197" s="94">
        <v>3.5641619424259998</v>
      </c>
      <c r="O197" s="86">
        <v>3.242197</v>
      </c>
      <c r="P197" s="94">
        <v>4.8235552068780008</v>
      </c>
      <c r="Q197" s="86">
        <v>7.4000959999999996</v>
      </c>
      <c r="R197" s="94">
        <v>6.8541506446189997</v>
      </c>
    </row>
    <row r="198" spans="2:18">
      <c r="B198" s="172">
        <v>3.796281</v>
      </c>
      <c r="C198" s="54">
        <v>0.84596823122519793</v>
      </c>
      <c r="D198" s="54">
        <v>0.15402032751306444</v>
      </c>
      <c r="E198" s="173">
        <v>1.1441261737626026E-5</v>
      </c>
      <c r="M198" s="86">
        <v>3.7499319999999998</v>
      </c>
      <c r="N198" s="94">
        <v>3.5212187190100002</v>
      </c>
      <c r="O198" s="86">
        <v>3.285066</v>
      </c>
      <c r="P198" s="94">
        <v>4.7825994318499996</v>
      </c>
      <c r="Q198" s="86">
        <v>7.4193850000000001</v>
      </c>
      <c r="R198" s="94">
        <v>6.8727964352389996</v>
      </c>
    </row>
    <row r="199" spans="2:18">
      <c r="B199" s="172">
        <v>3.8465042</v>
      </c>
      <c r="C199" s="54">
        <v>0.86162488557617434</v>
      </c>
      <c r="D199" s="54">
        <v>0.13836231382220729</v>
      </c>
      <c r="E199" s="173">
        <v>1.2800601618320962E-5</v>
      </c>
      <c r="M199" s="86">
        <v>3.796281</v>
      </c>
      <c r="N199" s="94">
        <v>3.4786542701940002</v>
      </c>
      <c r="O199" s="86">
        <v>3.3322191000000001</v>
      </c>
      <c r="P199" s="94">
        <v>4.7419424330900002</v>
      </c>
      <c r="Q199" s="86">
        <v>7.4395704</v>
      </c>
      <c r="R199" s="94">
        <v>6.8914423258580007</v>
      </c>
    </row>
    <row r="200" spans="2:18">
      <c r="B200" s="172">
        <v>3.9034578999999998</v>
      </c>
      <c r="C200" s="54">
        <v>0.87766092057514711</v>
      </c>
      <c r="D200" s="54">
        <v>0.12232482289603885</v>
      </c>
      <c r="E200" s="173">
        <v>1.4256528814079367E-5</v>
      </c>
      <c r="M200" s="86">
        <v>3.8465042</v>
      </c>
      <c r="N200" s="94">
        <v>3.4366306609400001</v>
      </c>
      <c r="O200" s="86">
        <v>3.3851464</v>
      </c>
      <c r="P200" s="94">
        <v>4.7013600034200005</v>
      </c>
      <c r="Q200" s="86">
        <v>7.4607406000000003</v>
      </c>
      <c r="R200" s="94">
        <v>6.9100879164779991</v>
      </c>
    </row>
    <row r="201" spans="2:18">
      <c r="B201" s="172">
        <v>3.9705740999999999</v>
      </c>
      <c r="C201" s="54">
        <v>0.89402220539297217</v>
      </c>
      <c r="D201" s="54">
        <v>0.10596149348475126</v>
      </c>
      <c r="E201" s="173">
        <v>1.6301122276564869E-5</v>
      </c>
      <c r="M201" s="86">
        <v>3.9034578999999998</v>
      </c>
      <c r="N201" s="94">
        <v>3.394686296443</v>
      </c>
      <c r="O201" s="86">
        <v>3.4456763000000001</v>
      </c>
      <c r="P201" s="94">
        <v>4.6614423558800002</v>
      </c>
      <c r="Q201" s="86">
        <v>7.4829955000000004</v>
      </c>
      <c r="R201" s="94">
        <v>6.9287338070970002</v>
      </c>
    </row>
    <row r="202" spans="2:18">
      <c r="B202" s="172">
        <v>4.047517</v>
      </c>
      <c r="C202" s="54">
        <v>0.91073614829473226</v>
      </c>
      <c r="D202" s="54">
        <v>8.9244692452128349E-2</v>
      </c>
      <c r="E202" s="173">
        <v>1.9159253139334005E-5</v>
      </c>
      <c r="M202" s="86">
        <v>3.9705740999999999</v>
      </c>
      <c r="N202" s="94">
        <v>3.3534292346600001</v>
      </c>
      <c r="O202" s="86">
        <v>3.5139382000000001</v>
      </c>
      <c r="P202" s="94">
        <v>4.6219633154300004</v>
      </c>
      <c r="Q202" s="86">
        <v>7.5021186000000002</v>
      </c>
      <c r="R202" s="94">
        <v>6.9495158156579997</v>
      </c>
    </row>
    <row r="203" spans="2:18">
      <c r="B203" s="172">
        <v>4.1405177000000002</v>
      </c>
      <c r="C203" s="54">
        <v>0.92779004305980595</v>
      </c>
      <c r="D203" s="54">
        <v>7.2185122773244154E-2</v>
      </c>
      <c r="E203" s="173">
        <v>2.4834166949868047E-5</v>
      </c>
      <c r="M203" s="86">
        <v>4.047517</v>
      </c>
      <c r="N203" s="94">
        <v>3.31271576916</v>
      </c>
      <c r="O203" s="86">
        <v>3.5931687000000001</v>
      </c>
      <c r="P203" s="94">
        <v>4.5830726398500001</v>
      </c>
      <c r="Q203" s="86">
        <v>7.5209656000000003</v>
      </c>
      <c r="R203" s="94">
        <v>6.9708465544809997</v>
      </c>
    </row>
    <row r="204" spans="2:18">
      <c r="B204" s="172">
        <v>4.2588800000000004</v>
      </c>
      <c r="C204" s="54">
        <v>0.9452444704313111</v>
      </c>
      <c r="D204" s="54">
        <v>5.4724175230303762E-2</v>
      </c>
      <c r="E204" s="173">
        <v>3.1354338385065829E-5</v>
      </c>
      <c r="M204" s="86">
        <v>4.1405177000000002</v>
      </c>
      <c r="N204" s="94">
        <v>3.2728410082800004</v>
      </c>
      <c r="O204" s="86">
        <v>3.6887975000000002</v>
      </c>
      <c r="P204" s="94">
        <v>4.5446135957499996</v>
      </c>
      <c r="Q204" s="86">
        <v>7.5406674999999996</v>
      </c>
      <c r="R204" s="94">
        <v>6.992177193302</v>
      </c>
    </row>
    <row r="205" spans="2:18">
      <c r="B205" s="172">
        <v>4.4249689999999999</v>
      </c>
      <c r="C205" s="54">
        <v>0.96308333228124754</v>
      </c>
      <c r="D205" s="54">
        <v>3.6873808037988995E-2</v>
      </c>
      <c r="E205" s="173">
        <v>4.2859680763524847E-5</v>
      </c>
      <c r="M205" s="86">
        <v>4.2588800000000004</v>
      </c>
      <c r="N205" s="94">
        <v>3.2331749040600002</v>
      </c>
      <c r="O205" s="86">
        <v>3.8116089999999998</v>
      </c>
      <c r="P205" s="94">
        <v>4.5061550616700004</v>
      </c>
      <c r="Q205" s="86">
        <v>7.5613060000000001</v>
      </c>
      <c r="R205" s="94">
        <v>7.0135073321250001</v>
      </c>
    </row>
    <row r="206" spans="2:18">
      <c r="B206" s="172">
        <v>4.7123020000000002</v>
      </c>
      <c r="C206" s="54">
        <v>0.98123656444517182</v>
      </c>
      <c r="D206" s="54">
        <v>1.8684157498527004E-2</v>
      </c>
      <c r="E206" s="173">
        <v>7.9278056301126368E-5</v>
      </c>
      <c r="M206" s="86">
        <v>4.4249689999999999</v>
      </c>
      <c r="N206" s="94">
        <v>3.1940438556999995</v>
      </c>
      <c r="O206" s="86">
        <v>3.9847958000000001</v>
      </c>
      <c r="P206" s="94">
        <v>4.4687285106800001</v>
      </c>
      <c r="Q206" s="86">
        <v>7.5812819999999999</v>
      </c>
      <c r="R206" s="94">
        <v>7.0357732094400003</v>
      </c>
    </row>
    <row r="207" spans="2:18">
      <c r="B207" s="172">
        <v>5.8703938000000004</v>
      </c>
      <c r="C207" s="54">
        <v>0.99765351758569865</v>
      </c>
      <c r="D207" s="54">
        <v>1.2670255526630006E-3</v>
      </c>
      <c r="E207" s="173">
        <v>1.0794568616383658E-3</v>
      </c>
      <c r="M207" s="86">
        <v>4.7123020000000002</v>
      </c>
      <c r="N207" s="94">
        <v>3.1561053799000001</v>
      </c>
      <c r="O207" s="86">
        <v>4.2788459999999997</v>
      </c>
      <c r="P207" s="94">
        <v>4.4321305872499996</v>
      </c>
      <c r="Q207" s="86">
        <v>7.6001053000000001</v>
      </c>
      <c r="R207" s="94">
        <v>7.0591576328303001</v>
      </c>
    </row>
    <row r="208" spans="2:18">
      <c r="B208" s="172">
        <v>5.9402565999999997</v>
      </c>
      <c r="C208" s="54">
        <v>0.99765473828826046</v>
      </c>
      <c r="D208" s="54">
        <v>1.0787912429876013E-3</v>
      </c>
      <c r="E208" s="173">
        <v>1.2664704687519676E-3</v>
      </c>
      <c r="M208" s="86">
        <v>5.8703938000000004</v>
      </c>
      <c r="N208" s="94">
        <v>3.124972493</v>
      </c>
      <c r="O208" s="86">
        <v>5.3268713999999999</v>
      </c>
      <c r="P208" s="94">
        <v>4.4044492213000002</v>
      </c>
      <c r="Q208" s="86">
        <v>7.619154</v>
      </c>
      <c r="R208" s="94">
        <v>7.0829382692606995</v>
      </c>
    </row>
    <row r="209" spans="2:18">
      <c r="B209" s="172">
        <v>7.1302856999999999</v>
      </c>
      <c r="C209" s="54">
        <v>0.98091890014468175</v>
      </c>
      <c r="D209" s="54">
        <v>7.1886265931339675E-5</v>
      </c>
      <c r="E209" s="173">
        <v>1.9009213589386793E-2</v>
      </c>
      <c r="M209" s="86">
        <v>5.9402565999999997</v>
      </c>
      <c r="N209" s="94">
        <v>3.1247155757999998</v>
      </c>
      <c r="O209" s="86">
        <v>5.3317747000000004</v>
      </c>
      <c r="P209" s="94">
        <v>4.4044176222000004</v>
      </c>
      <c r="Q209" s="86">
        <v>7.6374329999999997</v>
      </c>
      <c r="R209" s="94">
        <v>7.1077132384309998</v>
      </c>
    </row>
    <row r="210" spans="2:18">
      <c r="B210" s="172">
        <v>7.4402819999999998</v>
      </c>
      <c r="C210" s="54">
        <v>0.96233592150305414</v>
      </c>
      <c r="D210" s="54">
        <v>3.6324664942950995E-5</v>
      </c>
      <c r="E210" s="173">
        <v>3.7627753832003029E-2</v>
      </c>
      <c r="M210" s="86">
        <v>7.1302856999999999</v>
      </c>
      <c r="N210" s="94">
        <v>3.1304356553300003</v>
      </c>
      <c r="O210" s="86">
        <v>6.3950719999999999</v>
      </c>
      <c r="P210" s="94">
        <v>4.4008577350999998</v>
      </c>
      <c r="Q210" s="86">
        <v>7.656174</v>
      </c>
      <c r="R210" s="94">
        <v>7.1327309140910007</v>
      </c>
    </row>
    <row r="211" spans="2:18">
      <c r="B211" s="172">
        <v>7.6275333999999999</v>
      </c>
      <c r="C211" s="54">
        <v>0.94381250958357332</v>
      </c>
      <c r="D211" s="54">
        <v>2.4252875973364656E-5</v>
      </c>
      <c r="E211" s="173">
        <v>5.6163237540453284E-2</v>
      </c>
      <c r="M211" s="86">
        <v>7.4402819999999998</v>
      </c>
      <c r="N211" s="94">
        <v>3.1421801186399998</v>
      </c>
      <c r="O211" s="86">
        <v>6.7019013999999997</v>
      </c>
      <c r="P211" s="94">
        <v>4.4060521172200007</v>
      </c>
      <c r="Q211" s="86">
        <v>7.6730119999999999</v>
      </c>
      <c r="R211" s="94">
        <v>7.1596215399263006</v>
      </c>
    </row>
    <row r="212" spans="2:18">
      <c r="B212" s="172">
        <v>7.7624836000000004</v>
      </c>
      <c r="C212" s="54">
        <v>0.9253916317420664</v>
      </c>
      <c r="D212" s="54">
        <v>1.8191180393483384E-5</v>
      </c>
      <c r="E212" s="173">
        <v>7.4590177077540176E-2</v>
      </c>
      <c r="M212" s="86">
        <v>7.6275333999999999</v>
      </c>
      <c r="N212" s="94">
        <v>3.1546699898199999</v>
      </c>
      <c r="O212" s="86">
        <v>6.8908586999999999</v>
      </c>
      <c r="P212" s="94">
        <v>4.4120589839799997</v>
      </c>
      <c r="Q212" s="86">
        <v>7.6905289999999997</v>
      </c>
      <c r="R212" s="94">
        <v>7.1865125657610003</v>
      </c>
    </row>
    <row r="213" spans="2:18">
      <c r="B213" s="172">
        <v>7.8718966999999997</v>
      </c>
      <c r="C213" s="54">
        <v>0.90709131572355839</v>
      </c>
      <c r="D213" s="54">
        <v>1.443350158893071E-5</v>
      </c>
      <c r="E213" s="173">
        <v>9.2894250774852721E-2</v>
      </c>
      <c r="M213" s="86">
        <v>7.7624836000000004</v>
      </c>
      <c r="N213" s="94">
        <v>3.1678285165399998</v>
      </c>
      <c r="O213" s="86">
        <v>7.0275230000000004</v>
      </c>
      <c r="P213" s="94">
        <v>4.4186916378699994</v>
      </c>
      <c r="Q213" s="86">
        <v>7.7087820000000002</v>
      </c>
      <c r="R213" s="94">
        <v>7.2134036915954995</v>
      </c>
    </row>
    <row r="214" spans="2:18">
      <c r="B214" s="172">
        <v>7.9609832999999997</v>
      </c>
      <c r="C214" s="54">
        <v>0.88891905002770399</v>
      </c>
      <c r="D214" s="54">
        <v>1.1954994452501867E-5</v>
      </c>
      <c r="E214" s="173">
        <v>0.1110689949778436</v>
      </c>
      <c r="M214" s="86">
        <v>7.8718966999999997</v>
      </c>
      <c r="N214" s="94">
        <v>3.1816021716599998</v>
      </c>
      <c r="O214" s="86">
        <v>7.1330546999999997</v>
      </c>
      <c r="P214" s="94">
        <v>4.4259527460000001</v>
      </c>
      <c r="Q214" s="86">
        <v>7.7278365999999998</v>
      </c>
      <c r="R214" s="94">
        <v>7.2402944174306008</v>
      </c>
    </row>
    <row r="215" spans="2:18">
      <c r="B215" s="172">
        <v>8.0406680000000001</v>
      </c>
      <c r="C215" s="54">
        <v>0.87088839830143117</v>
      </c>
      <c r="D215" s="54">
        <v>1.0102211495802768E-5</v>
      </c>
      <c r="E215" s="173">
        <v>0.129101499487073</v>
      </c>
      <c r="M215" s="86">
        <v>7.9609832999999997</v>
      </c>
      <c r="N215" s="94">
        <v>3.1960536788039997</v>
      </c>
      <c r="O215" s="86">
        <v>7.2242569999999997</v>
      </c>
      <c r="P215" s="94">
        <v>4.43374554673</v>
      </c>
      <c r="Q215" s="86">
        <v>7.7447439999999999</v>
      </c>
      <c r="R215" s="94">
        <v>7.2694073895290003</v>
      </c>
    </row>
    <row r="216" spans="2:18">
      <c r="B216" s="172">
        <v>8.1111419999999992</v>
      </c>
      <c r="C216" s="54">
        <v>0.85300554078944058</v>
      </c>
      <c r="D216" s="54">
        <v>8.6982176721702059E-6</v>
      </c>
      <c r="E216" s="173">
        <v>0.14698576099288727</v>
      </c>
      <c r="M216" s="86">
        <v>8.0406680000000001</v>
      </c>
      <c r="N216" s="94">
        <v>3.2110899691100001</v>
      </c>
      <c r="O216" s="86">
        <v>7.2979783999999999</v>
      </c>
      <c r="P216" s="94">
        <v>4.4422423273959994</v>
      </c>
      <c r="Q216" s="86">
        <v>7.7614210000000003</v>
      </c>
      <c r="R216" s="94">
        <v>7.2991686751447</v>
      </c>
    </row>
    <row r="217" spans="2:18">
      <c r="B217" s="172">
        <v>8.1746230000000004</v>
      </c>
      <c r="C217" s="54">
        <v>0.83527846364460778</v>
      </c>
      <c r="D217" s="54">
        <v>7.5940487301418882E-6</v>
      </c>
      <c r="E217" s="173">
        <v>0.1647139423066622</v>
      </c>
      <c r="M217" s="86">
        <v>8.1111419999999992</v>
      </c>
      <c r="N217" s="94">
        <v>3.2267584070469999</v>
      </c>
      <c r="O217" s="86">
        <v>7.3690667000000003</v>
      </c>
      <c r="P217" s="94">
        <v>4.4511781702600004</v>
      </c>
      <c r="Q217" s="86">
        <v>7.7787642000000004</v>
      </c>
      <c r="R217" s="94">
        <v>7.3289304607604997</v>
      </c>
    </row>
    <row r="218" spans="2:18">
      <c r="B218" s="172">
        <v>8.2336349999999996</v>
      </c>
      <c r="C218" s="54">
        <v>0.81771594930830971</v>
      </c>
      <c r="D218" s="54">
        <v>6.688022145128026E-6</v>
      </c>
      <c r="E218" s="173">
        <v>0.18227736266954514</v>
      </c>
      <c r="M218" s="86">
        <v>8.1746230000000004</v>
      </c>
      <c r="N218" s="94">
        <v>3.2430612279649997</v>
      </c>
      <c r="O218" s="86">
        <v>7.4343804999999996</v>
      </c>
      <c r="P218" s="94">
        <v>4.4605910873570007</v>
      </c>
      <c r="Q218" s="86">
        <v>7.7968286999999998</v>
      </c>
      <c r="R218" s="94">
        <v>7.3586920463760004</v>
      </c>
    </row>
    <row r="219" spans="2:18">
      <c r="B219" s="172">
        <v>8.2861639999999994</v>
      </c>
      <c r="C219" s="54">
        <v>0.80032161732219897</v>
      </c>
      <c r="D219" s="54">
        <v>5.9622440832865963E-6</v>
      </c>
      <c r="E219" s="173">
        <v>0.19967242043371791</v>
      </c>
      <c r="M219" s="86">
        <v>8.2336349999999996</v>
      </c>
      <c r="N219" s="94">
        <v>3.2599464425939999</v>
      </c>
      <c r="O219" s="86">
        <v>7.4886173999999999</v>
      </c>
      <c r="P219" s="94">
        <v>4.4708268114829997</v>
      </c>
      <c r="Q219" s="86">
        <v>7.8141455999999998</v>
      </c>
      <c r="R219" s="94">
        <v>7.3897217517231999</v>
      </c>
    </row>
    <row r="220" spans="2:18">
      <c r="B220" s="172">
        <v>8.3360629999999993</v>
      </c>
      <c r="C220" s="54">
        <v>0.78310592591801609</v>
      </c>
      <c r="D220" s="54">
        <v>5.3406917418354641E-6</v>
      </c>
      <c r="E220" s="173">
        <v>0.21688873339024203</v>
      </c>
      <c r="M220" s="86">
        <v>8.2861639999999994</v>
      </c>
      <c r="N220" s="94">
        <v>3.2775803417339997</v>
      </c>
      <c r="O220" s="86">
        <v>7.5412929999999996</v>
      </c>
      <c r="P220" s="94">
        <v>4.4815386858849999</v>
      </c>
      <c r="Q220" s="86">
        <v>7.8300840000000003</v>
      </c>
      <c r="R220" s="94">
        <v>7.4223778830505998</v>
      </c>
    </row>
    <row r="221" spans="2:18">
      <c r="B221" s="172">
        <v>8.3828929999999993</v>
      </c>
      <c r="C221" s="54">
        <v>0.76607434175372779</v>
      </c>
      <c r="D221" s="54">
        <v>4.8102977129402647E-6</v>
      </c>
      <c r="E221" s="173">
        <v>0.23392084794855922</v>
      </c>
      <c r="M221" s="86">
        <v>8.3360629999999993</v>
      </c>
      <c r="N221" s="94">
        <v>3.2958019018620002</v>
      </c>
      <c r="O221" s="86">
        <v>7.5919784999999997</v>
      </c>
      <c r="P221" s="94">
        <v>4.4926997104439996</v>
      </c>
      <c r="Q221" s="86">
        <v>7.8316555000000001</v>
      </c>
      <c r="R221" s="94">
        <v>7.4209618637485999</v>
      </c>
    </row>
    <row r="222" spans="2:18">
      <c r="B222" s="172">
        <v>8.427111</v>
      </c>
      <c r="C222" s="54">
        <v>0.74923300895857514</v>
      </c>
      <c r="D222" s="54">
        <v>4.3523028809164398E-6</v>
      </c>
      <c r="E222" s="173">
        <v>0.25076263873854399</v>
      </c>
      <c r="M222" s="86">
        <v>8.3828929999999993</v>
      </c>
      <c r="N222" s="94">
        <v>3.314668644543</v>
      </c>
      <c r="O222" s="86">
        <v>7.6375412999999996</v>
      </c>
      <c r="P222" s="94">
        <v>4.5045846031980004</v>
      </c>
      <c r="Q222" s="86">
        <v>7.8484062999999997</v>
      </c>
      <c r="R222" s="94">
        <v>7.4535102934360005</v>
      </c>
    </row>
    <row r="223" spans="2:18">
      <c r="B223" s="172">
        <v>8.4673890000000007</v>
      </c>
      <c r="C223" s="54">
        <v>0.73258780488283703</v>
      </c>
      <c r="D223" s="54">
        <v>3.9656795492402383E-6</v>
      </c>
      <c r="E223" s="173">
        <v>0.26740822943761378</v>
      </c>
      <c r="M223" s="86">
        <v>8.427111</v>
      </c>
      <c r="N223" s="94">
        <v>3.3341830513744997</v>
      </c>
      <c r="O223" s="86">
        <v>7.6795125000000004</v>
      </c>
      <c r="P223" s="94">
        <v>4.517163101815</v>
      </c>
      <c r="Q223" s="86">
        <v>7.8648290000000003</v>
      </c>
      <c r="R223" s="94">
        <v>7.4869505344278</v>
      </c>
    </row>
    <row r="224" spans="2:18">
      <c r="B224" s="172">
        <v>8.5079049999999992</v>
      </c>
      <c r="C224" s="54">
        <v>0.71614524873013241</v>
      </c>
      <c r="D224" s="54">
        <v>3.6099847000071245E-6</v>
      </c>
      <c r="E224" s="173">
        <v>0.28385114128516764</v>
      </c>
      <c r="M224" s="86">
        <v>8.4673890000000007</v>
      </c>
      <c r="N224" s="94">
        <v>3.3545542030869999</v>
      </c>
      <c r="O224" s="86">
        <v>7.7211869999999996</v>
      </c>
      <c r="P224" s="94">
        <v>4.5301638496840004</v>
      </c>
      <c r="Q224" s="86">
        <v>7.8802346999999999</v>
      </c>
      <c r="R224" s="94">
        <v>7.5219395934147997</v>
      </c>
    </row>
    <row r="225" spans="2:18">
      <c r="B225" s="172">
        <v>8.5460189999999994</v>
      </c>
      <c r="C225" s="54">
        <v>0.69991002929235502</v>
      </c>
      <c r="D225" s="54">
        <v>3.299832014654261E-6</v>
      </c>
      <c r="E225" s="173">
        <v>0.30008667087563035</v>
      </c>
      <c r="M225" s="86">
        <v>8.5079049999999992</v>
      </c>
      <c r="N225" s="94">
        <v>3.3752976847729999</v>
      </c>
      <c r="O225" s="86">
        <v>7.7604300000000004</v>
      </c>
      <c r="P225" s="94">
        <v>4.5437885244059997</v>
      </c>
      <c r="Q225" s="86">
        <v>7.8962073000000004</v>
      </c>
      <c r="R225" s="94">
        <v>7.5569282524017005</v>
      </c>
    </row>
    <row r="226" spans="2:18">
      <c r="B226" s="172">
        <v>8.5831060000000008</v>
      </c>
      <c r="C226" s="54">
        <v>0.68388614885408761</v>
      </c>
      <c r="D226" s="54">
        <v>3.0205165544408771E-6</v>
      </c>
      <c r="E226" s="173">
        <v>0.31611083062935802</v>
      </c>
      <c r="M226" s="86">
        <v>8.5460189999999994</v>
      </c>
      <c r="N226" s="94">
        <v>3.3968423090090001</v>
      </c>
      <c r="O226" s="86">
        <v>7.7970804999999999</v>
      </c>
      <c r="P226" s="94">
        <v>4.5581382886980002</v>
      </c>
      <c r="Q226" s="86">
        <v>7.9127900000000002</v>
      </c>
      <c r="R226" s="94">
        <v>7.5919174113886001</v>
      </c>
    </row>
    <row r="227" spans="2:18">
      <c r="B227" s="172">
        <v>8.6184069999999995</v>
      </c>
      <c r="C227" s="54">
        <v>0.66807998318412731</v>
      </c>
      <c r="D227" s="54">
        <v>2.7730166843402039E-6</v>
      </c>
      <c r="E227" s="173">
        <v>0.33191724379918847</v>
      </c>
      <c r="M227" s="86">
        <v>8.5831060000000008</v>
      </c>
      <c r="N227" s="94">
        <v>3.4189132268839999</v>
      </c>
      <c r="O227" s="86">
        <v>7.8331274999999998</v>
      </c>
      <c r="P227" s="94">
        <v>4.5729822175999999</v>
      </c>
      <c r="Q227" s="86">
        <v>7.9300309999999996</v>
      </c>
      <c r="R227" s="94">
        <v>7.626905970375601</v>
      </c>
    </row>
    <row r="228" spans="2:18">
      <c r="B228" s="172">
        <v>8.652787</v>
      </c>
      <c r="C228" s="54">
        <v>0.65249341413534345</v>
      </c>
      <c r="D228" s="54">
        <v>2.5488063985848108E-6</v>
      </c>
      <c r="E228" s="173">
        <v>0.34750403705825789</v>
      </c>
      <c r="M228" s="86">
        <v>8.6184069999999995</v>
      </c>
      <c r="N228" s="94">
        <v>3.4417654440729999</v>
      </c>
      <c r="O228" s="86">
        <v>7.8683075999999996</v>
      </c>
      <c r="P228" s="94">
        <v>4.588339304172</v>
      </c>
      <c r="Q228" s="86">
        <v>7.9459020000000002</v>
      </c>
      <c r="R228" s="94">
        <v>7.6639028485012002</v>
      </c>
    </row>
    <row r="229" spans="2:18">
      <c r="B229" s="172">
        <v>8.6858199999999997</v>
      </c>
      <c r="C229" s="54">
        <v>0.6371331781452868</v>
      </c>
      <c r="D229" s="54">
        <v>2.3477920169939034E-6</v>
      </c>
      <c r="E229" s="173">
        <v>0.36286447406269617</v>
      </c>
      <c r="M229" s="86">
        <v>8.652787</v>
      </c>
      <c r="N229" s="94">
        <v>3.4651741320580003</v>
      </c>
      <c r="O229" s="86">
        <v>7.8984230000000002</v>
      </c>
      <c r="P229" s="94">
        <v>4.6049872864100001</v>
      </c>
      <c r="Q229" s="86">
        <v>7.9611435000000004</v>
      </c>
      <c r="R229" s="94">
        <v>7.7020459375624002</v>
      </c>
    </row>
    <row r="230" spans="2:18">
      <c r="B230" s="172">
        <v>8.7179920000000006</v>
      </c>
      <c r="C230" s="54">
        <v>0.62199995687883958</v>
      </c>
      <c r="D230" s="54">
        <v>2.165063141077458E-6</v>
      </c>
      <c r="E230" s="173">
        <v>0.37799787805801938</v>
      </c>
      <c r="M230" s="86">
        <v>8.6858199999999997</v>
      </c>
      <c r="N230" s="94">
        <v>3.4893437922535</v>
      </c>
      <c r="O230" s="86">
        <v>7.9306039999999998</v>
      </c>
      <c r="P230" s="94">
        <v>4.6216617747440001</v>
      </c>
      <c r="Q230" s="86">
        <v>7.9769399999999999</v>
      </c>
      <c r="R230" s="94">
        <v>7.7401893266236002</v>
      </c>
    </row>
    <row r="231" spans="2:18">
      <c r="B231" s="172">
        <v>8.7499269999999996</v>
      </c>
      <c r="C231" s="54">
        <v>0.60709469215184686</v>
      </c>
      <c r="D231" s="54">
        <v>1.9963646699089122E-6</v>
      </c>
      <c r="E231" s="173">
        <v>0.39290331148348318</v>
      </c>
      <c r="M231" s="86">
        <v>8.7179920000000006</v>
      </c>
      <c r="N231" s="94">
        <v>3.5141012082509997</v>
      </c>
      <c r="O231" s="86">
        <v>7.9642790000000003</v>
      </c>
      <c r="P231" s="94">
        <v>4.6385486977659998</v>
      </c>
      <c r="Q231" s="86">
        <v>7.9933329999999998</v>
      </c>
      <c r="R231" s="94">
        <v>7.7783327156848001</v>
      </c>
    </row>
    <row r="232" spans="2:18">
      <c r="B232" s="172">
        <v>8.7802229999999994</v>
      </c>
      <c r="C232" s="54">
        <v>0.59242814126430232</v>
      </c>
      <c r="D232" s="54">
        <v>1.8459543136303413E-6</v>
      </c>
      <c r="E232" s="173">
        <v>0.40757001278138411</v>
      </c>
      <c r="M232" s="86">
        <v>8.7499269999999996</v>
      </c>
      <c r="N232" s="94">
        <v>3.5394122659576004</v>
      </c>
      <c r="O232" s="86">
        <v>7.9921870000000004</v>
      </c>
      <c r="P232" s="94">
        <v>4.657003177</v>
      </c>
      <c r="Q232" s="86">
        <v>8.0101340000000008</v>
      </c>
      <c r="R232" s="94">
        <v>7.8167169065069997</v>
      </c>
    </row>
    <row r="233" spans="2:18">
      <c r="B233" s="172">
        <v>8.8090799999999998</v>
      </c>
      <c r="C233" s="54">
        <v>0.5780051496264923</v>
      </c>
      <c r="D233" s="54">
        <v>1.7111222128579647E-6</v>
      </c>
      <c r="E233" s="173">
        <v>0.42199313925129489</v>
      </c>
      <c r="M233" s="86">
        <v>8.7802229999999994</v>
      </c>
      <c r="N233" s="94">
        <v>3.5655510818443998</v>
      </c>
      <c r="O233" s="86">
        <v>8.0220129999999994</v>
      </c>
      <c r="P233" s="94">
        <v>4.6754577562329995</v>
      </c>
      <c r="Q233" s="86">
        <v>8.0254329999999996</v>
      </c>
      <c r="R233" s="94">
        <v>7.8572577130887993</v>
      </c>
    </row>
    <row r="234" spans="2:18">
      <c r="B234" s="172">
        <v>8.8378840000000007</v>
      </c>
      <c r="C234" s="54">
        <v>0.56381592969377081</v>
      </c>
      <c r="D234" s="54">
        <v>1.5854188430550421E-6</v>
      </c>
      <c r="E234" s="173">
        <v>0.43618248488738615</v>
      </c>
      <c r="M234" s="86">
        <v>8.8090799999999998</v>
      </c>
      <c r="N234" s="94">
        <v>3.5925458472849998</v>
      </c>
      <c r="O234" s="86">
        <v>8.0520739999999993</v>
      </c>
      <c r="P234" s="94">
        <v>4.6943797878879998</v>
      </c>
      <c r="Q234" s="86">
        <v>8.04129</v>
      </c>
      <c r="R234" s="94">
        <v>7.8977979196705004</v>
      </c>
    </row>
    <row r="235" spans="2:18">
      <c r="B235" s="172">
        <v>8.8661270000000005</v>
      </c>
      <c r="C235" s="54">
        <v>0.5498686534006143</v>
      </c>
      <c r="D235" s="54">
        <v>1.4699364714958683E-6</v>
      </c>
      <c r="E235" s="173">
        <v>0.45012987666291415</v>
      </c>
      <c r="M235" s="86">
        <v>8.8378840000000007</v>
      </c>
      <c r="N235" s="94">
        <v>3.6200284392613002</v>
      </c>
      <c r="O235" s="86">
        <v>8.0783620000000003</v>
      </c>
      <c r="P235" s="94">
        <v>4.7146409697590004</v>
      </c>
      <c r="Q235" s="86">
        <v>8.0565060000000006</v>
      </c>
      <c r="R235" s="94">
        <v>7.9396815349522996</v>
      </c>
    </row>
    <row r="236" spans="2:18">
      <c r="B236" s="172">
        <v>8.8936119999999992</v>
      </c>
      <c r="C236" s="54">
        <v>0.53616498633267584</v>
      </c>
      <c r="D236" s="54">
        <v>1.3643436063393773E-6</v>
      </c>
      <c r="E236" s="173">
        <v>0.46383364932371784</v>
      </c>
      <c r="M236" s="86">
        <v>8.8661270000000005</v>
      </c>
      <c r="N236" s="94">
        <v>3.6482059626310002</v>
      </c>
      <c r="O236" s="86">
        <v>8.1063460000000003</v>
      </c>
      <c r="P236" s="94">
        <v>4.7349020516299998</v>
      </c>
      <c r="Q236" s="86">
        <v>8.0720159999999996</v>
      </c>
      <c r="R236" s="94">
        <v>7.9818359519840003</v>
      </c>
    </row>
    <row r="237" spans="2:18">
      <c r="B237" s="172">
        <v>8.9206939999999992</v>
      </c>
      <c r="C237" s="54">
        <v>0.52270516838661951</v>
      </c>
      <c r="D237" s="54">
        <v>1.266842058252037E-6</v>
      </c>
      <c r="E237" s="173">
        <v>0.47729356477132218</v>
      </c>
      <c r="M237" s="86">
        <v>8.8936119999999992</v>
      </c>
      <c r="N237" s="94">
        <v>3.6770646167795999</v>
      </c>
      <c r="O237" s="86">
        <v>8.1336539999999999</v>
      </c>
      <c r="P237" s="94">
        <v>4.755892892706</v>
      </c>
      <c r="Q237" s="86">
        <v>8.0869260000000001</v>
      </c>
      <c r="R237" s="94">
        <v>8.0253688762898996</v>
      </c>
    </row>
    <row r="238" spans="2:18">
      <c r="B238" s="172">
        <v>8.9470320000000001</v>
      </c>
      <c r="C238" s="54">
        <v>0.50949269409849474</v>
      </c>
      <c r="D238" s="54">
        <v>1.1776830021794369E-6</v>
      </c>
      <c r="E238" s="173">
        <v>0.49050612821850298</v>
      </c>
      <c r="M238" s="86">
        <v>8.9206939999999992</v>
      </c>
      <c r="N238" s="94">
        <v>3.7065944956698003</v>
      </c>
      <c r="O238" s="86">
        <v>8.1586200000000009</v>
      </c>
      <c r="P238" s="94">
        <v>4.7779864232799998</v>
      </c>
      <c r="Q238" s="86">
        <v>8.1014330000000001</v>
      </c>
      <c r="R238" s="94">
        <v>8.0699644062051998</v>
      </c>
    </row>
    <row r="239" spans="2:18">
      <c r="B239" s="172">
        <v>8.9731030000000001</v>
      </c>
      <c r="C239" s="54">
        <v>0.49652451862719155</v>
      </c>
      <c r="D239" s="54">
        <v>1.0949104695512468E-6</v>
      </c>
      <c r="E239" s="173">
        <v>0.50347438646233889</v>
      </c>
      <c r="M239" s="86">
        <v>8.9470320000000001</v>
      </c>
      <c r="N239" s="94">
        <v>3.7368369008093003</v>
      </c>
      <c r="O239" s="86">
        <v>8.1851079999999996</v>
      </c>
      <c r="P239" s="94">
        <v>4.8000799538544996</v>
      </c>
      <c r="Q239" s="86">
        <v>8.1164400000000008</v>
      </c>
      <c r="R239" s="94">
        <v>8.1145601361205006</v>
      </c>
    </row>
    <row r="240" spans="2:18">
      <c r="B240" s="172">
        <v>8.9984400000000004</v>
      </c>
      <c r="C240" s="54">
        <v>0.48380641796787682</v>
      </c>
      <c r="D240" s="54">
        <v>1.0191413137605462E-6</v>
      </c>
      <c r="E240" s="173">
        <v>0.51619256289080939</v>
      </c>
      <c r="M240" s="86">
        <v>8.9731030000000001</v>
      </c>
      <c r="N240" s="94">
        <v>3.7677263253230002</v>
      </c>
      <c r="O240" s="86">
        <v>8.2090689999999995</v>
      </c>
      <c r="P240" s="94">
        <v>4.8236780675170001</v>
      </c>
      <c r="Q240" s="86">
        <v>8.1319839999999992</v>
      </c>
      <c r="R240" s="94">
        <v>8.1591556660359004</v>
      </c>
    </row>
    <row r="241" spans="2:18">
      <c r="B241" s="172">
        <v>9.0229060000000008</v>
      </c>
      <c r="C241" s="54">
        <v>0.47134794936926971</v>
      </c>
      <c r="D241" s="54">
        <v>9.5015094653812317E-7</v>
      </c>
      <c r="E241" s="173">
        <v>0.52865110047978381</v>
      </c>
      <c r="M241" s="86">
        <v>8.9984400000000004</v>
      </c>
      <c r="N241" s="94">
        <v>3.7993592720840001</v>
      </c>
      <c r="O241" s="86">
        <v>8.2305919999999997</v>
      </c>
      <c r="P241" s="94">
        <v>4.8485700526494</v>
      </c>
      <c r="Q241" s="86">
        <v>8.148028</v>
      </c>
      <c r="R241" s="94">
        <v>8.2038459963551986</v>
      </c>
    </row>
    <row r="242" spans="2:18">
      <c r="B242" s="172">
        <v>9.0456310000000002</v>
      </c>
      <c r="C242" s="54">
        <v>0.45916422678875113</v>
      </c>
      <c r="D242" s="54">
        <v>8.8915463360035659E-7</v>
      </c>
      <c r="E242" s="173">
        <v>0.54083488405661528</v>
      </c>
      <c r="M242" s="86">
        <v>9.0229060000000008</v>
      </c>
      <c r="N242" s="94">
        <v>3.8319271409091997</v>
      </c>
      <c r="O242" s="86">
        <v>8.2532359999999994</v>
      </c>
      <c r="P242" s="94">
        <v>4.8734617377816001</v>
      </c>
      <c r="Q242" s="86">
        <v>8.1619949999999992</v>
      </c>
      <c r="R242" s="94">
        <v>8.2517306403288995</v>
      </c>
    </row>
    <row r="243" spans="2:18">
      <c r="B243" s="172">
        <v>9.0696119999999993</v>
      </c>
      <c r="C243" s="54">
        <v>0.4471912787791279</v>
      </c>
      <c r="D243" s="54">
        <v>8.2921344082659021E-7</v>
      </c>
      <c r="E243" s="173">
        <v>0.5528078920074313</v>
      </c>
      <c r="M243" s="86">
        <v>9.0456310000000002</v>
      </c>
      <c r="N243" s="94">
        <v>3.8656576371674003</v>
      </c>
      <c r="O243" s="86">
        <v>8.2771249999999998</v>
      </c>
      <c r="P243" s="94">
        <v>4.8983540229140008</v>
      </c>
      <c r="Q243" s="86">
        <v>8.1764259999999993</v>
      </c>
      <c r="R243" s="94">
        <v>8.2996149843026998</v>
      </c>
    </row>
    <row r="244" spans="2:18">
      <c r="B244" s="172">
        <v>9.0949939999999998</v>
      </c>
      <c r="C244" s="54">
        <v>0.43542371514187594</v>
      </c>
      <c r="D244" s="54">
        <v>7.7030048598447825E-7</v>
      </c>
      <c r="E244" s="173">
        <v>0.56457551455763799</v>
      </c>
      <c r="M244" s="86">
        <v>9.0696119999999993</v>
      </c>
      <c r="N244" s="94">
        <v>3.8993884334252997</v>
      </c>
      <c r="O244" s="86">
        <v>8.3024070000000005</v>
      </c>
      <c r="P244" s="94">
        <v>4.9232459080464004</v>
      </c>
      <c r="Q244" s="86">
        <v>8.1913529999999994</v>
      </c>
      <c r="R244" s="94">
        <v>8.3474989282765009</v>
      </c>
    </row>
    <row r="245" spans="2:18">
      <c r="B245" s="172">
        <v>9.119218</v>
      </c>
      <c r="C245" s="54">
        <v>0.42392490660975141</v>
      </c>
      <c r="D245" s="54">
        <v>7.172861223366948E-7</v>
      </c>
      <c r="E245" s="173">
        <v>0.57607437610412626</v>
      </c>
      <c r="M245" s="86">
        <v>9.0949939999999998</v>
      </c>
      <c r="N245" s="94">
        <v>3.9331190296835006</v>
      </c>
      <c r="O245" s="86">
        <v>8.3292509999999993</v>
      </c>
      <c r="P245" s="94">
        <v>4.9481376931785004</v>
      </c>
      <c r="Q245" s="86">
        <v>8.2068110000000001</v>
      </c>
      <c r="R245" s="94">
        <v>8.3953831722503001</v>
      </c>
    </row>
    <row r="246" spans="2:18">
      <c r="B246" s="172">
        <v>9.1406720000000004</v>
      </c>
      <c r="C246" s="54">
        <v>0.41273045296512334</v>
      </c>
      <c r="D246" s="54">
        <v>6.7230454283191083E-7</v>
      </c>
      <c r="E246" s="173">
        <v>0.58726887473033396</v>
      </c>
      <c r="M246" s="86">
        <v>9.119218</v>
      </c>
      <c r="N246" s="94">
        <v>3.9679921461857002</v>
      </c>
      <c r="O246" s="86">
        <v>8.3524600000000007</v>
      </c>
      <c r="P246" s="94">
        <v>4.9749616577550002</v>
      </c>
      <c r="Q246" s="86">
        <v>8.2215640000000008</v>
      </c>
      <c r="R246" s="94">
        <v>8.4449055216187006</v>
      </c>
    </row>
    <row r="247" spans="2:18">
      <c r="B247" s="172">
        <v>9.1632394999999995</v>
      </c>
      <c r="C247" s="54">
        <v>0.4017384730301059</v>
      </c>
      <c r="D247" s="54">
        <v>6.2813646862371251E-7</v>
      </c>
      <c r="E247" s="173">
        <v>0.59826089883342537</v>
      </c>
      <c r="M247" s="86">
        <v>9.1406720000000004</v>
      </c>
      <c r="N247" s="94">
        <v>4.0045348922669994</v>
      </c>
      <c r="O247" s="86">
        <v>8.3748780000000007</v>
      </c>
      <c r="P247" s="94">
        <v>5.0025892508355998</v>
      </c>
      <c r="Q247" s="86">
        <v>8.2354810000000001</v>
      </c>
      <c r="R247" s="94">
        <v>8.4961135765380007</v>
      </c>
    </row>
    <row r="248" spans="2:18">
      <c r="B248" s="172">
        <v>9.1870460000000005</v>
      </c>
      <c r="C248" s="54">
        <v>0.39094353784907004</v>
      </c>
      <c r="D248" s="54">
        <v>5.8476006437014416E-7</v>
      </c>
      <c r="E248" s="173">
        <v>0.60905587739086553</v>
      </c>
      <c r="M248" s="86">
        <v>9.1632394999999995</v>
      </c>
      <c r="N248" s="94">
        <v>4.0410777383483003</v>
      </c>
      <c r="O248" s="86">
        <v>8.3971350000000005</v>
      </c>
      <c r="P248" s="94">
        <v>5.0308048608386997</v>
      </c>
      <c r="Q248" s="86">
        <v>8.2498590000000007</v>
      </c>
      <c r="R248" s="94">
        <v>8.5473216314573008</v>
      </c>
    </row>
    <row r="249" spans="2:18">
      <c r="B249" s="172">
        <v>9.2100725000000008</v>
      </c>
      <c r="C249" s="54">
        <v>0.38040734394165759</v>
      </c>
      <c r="D249" s="54">
        <v>5.4524545001258469E-7</v>
      </c>
      <c r="E249" s="173">
        <v>0.61959211081289245</v>
      </c>
      <c r="M249" s="86">
        <v>9.1870460000000005</v>
      </c>
      <c r="N249" s="94">
        <v>4.0776202844295</v>
      </c>
      <c r="O249" s="86">
        <v>8.4176979999999997</v>
      </c>
      <c r="P249" s="94">
        <v>5.0604028073584004</v>
      </c>
      <c r="Q249" s="86">
        <v>8.2647290000000009</v>
      </c>
      <c r="R249" s="94">
        <v>8.5985293863764003</v>
      </c>
    </row>
    <row r="250" spans="2:18">
      <c r="B250" s="172">
        <v>9.2304739999999992</v>
      </c>
      <c r="C250" s="54">
        <v>0.37018073908424559</v>
      </c>
      <c r="D250" s="54">
        <v>5.1174536490721403E-7</v>
      </c>
      <c r="E250" s="173">
        <v>0.62981874917038949</v>
      </c>
      <c r="M250" s="86">
        <v>9.2100725000000008</v>
      </c>
      <c r="N250" s="94">
        <v>4.1151989437934997</v>
      </c>
      <c r="O250" s="86">
        <v>8.4391429999999996</v>
      </c>
      <c r="P250" s="94">
        <v>5.0900648555619998</v>
      </c>
      <c r="Q250" s="86">
        <v>8.2801259999999992</v>
      </c>
      <c r="R250" s="94">
        <v>8.6497373412957508</v>
      </c>
    </row>
    <row r="251" spans="2:18">
      <c r="B251" s="172">
        <v>9.2518820000000002</v>
      </c>
      <c r="C251" s="54">
        <v>0.36014614280866059</v>
      </c>
      <c r="D251" s="54">
        <v>4.788741314550144E-7</v>
      </c>
      <c r="E251" s="173">
        <v>0.6398533783172079</v>
      </c>
      <c r="M251" s="86">
        <v>9.2304739999999992</v>
      </c>
      <c r="N251" s="94">
        <v>4.1545654260795999</v>
      </c>
      <c r="O251" s="86">
        <v>8.4613510000000005</v>
      </c>
      <c r="P251" s="94">
        <v>5.119912407808501</v>
      </c>
      <c r="Q251" s="86">
        <v>8.2936840000000007</v>
      </c>
      <c r="R251" s="94">
        <v>8.7041559045451997</v>
      </c>
    </row>
    <row r="252" spans="2:18">
      <c r="B252" s="172">
        <v>9.2744</v>
      </c>
      <c r="C252" s="54">
        <v>0.35029820678470203</v>
      </c>
      <c r="D252" s="54">
        <v>4.4661431115665273E-7</v>
      </c>
      <c r="E252" s="173">
        <v>0.64970134660098677</v>
      </c>
      <c r="M252" s="86">
        <v>9.2518820000000002</v>
      </c>
      <c r="N252" s="94">
        <v>4.1939319083655002</v>
      </c>
      <c r="O252" s="86">
        <v>8.4812419999999999</v>
      </c>
      <c r="P252" s="94">
        <v>5.1515187984023001</v>
      </c>
      <c r="Q252" s="86">
        <v>8.3075690000000009</v>
      </c>
      <c r="R252" s="94">
        <v>8.7587185681689999</v>
      </c>
    </row>
    <row r="253" spans="2:18">
      <c r="B253" s="172">
        <v>9.2964319999999994</v>
      </c>
      <c r="C253" s="54">
        <v>0.34069430383997507</v>
      </c>
      <c r="D253" s="54">
        <v>4.1691592802574848E-7</v>
      </c>
      <c r="E253" s="173">
        <v>0.65930527924409699</v>
      </c>
      <c r="M253" s="86">
        <v>9.2744</v>
      </c>
      <c r="N253" s="94">
        <v>4.2332982906516001</v>
      </c>
      <c r="O253" s="86">
        <v>8.5020889999999998</v>
      </c>
      <c r="P253" s="94">
        <v>5.1831251889964003</v>
      </c>
      <c r="Q253" s="86">
        <v>8.3219119999999993</v>
      </c>
      <c r="R253" s="94">
        <v>8.8132814317929302</v>
      </c>
    </row>
    <row r="254" spans="2:18">
      <c r="B254" s="172">
        <v>9.3159430000000008</v>
      </c>
      <c r="C254" s="54">
        <v>0.3314012866419232</v>
      </c>
      <c r="D254" s="54">
        <v>3.9178500287944685E-7</v>
      </c>
      <c r="E254" s="173">
        <v>0.66859832157307408</v>
      </c>
      <c r="M254" s="86">
        <v>9.2964319999999994</v>
      </c>
      <c r="N254" s="94">
        <v>4.2735903817278995</v>
      </c>
      <c r="O254" s="86">
        <v>8.5231779999999997</v>
      </c>
      <c r="P254" s="94">
        <v>5.2151925877686001</v>
      </c>
      <c r="Q254" s="86">
        <v>8.3367439999999995</v>
      </c>
      <c r="R254" s="94">
        <v>8.8678444954168008</v>
      </c>
    </row>
    <row r="255" spans="2:18">
      <c r="B255" s="172">
        <v>9.336373</v>
      </c>
      <c r="C255" s="54">
        <v>0.32228822632945919</v>
      </c>
      <c r="D255" s="54">
        <v>3.671407473840377E-7</v>
      </c>
      <c r="E255" s="173">
        <v>0.67771140652979334</v>
      </c>
      <c r="M255" s="86">
        <v>9.3159430000000008</v>
      </c>
      <c r="N255" s="94">
        <v>4.3157843908595996</v>
      </c>
      <c r="O255" s="86">
        <v>8.5425839999999997</v>
      </c>
      <c r="P255" s="94">
        <v>5.2487618131901996</v>
      </c>
      <c r="Q255" s="86">
        <v>8.3513300000000008</v>
      </c>
      <c r="R255" s="94">
        <v>8.9234741613501996</v>
      </c>
    </row>
    <row r="256" spans="2:18">
      <c r="B256" s="172">
        <v>9.3578119999999991</v>
      </c>
      <c r="C256" s="54">
        <v>0.31334992355100966</v>
      </c>
      <c r="D256" s="54">
        <v>3.4296910790417156E-7</v>
      </c>
      <c r="E256" s="173">
        <v>0.68664973347988245</v>
      </c>
      <c r="M256" s="86">
        <v>9.336373</v>
      </c>
      <c r="N256" s="94">
        <v>4.3579779999913004</v>
      </c>
      <c r="O256" s="86">
        <v>8.5628989999999998</v>
      </c>
      <c r="P256" s="94">
        <v>5.2823307386118001</v>
      </c>
      <c r="Q256" s="86">
        <v>8.3653259999999996</v>
      </c>
      <c r="R256" s="94">
        <v>8.9805708304585714</v>
      </c>
    </row>
    <row r="257" spans="2:18">
      <c r="B257" s="172">
        <v>9.3792969999999993</v>
      </c>
      <c r="C257" s="54">
        <v>0.30462402113194181</v>
      </c>
      <c r="D257" s="54">
        <v>3.2022953101694574E-7</v>
      </c>
      <c r="E257" s="173">
        <v>0.69537565863852713</v>
      </c>
      <c r="M257" s="86">
        <v>9.3578119999999991</v>
      </c>
      <c r="N257" s="94">
        <v>4.400171809123</v>
      </c>
      <c r="O257" s="86">
        <v>8.5830059999999992</v>
      </c>
      <c r="P257" s="94">
        <v>5.3166401744690006</v>
      </c>
      <c r="Q257" s="86">
        <v>8.3796130000000009</v>
      </c>
      <c r="R257" s="94">
        <v>9.0379271000263</v>
      </c>
    </row>
    <row r="258" spans="2:18">
      <c r="B258" s="172">
        <v>9.3991369999999996</v>
      </c>
      <c r="C258" s="54">
        <v>0.29617176029383963</v>
      </c>
      <c r="D258" s="54">
        <v>3.0031261325512497E-7</v>
      </c>
      <c r="E258" s="173">
        <v>0.70382793939354715</v>
      </c>
      <c r="M258" s="86">
        <v>9.3792969999999993</v>
      </c>
      <c r="N258" s="94">
        <v>4.4429756227719999</v>
      </c>
      <c r="O258" s="86">
        <v>8.6019850000000009</v>
      </c>
      <c r="P258" s="94">
        <v>5.3521875277720001</v>
      </c>
      <c r="Q258" s="86">
        <v>8.3933850000000003</v>
      </c>
      <c r="R258" s="94">
        <v>9.0967206721342002</v>
      </c>
    </row>
    <row r="259" spans="2:18">
      <c r="B259" s="172">
        <v>9.4193219999999993</v>
      </c>
      <c r="C259" s="54">
        <v>0.28791102572020028</v>
      </c>
      <c r="D259" s="54">
        <v>2.8128025739146487E-7</v>
      </c>
      <c r="E259" s="173">
        <v>0.71208869299954225</v>
      </c>
      <c r="M259" s="86">
        <v>9.3991369999999996</v>
      </c>
      <c r="N259" s="94">
        <v>4.4872880475891996</v>
      </c>
      <c r="O259" s="86">
        <v>8.6218319999999995</v>
      </c>
      <c r="P259" s="94">
        <v>5.3877342810749997</v>
      </c>
      <c r="Q259" s="86">
        <v>8.4076079999999997</v>
      </c>
      <c r="R259" s="94">
        <v>9.1555146442420501</v>
      </c>
    </row>
    <row r="260" spans="2:18">
      <c r="B260" s="172">
        <v>9.4387670000000004</v>
      </c>
      <c r="C260" s="54">
        <v>0.27988426801728461</v>
      </c>
      <c r="D260" s="54">
        <v>2.639604864042063E-7</v>
      </c>
      <c r="E260" s="173">
        <v>0.72011546802222892</v>
      </c>
      <c r="M260" s="86">
        <v>9.4193219999999993</v>
      </c>
      <c r="N260" s="94">
        <v>4.5319785747561001</v>
      </c>
      <c r="O260" s="86">
        <v>8.6404270000000007</v>
      </c>
      <c r="P260" s="94">
        <v>5.4248197511987</v>
      </c>
      <c r="Q260" s="86">
        <v>8.4208280000000002</v>
      </c>
      <c r="R260" s="94">
        <v>9.2165729198506998</v>
      </c>
    </row>
    <row r="261" spans="2:18">
      <c r="B261" s="172">
        <v>9.4583560000000002</v>
      </c>
      <c r="C261" s="54">
        <v>0.2720521972954294</v>
      </c>
      <c r="D261" s="54">
        <v>2.475428482980401E-7</v>
      </c>
      <c r="E261" s="173">
        <v>0.72794755516172238</v>
      </c>
      <c r="M261" s="86">
        <v>9.4387670000000004</v>
      </c>
      <c r="N261" s="94">
        <v>4.577700308332</v>
      </c>
      <c r="O261" s="86">
        <v>8.6576839999999997</v>
      </c>
      <c r="P261" s="94">
        <v>5.4633615372440003</v>
      </c>
      <c r="Q261" s="86">
        <v>8.4342649999999999</v>
      </c>
      <c r="R261" s="94">
        <v>9.27792469591326</v>
      </c>
    </row>
    <row r="262" spans="2:18">
      <c r="B262" s="172">
        <v>9.4764440000000008</v>
      </c>
      <c r="C262" s="54">
        <v>0.26448527213326939</v>
      </c>
      <c r="D262" s="54">
        <v>2.3312992866158676E-7</v>
      </c>
      <c r="E262" s="173">
        <v>0.73551449473680208</v>
      </c>
      <c r="M262" s="86">
        <v>9.4583560000000002</v>
      </c>
      <c r="N262" s="94">
        <v>4.6239457446246996</v>
      </c>
      <c r="O262" s="86">
        <v>8.675656</v>
      </c>
      <c r="P262" s="94">
        <v>5.5019028232895995</v>
      </c>
      <c r="Q262" s="86">
        <v>8.4354669999999992</v>
      </c>
      <c r="R262" s="94">
        <v>9.2760423931881313</v>
      </c>
    </row>
    <row r="263" spans="2:18">
      <c r="B263" s="172">
        <v>9.4953190000000003</v>
      </c>
      <c r="C263" s="54">
        <v>0.25707171495357334</v>
      </c>
      <c r="D263" s="54">
        <v>2.1900913301984578E-7</v>
      </c>
      <c r="E263" s="173">
        <v>0.74292806603729367</v>
      </c>
      <c r="M263" s="86">
        <v>9.4764440000000008</v>
      </c>
      <c r="N263" s="94">
        <v>4.6717746891304994</v>
      </c>
      <c r="O263" s="86">
        <v>8.6944040000000005</v>
      </c>
      <c r="P263" s="94">
        <v>5.5404441093350005</v>
      </c>
      <c r="Q263" s="86">
        <v>8.4492809999999992</v>
      </c>
      <c r="R263" s="94">
        <v>9.3375080694602701</v>
      </c>
    </row>
    <row r="264" spans="2:18">
      <c r="B264" s="172">
        <v>9.5150509999999997</v>
      </c>
      <c r="C264" s="54">
        <v>0.2498069569858106</v>
      </c>
      <c r="D264" s="54">
        <v>2.051716735338407E-7</v>
      </c>
      <c r="E264" s="173">
        <v>0.75019283784251589</v>
      </c>
      <c r="M264" s="86">
        <v>9.4953190000000003</v>
      </c>
      <c r="N264" s="94">
        <v>4.7196036336363001</v>
      </c>
      <c r="O264" s="86">
        <v>8.7139980000000001</v>
      </c>
      <c r="P264" s="94">
        <v>5.5789854953803992</v>
      </c>
      <c r="Q264" s="86">
        <v>8.462923</v>
      </c>
      <c r="R264" s="94">
        <v>9.3999447470397008</v>
      </c>
    </row>
    <row r="265" spans="2:18">
      <c r="B265" s="172">
        <v>9.534891</v>
      </c>
      <c r="C265" s="54">
        <v>0.24272640087132566</v>
      </c>
      <c r="D265" s="54">
        <v>1.9209067582513003E-7</v>
      </c>
      <c r="E265" s="173">
        <v>0.7572734070379985</v>
      </c>
      <c r="M265" s="86">
        <v>9.5150509999999997</v>
      </c>
      <c r="N265" s="94">
        <v>4.7674324781420996</v>
      </c>
      <c r="O265" s="86">
        <v>8.7345170000000003</v>
      </c>
      <c r="P265" s="94">
        <v>5.6175269814259003</v>
      </c>
      <c r="Q265" s="86">
        <v>8.4759810000000009</v>
      </c>
      <c r="R265" s="94">
        <v>9.4640142266760492</v>
      </c>
    </row>
    <row r="266" spans="2:18">
      <c r="B266" s="172">
        <v>9.5523969999999991</v>
      </c>
      <c r="C266" s="54">
        <v>0.23593943008836804</v>
      </c>
      <c r="D266" s="54">
        <v>1.8107818912260995E-7</v>
      </c>
      <c r="E266" s="173">
        <v>0.76406038883344285</v>
      </c>
      <c r="M266" s="86">
        <v>9.534891</v>
      </c>
      <c r="N266" s="94">
        <v>4.8158457250790603</v>
      </c>
      <c r="O266" s="86">
        <v>8.7516960000000008</v>
      </c>
      <c r="P266" s="94">
        <v>5.6592600928534003</v>
      </c>
      <c r="Q266" s="86">
        <v>8.4894429999999996</v>
      </c>
      <c r="R266" s="94">
        <v>9.5280838063124005</v>
      </c>
    </row>
    <row r="267" spans="2:18">
      <c r="B267" s="172">
        <v>9.5706380000000006</v>
      </c>
      <c r="C267" s="54">
        <v>0.22929222230170976</v>
      </c>
      <c r="D267" s="54">
        <v>1.702924640916605E-7</v>
      </c>
      <c r="E267" s="173">
        <v>0.77070760740582611</v>
      </c>
      <c r="M267" s="86">
        <v>9.5523969999999991</v>
      </c>
      <c r="N267" s="94">
        <v>4.8664684812112995</v>
      </c>
      <c r="O267" s="86">
        <v>8.7683999999999997</v>
      </c>
      <c r="P267" s="94">
        <v>5.7018279109219998</v>
      </c>
      <c r="Q267" s="86">
        <v>8.5033359999999991</v>
      </c>
      <c r="R267" s="94">
        <v>9.59215408594876</v>
      </c>
    </row>
    <row r="268" spans="2:18">
      <c r="B268" s="172">
        <v>9.5894840000000006</v>
      </c>
      <c r="C268" s="54">
        <v>0.22284496221451303</v>
      </c>
      <c r="D268" s="54">
        <v>1.5983113350387963E-7</v>
      </c>
      <c r="E268" s="173">
        <v>0.77715487795435345</v>
      </c>
      <c r="M268" s="86">
        <v>9.5706380000000006</v>
      </c>
      <c r="N268" s="94">
        <v>4.9170913373436003</v>
      </c>
      <c r="O268" s="86">
        <v>8.7857730000000007</v>
      </c>
      <c r="P268" s="94">
        <v>5.7443959289907003</v>
      </c>
      <c r="Q268" s="86">
        <v>8.5176879999999997</v>
      </c>
      <c r="R268" s="94">
        <v>9.6562236655851201</v>
      </c>
    </row>
    <row r="269" spans="2:18">
      <c r="B269" s="172">
        <v>9.5907660000000003</v>
      </c>
      <c r="C269" s="54">
        <v>0.2227822883130173</v>
      </c>
      <c r="D269" s="54">
        <v>1.5924506621031531E-7</v>
      </c>
      <c r="E269" s="173">
        <v>0.77721755244191637</v>
      </c>
      <c r="M269" s="86">
        <v>9.5894840000000006</v>
      </c>
      <c r="N269" s="94">
        <v>4.9672080939145005</v>
      </c>
      <c r="O269" s="86">
        <v>8.8038509999999999</v>
      </c>
      <c r="P269" s="94">
        <v>5.7869215471412998</v>
      </c>
      <c r="Q269" s="86">
        <v>8.5307460000000006</v>
      </c>
      <c r="R269" s="94">
        <v>9.7231274482578502</v>
      </c>
    </row>
    <row r="270" spans="2:18">
      <c r="B270" s="172">
        <v>9.6090149999999994</v>
      </c>
      <c r="C270" s="54">
        <v>0.216480539010973</v>
      </c>
      <c r="D270" s="54">
        <v>1.4971437557949828E-7</v>
      </c>
      <c r="E270" s="173">
        <v>0.78351931127465146</v>
      </c>
      <c r="M270" s="86">
        <v>9.5907660000000003</v>
      </c>
      <c r="N270" s="94">
        <v>4.9662825908560002</v>
      </c>
      <c r="O270" s="86">
        <v>8.8070970000000006</v>
      </c>
      <c r="P270" s="94">
        <v>5.7843353306283003</v>
      </c>
      <c r="Q270" s="86">
        <v>8.543927</v>
      </c>
      <c r="R270" s="94">
        <v>9.7904675313977503</v>
      </c>
    </row>
    <row r="271" spans="2:18">
      <c r="B271" s="172">
        <v>9.6269829999999992</v>
      </c>
      <c r="C271" s="54">
        <v>0.21036120861444357</v>
      </c>
      <c r="D271" s="54">
        <v>1.4085666467982912E-7</v>
      </c>
      <c r="E271" s="173">
        <v>0.78963865052889171</v>
      </c>
      <c r="M271" s="86">
        <v>9.6090149999999994</v>
      </c>
      <c r="N271" s="94">
        <v>5.0180852512794996</v>
      </c>
      <c r="O271" s="86">
        <v>8.8247269999999993</v>
      </c>
      <c r="P271" s="94">
        <v>5.8279396555303</v>
      </c>
      <c r="Q271" s="86">
        <v>8.5575209999999995</v>
      </c>
      <c r="R271" s="94">
        <v>9.8578075145376491</v>
      </c>
    </row>
    <row r="272" spans="2:18">
      <c r="B272" s="172">
        <v>9.6442560000000004</v>
      </c>
      <c r="C272" s="54">
        <v>0.20444126498711476</v>
      </c>
      <c r="D272" s="54">
        <v>1.3279418946894887E-7</v>
      </c>
      <c r="E272" s="173">
        <v>0.79555860221869579</v>
      </c>
      <c r="M272" s="86">
        <v>9.6269829999999992</v>
      </c>
      <c r="N272" s="94">
        <v>5.0706958142413008</v>
      </c>
      <c r="O272" s="86">
        <v>8.8420559999999995</v>
      </c>
      <c r="P272" s="94">
        <v>5.8724111853038004</v>
      </c>
      <c r="Q272" s="86">
        <v>8.5715529999999998</v>
      </c>
      <c r="R272" s="94">
        <v>9.9251479976775503</v>
      </c>
    </row>
    <row r="273" spans="2:18">
      <c r="B273" s="172">
        <v>9.6622430000000001</v>
      </c>
      <c r="C273" s="54">
        <v>0.19864416553473616</v>
      </c>
      <c r="D273" s="54">
        <v>1.248990194919417E-7</v>
      </c>
      <c r="E273" s="173">
        <v>0.80135570956624436</v>
      </c>
      <c r="M273" s="86">
        <v>9.6442560000000004</v>
      </c>
      <c r="N273" s="94">
        <v>5.1244282804942998</v>
      </c>
      <c r="O273" s="86">
        <v>8.8585609999999999</v>
      </c>
      <c r="P273" s="94">
        <v>5.9182063219565997</v>
      </c>
      <c r="Q273" s="86">
        <v>8.5844719999999999</v>
      </c>
      <c r="R273" s="94">
        <v>9.9952610831004804</v>
      </c>
    </row>
    <row r="274" spans="2:18">
      <c r="B274" s="172">
        <v>9.6807110000000005</v>
      </c>
      <c r="C274" s="54">
        <v>0.19298132229072515</v>
      </c>
      <c r="D274" s="54">
        <v>1.172762331350749E-7</v>
      </c>
      <c r="E274" s="173">
        <v>0.80701856043304165</v>
      </c>
      <c r="M274" s="86">
        <v>9.6622430000000001</v>
      </c>
      <c r="N274" s="94">
        <v>5.1781611467472501</v>
      </c>
      <c r="O274" s="86">
        <v>8.8757160000000006</v>
      </c>
      <c r="P274" s="94">
        <v>5.9640013586093996</v>
      </c>
      <c r="Q274" s="86">
        <v>8.5965140000000009</v>
      </c>
      <c r="R274" s="94">
        <v>10.06754377030958</v>
      </c>
    </row>
    <row r="275" spans="2:18">
      <c r="B275" s="172">
        <v>9.6975949999999997</v>
      </c>
      <c r="C275" s="54">
        <v>0.18755236377857937</v>
      </c>
      <c r="D275" s="54">
        <v>1.1065759604796999E-7</v>
      </c>
      <c r="E275" s="173">
        <v>0.8124475255638246</v>
      </c>
      <c r="M275" s="86">
        <v>9.6807110000000005</v>
      </c>
      <c r="N275" s="94">
        <v>5.2321312136046396</v>
      </c>
      <c r="O275" s="86">
        <v>8.8935790000000008</v>
      </c>
      <c r="P275" s="94">
        <v>6.0097968952620997</v>
      </c>
      <c r="Q275" s="86">
        <v>8.6088989999999992</v>
      </c>
      <c r="R275" s="94">
        <v>10.13982755751864</v>
      </c>
    </row>
    <row r="276" spans="2:18">
      <c r="B276" s="172">
        <v>9.7151619999999994</v>
      </c>
      <c r="C276" s="54">
        <v>0.18223680322498595</v>
      </c>
      <c r="D276" s="54">
        <v>1.0417719148865884E-7</v>
      </c>
      <c r="E276" s="173">
        <v>0.81776309259782254</v>
      </c>
      <c r="M276" s="86">
        <v>9.6975949999999997</v>
      </c>
      <c r="N276" s="94">
        <v>5.2879402851507598</v>
      </c>
      <c r="O276" s="86">
        <v>8.9105410000000003</v>
      </c>
      <c r="P276" s="94">
        <v>6.0570618383708998</v>
      </c>
      <c r="Q276" s="86">
        <v>8.6216489999999997</v>
      </c>
      <c r="R276" s="94">
        <v>10.212110244727739</v>
      </c>
    </row>
    <row r="277" spans="2:18">
      <c r="B277" s="172">
        <v>9.7332730000000005</v>
      </c>
      <c r="C277" s="54">
        <v>0.17704153240493842</v>
      </c>
      <c r="D277" s="54">
        <v>9.7892666392542035E-8</v>
      </c>
      <c r="E277" s="173">
        <v>0.82295836970239511</v>
      </c>
      <c r="M277" s="86">
        <v>9.7151619999999994</v>
      </c>
      <c r="N277" s="94">
        <v>5.3437493566968</v>
      </c>
      <c r="O277" s="86">
        <v>8.9269149999999993</v>
      </c>
      <c r="P277" s="94">
        <v>6.1054116862439001</v>
      </c>
      <c r="Q277" s="86">
        <v>8.6347830000000005</v>
      </c>
      <c r="R277" s="94">
        <v>10.28439303193683</v>
      </c>
    </row>
    <row r="278" spans="2:18">
      <c r="B278" s="172">
        <v>9.7487060000000003</v>
      </c>
      <c r="C278" s="54">
        <v>0.17212930268589374</v>
      </c>
      <c r="D278" s="54">
        <v>9.2770672511075532E-8</v>
      </c>
      <c r="E278" s="173">
        <v>0.82787060454343375</v>
      </c>
      <c r="M278" s="86">
        <v>9.7332730000000005</v>
      </c>
      <c r="N278" s="94">
        <v>5.3997320685941705</v>
      </c>
      <c r="O278" s="86">
        <v>8.9439329999999995</v>
      </c>
      <c r="P278" s="94">
        <v>6.1537616341170001</v>
      </c>
      <c r="Q278" s="86">
        <v>8.6483270000000001</v>
      </c>
      <c r="R278" s="94">
        <v>10.35667561914593</v>
      </c>
    </row>
    <row r="279" spans="2:18">
      <c r="B279" s="172">
        <v>9.7647084999999993</v>
      </c>
      <c r="C279" s="54">
        <v>0.16732191443371053</v>
      </c>
      <c r="D279" s="54">
        <v>8.7757984840568847E-8</v>
      </c>
      <c r="E279" s="173">
        <v>0.83267799780830465</v>
      </c>
      <c r="M279" s="86">
        <v>9.7487060000000003</v>
      </c>
      <c r="N279" s="94">
        <v>5.4586205563998993</v>
      </c>
      <c r="O279" s="86">
        <v>8.9616430000000005</v>
      </c>
      <c r="P279" s="94">
        <v>6.2021110819900001</v>
      </c>
      <c r="Q279" s="86">
        <v>8.6623079999999995</v>
      </c>
      <c r="R279" s="94">
        <v>10.428958306355019</v>
      </c>
    </row>
    <row r="280" spans="2:18">
      <c r="B280" s="172">
        <v>9.7813224999999999</v>
      </c>
      <c r="C280" s="54">
        <v>0.16261608454201698</v>
      </c>
      <c r="D280" s="54">
        <v>8.2851185198169778E-8</v>
      </c>
      <c r="E280" s="173">
        <v>0.83738383260679783</v>
      </c>
      <c r="M280" s="86">
        <v>9.7647084999999993</v>
      </c>
      <c r="N280" s="94">
        <v>5.5175097842055401</v>
      </c>
      <c r="O280" s="86">
        <v>8.9762520000000006</v>
      </c>
      <c r="P280" s="94">
        <v>6.2542132424921402</v>
      </c>
      <c r="Q280" s="86">
        <v>8.6767529999999997</v>
      </c>
      <c r="R280" s="94">
        <v>10.501242093564089</v>
      </c>
    </row>
    <row r="281" spans="2:18">
      <c r="B281" s="172">
        <v>9.7985969999999991</v>
      </c>
      <c r="C281" s="54">
        <v>0.15800858205843232</v>
      </c>
      <c r="D281" s="54">
        <v>7.8046935305716835E-8</v>
      </c>
      <c r="E281" s="173">
        <v>0.84199133989463237</v>
      </c>
      <c r="M281" s="86">
        <v>9.7813224999999999</v>
      </c>
      <c r="N281" s="94">
        <v>5.5763985620112297</v>
      </c>
      <c r="O281" s="86">
        <v>8.9912799999999997</v>
      </c>
      <c r="P281" s="94">
        <v>6.3063976032718001</v>
      </c>
      <c r="Q281" s="86">
        <v>8.6916949999999993</v>
      </c>
      <c r="R281" s="94">
        <v>10.57352478077318</v>
      </c>
    </row>
    <row r="282" spans="2:18">
      <c r="B282" s="172">
        <v>9.8165879999999994</v>
      </c>
      <c r="C282" s="54">
        <v>0.15349637823073869</v>
      </c>
      <c r="D282" s="54">
        <v>7.3342053313067602E-8</v>
      </c>
      <c r="E282" s="173">
        <v>0.84650354842720799</v>
      </c>
      <c r="M282" s="86">
        <v>9.7985969999999991</v>
      </c>
      <c r="N282" s="94">
        <v>5.6352877698169399</v>
      </c>
      <c r="O282" s="86">
        <v>9.0068470000000005</v>
      </c>
      <c r="P282" s="94">
        <v>6.3585824640516</v>
      </c>
      <c r="Q282" s="86">
        <v>8.7047249999999998</v>
      </c>
      <c r="R282" s="94">
        <v>10.649747270500519</v>
      </c>
    </row>
    <row r="283" spans="2:18">
      <c r="B283" s="172">
        <v>9.8353570000000001</v>
      </c>
      <c r="C283" s="54">
        <v>0.14907656985066767</v>
      </c>
      <c r="D283" s="54">
        <v>6.8733496353818364E-8</v>
      </c>
      <c r="E283" s="173">
        <v>0.85092336141583591</v>
      </c>
      <c r="M283" s="86">
        <v>9.8165879999999994</v>
      </c>
      <c r="N283" s="94">
        <v>5.6941769576226298</v>
      </c>
      <c r="O283" s="86">
        <v>9.0229940000000006</v>
      </c>
      <c r="P283" s="94">
        <v>6.4107669248312602</v>
      </c>
      <c r="Q283" s="86">
        <v>8.7180250000000008</v>
      </c>
      <c r="R283" s="94">
        <v>10.72617706036085</v>
      </c>
    </row>
    <row r="284" spans="2:18">
      <c r="B284" s="172">
        <v>9.8505109999999991</v>
      </c>
      <c r="C284" s="54">
        <v>0.14496007611534312</v>
      </c>
      <c r="D284" s="54">
        <v>6.5173270362182895E-8</v>
      </c>
      <c r="E284" s="173">
        <v>0.85503985871138644</v>
      </c>
      <c r="M284" s="86">
        <v>9.8353570000000001</v>
      </c>
      <c r="N284" s="94">
        <v>5.7530656954283206</v>
      </c>
      <c r="O284" s="86">
        <v>9.0397639999999999</v>
      </c>
      <c r="P284" s="94">
        <v>6.4629511856109998</v>
      </c>
      <c r="Q284" s="86">
        <v>8.7310029999999994</v>
      </c>
      <c r="R284" s="94">
        <v>10.80393875090904</v>
      </c>
    </row>
    <row r="285" spans="2:18">
      <c r="B285" s="172">
        <v>9.8659189999999999</v>
      </c>
      <c r="C285" s="54">
        <v>0.14094504597525537</v>
      </c>
      <c r="D285" s="54">
        <v>6.1749419889005472E-8</v>
      </c>
      <c r="E285" s="173">
        <v>0.85905489227532472</v>
      </c>
      <c r="M285" s="86">
        <v>9.8505109999999991</v>
      </c>
      <c r="N285" s="94">
        <v>5.8157569490319005</v>
      </c>
      <c r="O285" s="86">
        <v>9.0572079999999993</v>
      </c>
      <c r="P285" s="94">
        <v>6.5151357463907509</v>
      </c>
      <c r="Q285" s="86">
        <v>8.7441849999999999</v>
      </c>
      <c r="R285" s="94">
        <v>10.882037641632401</v>
      </c>
    </row>
    <row r="286" spans="2:18">
      <c r="B286" s="172">
        <v>9.8818940000000008</v>
      </c>
      <c r="C286" s="54">
        <v>0.13701507176439603</v>
      </c>
      <c r="D286" s="54">
        <v>5.8398103598820617E-8</v>
      </c>
      <c r="E286" s="173">
        <v>0.86298486983750022</v>
      </c>
      <c r="M286" s="86">
        <v>9.8659189999999999</v>
      </c>
      <c r="N286" s="94">
        <v>5.8786906930057405</v>
      </c>
      <c r="O286" s="86">
        <v>9.0753819999999994</v>
      </c>
      <c r="P286" s="94">
        <v>6.5673202071704404</v>
      </c>
      <c r="Q286" s="86">
        <v>8.7569169999999996</v>
      </c>
      <c r="R286" s="94">
        <v>10.96175823309126</v>
      </c>
    </row>
    <row r="287" spans="2:18">
      <c r="B287" s="172">
        <v>9.8984784999999995</v>
      </c>
      <c r="C287" s="54">
        <v>0.13316747764607043</v>
      </c>
      <c r="D287" s="54">
        <v>5.5117039243194884E-8</v>
      </c>
      <c r="E287" s="173">
        <v>0.86683246723689034</v>
      </c>
      <c r="M287" s="86">
        <v>9.8818940000000008</v>
      </c>
      <c r="N287" s="94">
        <v>5.9416244469796009</v>
      </c>
      <c r="O287" s="86">
        <v>9.0903740000000006</v>
      </c>
      <c r="P287" s="94">
        <v>6.6235091774746992</v>
      </c>
      <c r="Q287" s="86">
        <v>8.7695430000000005</v>
      </c>
      <c r="R287" s="94">
        <v>11.04237362495628</v>
      </c>
    </row>
    <row r="288" spans="2:18">
      <c r="B288" s="172">
        <v>9.9157229999999998</v>
      </c>
      <c r="C288" s="54">
        <v>0.12939970730678696</v>
      </c>
      <c r="D288" s="54">
        <v>5.1904039365871476E-8</v>
      </c>
      <c r="E288" s="173">
        <v>0.87060024078917364</v>
      </c>
      <c r="M288" s="86">
        <v>9.8984784999999995</v>
      </c>
      <c r="N288" s="94">
        <v>6.0045582009534693</v>
      </c>
      <c r="O288" s="86">
        <v>9.1047790000000006</v>
      </c>
      <c r="P288" s="94">
        <v>6.6807968503918005</v>
      </c>
      <c r="Q288" s="86">
        <v>8.782546</v>
      </c>
      <c r="R288" s="94">
        <v>11.1229888168213</v>
      </c>
    </row>
    <row r="289" spans="2:18">
      <c r="B289" s="172">
        <v>9.9336789999999997</v>
      </c>
      <c r="C289" s="54">
        <v>0.12570928808775031</v>
      </c>
      <c r="D289" s="54">
        <v>4.8757003866204144E-8</v>
      </c>
      <c r="E289" s="173">
        <v>0.87429066315524584</v>
      </c>
      <c r="M289" s="86">
        <v>9.9157229999999998</v>
      </c>
      <c r="N289" s="94">
        <v>6.0674915449273206</v>
      </c>
      <c r="O289" s="86">
        <v>9.1196784999999991</v>
      </c>
      <c r="P289" s="94">
        <v>6.7380840233089003</v>
      </c>
      <c r="Q289" s="86">
        <v>8.7959510000000005</v>
      </c>
      <c r="R289" s="94">
        <v>11.203604708686321</v>
      </c>
    </row>
    <row r="290" spans="2:18">
      <c r="B290" s="172">
        <v>9.934075</v>
      </c>
      <c r="C290" s="54">
        <v>0.12569140579540403</v>
      </c>
      <c r="D290" s="54">
        <v>4.869358874844131E-8</v>
      </c>
      <c r="E290" s="173">
        <v>0.87430854551100723</v>
      </c>
      <c r="M290" s="86">
        <v>9.9336789999999997</v>
      </c>
      <c r="N290" s="94">
        <v>6.1304252989011694</v>
      </c>
      <c r="O290" s="86">
        <v>9.1351069999999996</v>
      </c>
      <c r="P290" s="94">
        <v>6.7953718962260004</v>
      </c>
      <c r="Q290" s="86">
        <v>8.8091799999999996</v>
      </c>
      <c r="R290" s="94">
        <v>11.28536370099002</v>
      </c>
    </row>
    <row r="291" spans="2:18">
      <c r="B291" s="172">
        <v>9.9501679999999997</v>
      </c>
      <c r="C291" s="54">
        <v>0.12219193891164642</v>
      </c>
      <c r="D291" s="54">
        <v>4.6025188479378744E-8</v>
      </c>
      <c r="E291" s="173">
        <v>0.87780801506316508</v>
      </c>
      <c r="M291" s="86">
        <v>9.934075</v>
      </c>
      <c r="N291" s="94">
        <v>6.1300833984957599</v>
      </c>
      <c r="O291" s="86">
        <v>9.139284</v>
      </c>
      <c r="P291" s="94">
        <v>6.7908057875078995</v>
      </c>
      <c r="Q291" s="86">
        <v>8.8216129999999993</v>
      </c>
      <c r="R291" s="94">
        <v>11.369354894150471</v>
      </c>
    </row>
    <row r="292" spans="2:18">
      <c r="B292" s="172">
        <v>9.9660609999999998</v>
      </c>
      <c r="C292" s="54">
        <v>0.11880274178054794</v>
      </c>
      <c r="D292" s="54">
        <v>4.3531078583765796E-8</v>
      </c>
      <c r="E292" s="173">
        <v>0.88119721468837353</v>
      </c>
      <c r="M292" s="86">
        <v>9.9501679999999997</v>
      </c>
      <c r="N292" s="94">
        <v>6.1952482851374704</v>
      </c>
      <c r="O292" s="86">
        <v>9.1548909999999992</v>
      </c>
      <c r="P292" s="94">
        <v>6.8486059615606001</v>
      </c>
      <c r="Q292" s="86">
        <v>8.8344140000000007</v>
      </c>
      <c r="R292" s="94">
        <v>11.453346187310929</v>
      </c>
    </row>
    <row r="293" spans="2:18">
      <c r="B293" s="172">
        <v>9.9814209999999992</v>
      </c>
      <c r="C293" s="54">
        <v>0.11553562780284307</v>
      </c>
      <c r="D293" s="54">
        <v>4.1244316559466641E-8</v>
      </c>
      <c r="E293" s="173">
        <v>0.88446433095284038</v>
      </c>
      <c r="M293" s="86">
        <v>9.9660609999999998</v>
      </c>
      <c r="N293" s="94">
        <v>6.2611795725558999</v>
      </c>
      <c r="O293" s="86">
        <v>9.1702899999999996</v>
      </c>
      <c r="P293" s="94">
        <v>6.9072699371343997</v>
      </c>
      <c r="Q293" s="86">
        <v>8.8476020000000002</v>
      </c>
      <c r="R293" s="94">
        <v>11.537336980471391</v>
      </c>
    </row>
    <row r="294" spans="2:18">
      <c r="B294" s="172">
        <v>9.9973469999999995</v>
      </c>
      <c r="C294" s="54">
        <v>0.11233696978662308</v>
      </c>
      <c r="D294" s="54">
        <v>3.9005471593945219E-8</v>
      </c>
      <c r="E294" s="173">
        <v>0.88766299120790526</v>
      </c>
      <c r="M294" s="86">
        <v>9.9814209999999992</v>
      </c>
      <c r="N294" s="94">
        <v>6.3281899610018693</v>
      </c>
      <c r="O294" s="86">
        <v>9.1850830000000006</v>
      </c>
      <c r="P294" s="94">
        <v>6.9672418148620494</v>
      </c>
      <c r="Q294" s="86">
        <v>8.8611470000000008</v>
      </c>
      <c r="R294" s="94">
        <v>11.62144057366762</v>
      </c>
    </row>
    <row r="295" spans="2:18">
      <c r="B295" s="172">
        <v>10.013795</v>
      </c>
      <c r="C295" s="54">
        <v>0.10920835985126544</v>
      </c>
      <c r="D295" s="54">
        <v>3.6823242589870776E-8</v>
      </c>
      <c r="E295" s="173">
        <v>0.89079160332549201</v>
      </c>
      <c r="M295" s="86">
        <v>9.9973469999999995</v>
      </c>
      <c r="N295" s="94">
        <v>6.3952007194478204</v>
      </c>
      <c r="O295" s="86">
        <v>9.2003979999999999</v>
      </c>
      <c r="P295" s="94">
        <v>7.0272133925897</v>
      </c>
      <c r="Q295" s="86">
        <v>8.8734044999999995</v>
      </c>
      <c r="R295" s="94">
        <v>11.708835067911</v>
      </c>
    </row>
    <row r="296" spans="2:18">
      <c r="B296" s="172">
        <v>10.028860999999999</v>
      </c>
      <c r="C296" s="54">
        <v>0.10623102220984473</v>
      </c>
      <c r="D296" s="54">
        <v>3.4922622970747145E-8</v>
      </c>
      <c r="E296" s="173">
        <v>0.89376894286753228</v>
      </c>
      <c r="M296" s="86">
        <v>10.013795</v>
      </c>
      <c r="N296" s="94">
        <v>6.46229373796261</v>
      </c>
      <c r="O296" s="86">
        <v>9.2162740000000003</v>
      </c>
      <c r="P296" s="94">
        <v>7.0871852703173603</v>
      </c>
      <c r="Q296" s="86">
        <v>8.8860189999999992</v>
      </c>
      <c r="R296" s="94">
        <v>11.796230562154401</v>
      </c>
    </row>
    <row r="297" spans="2:18">
      <c r="B297" s="172">
        <v>10.044468999999999</v>
      </c>
      <c r="C297" s="54">
        <v>0.10331594780499119</v>
      </c>
      <c r="D297" s="54">
        <v>3.3061750841024851E-8</v>
      </c>
      <c r="E297" s="173">
        <v>0.8966840191332579</v>
      </c>
      <c r="M297" s="86">
        <v>10.028860999999999</v>
      </c>
      <c r="N297" s="94">
        <v>6.5313115280905301</v>
      </c>
      <c r="O297" s="86">
        <v>9.2313989999999997</v>
      </c>
      <c r="P297" s="94">
        <v>7.1486896502294002</v>
      </c>
      <c r="Q297" s="86">
        <v>8.8990100000000005</v>
      </c>
      <c r="R297" s="94">
        <v>11.883624956397771</v>
      </c>
    </row>
    <row r="298" spans="2:18">
      <c r="B298" s="172">
        <v>10.060658</v>
      </c>
      <c r="C298" s="54">
        <v>0.1004612129366475</v>
      </c>
      <c r="D298" s="54">
        <v>3.1239396692858306E-8</v>
      </c>
      <c r="E298" s="173">
        <v>0.89953875582395582</v>
      </c>
      <c r="M298" s="86">
        <v>10.044468999999999</v>
      </c>
      <c r="N298" s="94">
        <v>6.6003295182184498</v>
      </c>
      <c r="O298" s="86">
        <v>9.2461769999999994</v>
      </c>
      <c r="P298" s="94">
        <v>7.2111706315324398</v>
      </c>
      <c r="Q298" s="86">
        <v>8.9124009999999991</v>
      </c>
      <c r="R298" s="94">
        <v>11.971019450641171</v>
      </c>
    </row>
    <row r="299" spans="2:18">
      <c r="B299" s="172">
        <v>10.074826</v>
      </c>
      <c r="C299" s="54">
        <v>9.7776050584202287E-2</v>
      </c>
      <c r="D299" s="54">
        <v>2.9715122145832902E-8</v>
      </c>
      <c r="E299" s="173">
        <v>0.9022239197006755</v>
      </c>
      <c r="M299" s="86">
        <v>10.060658</v>
      </c>
      <c r="N299" s="94">
        <v>6.66934710834638</v>
      </c>
      <c r="O299" s="86">
        <v>9.261476</v>
      </c>
      <c r="P299" s="94">
        <v>7.2736513128354803</v>
      </c>
      <c r="Q299" s="86">
        <v>8.9249589999999994</v>
      </c>
      <c r="R299" s="94">
        <v>12.060915045528329</v>
      </c>
    </row>
    <row r="300" spans="2:18">
      <c r="B300" s="172">
        <v>10.0892</v>
      </c>
      <c r="C300" s="54">
        <v>9.5158438960163974E-2</v>
      </c>
      <c r="D300" s="54">
        <v>2.8248647473486226E-8</v>
      </c>
      <c r="E300" s="173">
        <v>0.90484153279118862</v>
      </c>
      <c r="M300" s="86">
        <v>10.074826</v>
      </c>
      <c r="N300" s="94">
        <v>6.7410751003118703</v>
      </c>
      <c r="O300" s="86">
        <v>9.2771849999999993</v>
      </c>
      <c r="P300" s="94">
        <v>7.3363177943473001</v>
      </c>
      <c r="Q300" s="86">
        <v>8.9374059999999993</v>
      </c>
      <c r="R300" s="94">
        <v>12.15174634065672</v>
      </c>
    </row>
    <row r="301" spans="2:18">
      <c r="B301" s="172">
        <v>10.104067000000001</v>
      </c>
      <c r="C301" s="54">
        <v>9.2595579212594092E-2</v>
      </c>
      <c r="D301" s="54">
        <v>2.6812844848214538E-8</v>
      </c>
      <c r="E301" s="173">
        <v>0.90740439397456107</v>
      </c>
      <c r="M301" s="86">
        <v>10.0892</v>
      </c>
      <c r="N301" s="94">
        <v>6.8130730924601002</v>
      </c>
      <c r="O301" s="86">
        <v>9.2905479999999994</v>
      </c>
      <c r="P301" s="94">
        <v>7.4025450798564307</v>
      </c>
      <c r="Q301" s="86">
        <v>8.9502190000000006</v>
      </c>
      <c r="R301" s="94">
        <v>12.24257863578511</v>
      </c>
    </row>
    <row r="302" spans="2:18">
      <c r="B302" s="172">
        <v>10.11946</v>
      </c>
      <c r="C302" s="54">
        <v>9.0085772985870144E-2</v>
      </c>
      <c r="D302" s="54">
        <v>2.5406760631456389E-8</v>
      </c>
      <c r="E302" s="173">
        <v>0.90991420160736924</v>
      </c>
      <c r="M302" s="86">
        <v>10.104067000000001</v>
      </c>
      <c r="N302" s="94">
        <v>6.8850713546083506</v>
      </c>
      <c r="O302" s="86">
        <v>9.3043359999999993</v>
      </c>
      <c r="P302" s="94">
        <v>7.4687719653655407</v>
      </c>
      <c r="Q302" s="86">
        <v>8.9634230000000006</v>
      </c>
      <c r="R302" s="94">
        <v>12.3334109309135</v>
      </c>
    </row>
    <row r="303" spans="2:18">
      <c r="B303" s="172">
        <v>10.135419000000001</v>
      </c>
      <c r="C303" s="54">
        <v>8.762737806988137E-2</v>
      </c>
      <c r="D303" s="54">
        <v>2.4029479751743577E-8</v>
      </c>
      <c r="E303" s="173">
        <v>0.91237259790063885</v>
      </c>
      <c r="M303" s="86">
        <v>10.11946</v>
      </c>
      <c r="N303" s="94">
        <v>6.9570691267565898</v>
      </c>
      <c r="O303" s="86">
        <v>9.3185739999999999</v>
      </c>
      <c r="P303" s="94">
        <v>7.5349984508746699</v>
      </c>
      <c r="Q303" s="86">
        <v>8.9638539999999995</v>
      </c>
      <c r="R303" s="94">
        <v>12.332544730722031</v>
      </c>
    </row>
    <row r="304" spans="2:18">
      <c r="B304" s="172">
        <v>10.151987</v>
      </c>
      <c r="C304" s="54">
        <v>8.5218833231042609E-2</v>
      </c>
      <c r="D304" s="54">
        <v>2.2680127424290254E-8</v>
      </c>
      <c r="E304" s="173">
        <v>0.91478114408882993</v>
      </c>
      <c r="M304" s="86">
        <v>10.135419000000001</v>
      </c>
      <c r="N304" s="94">
        <v>7.0290668689048204</v>
      </c>
      <c r="O304" s="86">
        <v>9.3332960000000007</v>
      </c>
      <c r="P304" s="94">
        <v>7.6012256363837798</v>
      </c>
      <c r="Q304" s="86">
        <v>8.9766169999999992</v>
      </c>
      <c r="R304" s="94">
        <v>12.42507312623742</v>
      </c>
    </row>
    <row r="305" spans="2:18">
      <c r="B305" s="172">
        <v>10.166755</v>
      </c>
      <c r="C305" s="54">
        <v>8.2949838313971208E-2</v>
      </c>
      <c r="D305" s="54">
        <v>2.1534008219515843E-8</v>
      </c>
      <c r="E305" s="173">
        <v>0.91705014015202058</v>
      </c>
      <c r="M305" s="86">
        <v>10.151987</v>
      </c>
      <c r="N305" s="94">
        <v>7.10106460105305</v>
      </c>
      <c r="O305" s="86">
        <v>9.348535</v>
      </c>
      <c r="P305" s="94">
        <v>7.6674526218928802</v>
      </c>
      <c r="Q305" s="86">
        <v>8.9892590000000006</v>
      </c>
      <c r="R305" s="94">
        <v>12.51865412196651</v>
      </c>
    </row>
    <row r="306" spans="2:18">
      <c r="B306" s="172">
        <v>10.180659</v>
      </c>
      <c r="C306" s="54">
        <v>8.0777175225047418E-2</v>
      </c>
      <c r="D306" s="54">
        <v>2.0506802660042191E-8</v>
      </c>
      <c r="E306" s="173">
        <v>0.91922280426814995</v>
      </c>
      <c r="M306" s="86">
        <v>10.166755</v>
      </c>
      <c r="N306" s="94">
        <v>7.1756069945195797</v>
      </c>
      <c r="O306" s="86">
        <v>9.3643269999999994</v>
      </c>
      <c r="P306" s="94">
        <v>7.7336791074020201</v>
      </c>
      <c r="Q306" s="86">
        <v>9.0014230000000008</v>
      </c>
      <c r="R306" s="94">
        <v>12.614054118042343</v>
      </c>
    </row>
    <row r="307" spans="2:18">
      <c r="B307" s="172">
        <v>10.195024</v>
      </c>
      <c r="C307" s="54">
        <v>7.8649551357613492E-2</v>
      </c>
      <c r="D307" s="54">
        <v>1.9500885976185431E-8</v>
      </c>
      <c r="E307" s="173">
        <v>0.92135042914150045</v>
      </c>
      <c r="M307" s="86">
        <v>10.180659</v>
      </c>
      <c r="N307" s="94">
        <v>7.2515385487058692</v>
      </c>
      <c r="O307" s="86">
        <v>9.3807159999999996</v>
      </c>
      <c r="P307" s="94">
        <v>7.7999062929111194</v>
      </c>
      <c r="Q307" s="86">
        <v>9.0139379999999996</v>
      </c>
      <c r="R307" s="94">
        <v>12.70945201411817</v>
      </c>
    </row>
    <row r="308" spans="2:18">
      <c r="B308" s="172">
        <v>10.20988</v>
      </c>
      <c r="C308" s="54">
        <v>7.6565557700020728E-2</v>
      </c>
      <c r="D308" s="54">
        <v>1.8515602048475594E-8</v>
      </c>
      <c r="E308" s="173">
        <v>0.92343442378437712</v>
      </c>
      <c r="M308" s="86">
        <v>10.195024</v>
      </c>
      <c r="N308" s="94">
        <v>7.32746964289215</v>
      </c>
      <c r="O308" s="86">
        <v>9.3939859999999999</v>
      </c>
      <c r="P308" s="94">
        <v>7.8707380822470698</v>
      </c>
      <c r="Q308" s="86">
        <v>9.0268239999999995</v>
      </c>
      <c r="R308" s="94">
        <v>12.804851910193999</v>
      </c>
    </row>
    <row r="309" spans="2:18">
      <c r="B309" s="172">
        <v>10.225263</v>
      </c>
      <c r="C309" s="54">
        <v>7.452388067588335E-2</v>
      </c>
      <c r="D309" s="54">
        <v>1.7550323633991338E-8</v>
      </c>
      <c r="E309" s="173">
        <v>0.92547610177379303</v>
      </c>
      <c r="M309" s="86">
        <v>10.20988</v>
      </c>
      <c r="N309" s="94">
        <v>7.4034011770784307</v>
      </c>
      <c r="O309" s="86">
        <v>9.4073709999999995</v>
      </c>
      <c r="P309" s="94">
        <v>7.9419323718842598</v>
      </c>
      <c r="Q309" s="86">
        <v>9.0401039999999995</v>
      </c>
      <c r="R309" s="94">
        <v>12.90025080626984</v>
      </c>
    </row>
    <row r="310" spans="2:18">
      <c r="B310" s="172">
        <v>10.241209</v>
      </c>
      <c r="C310" s="54">
        <v>7.252323941442454E-2</v>
      </c>
      <c r="D310" s="54">
        <v>1.6604450163321255E-8</v>
      </c>
      <c r="E310" s="173">
        <v>0.92747674398112534</v>
      </c>
      <c r="M310" s="86">
        <v>10.225263</v>
      </c>
      <c r="N310" s="94">
        <v>7.4793327312647095</v>
      </c>
      <c r="O310" s="86">
        <v>9.4211799999999997</v>
      </c>
      <c r="P310" s="94">
        <v>8.0131265615214211</v>
      </c>
      <c r="Q310" s="86">
        <v>9.0526169999999997</v>
      </c>
      <c r="R310" s="94">
        <v>12.99815700275777</v>
      </c>
    </row>
    <row r="311" spans="2:18">
      <c r="B311" s="172">
        <v>10.241209</v>
      </c>
      <c r="C311" s="54">
        <v>7.252323941442454E-2</v>
      </c>
      <c r="D311" s="54">
        <v>1.6604450163321255E-8</v>
      </c>
      <c r="E311" s="173">
        <v>0.92747674398112534</v>
      </c>
      <c r="M311" s="86">
        <v>10.241209</v>
      </c>
      <c r="N311" s="94">
        <v>7.5552637254509998</v>
      </c>
      <c r="O311" s="86">
        <v>9.4354429999999994</v>
      </c>
      <c r="P311" s="94">
        <v>8.0843207511586002</v>
      </c>
      <c r="Q311" s="86">
        <v>9.0649289999999993</v>
      </c>
      <c r="R311" s="94">
        <v>13.097243599439306</v>
      </c>
    </row>
    <row r="312" spans="2:18">
      <c r="B312" s="172">
        <v>10.242253</v>
      </c>
      <c r="C312" s="54">
        <v>7.2488452938431619E-2</v>
      </c>
      <c r="D312" s="54">
        <v>1.6546617596568921E-8</v>
      </c>
      <c r="E312" s="173">
        <v>0.92751153051495072</v>
      </c>
      <c r="M312" s="86">
        <v>10.241209</v>
      </c>
      <c r="N312" s="94">
        <v>7.5552637254509998</v>
      </c>
      <c r="O312" s="86">
        <v>9.4387969999999992</v>
      </c>
      <c r="P312" s="94">
        <v>8.07995834813679</v>
      </c>
      <c r="Q312" s="86">
        <v>9.0776005000000008</v>
      </c>
      <c r="R312" s="94">
        <v>13.196329196120839</v>
      </c>
    </row>
    <row r="313" spans="2:18">
      <c r="B313" s="172">
        <v>10.256962</v>
      </c>
      <c r="C313" s="54">
        <v>7.0588327753169769E-2</v>
      </c>
      <c r="D313" s="54">
        <v>1.5720060426774183E-8</v>
      </c>
      <c r="E313" s="173">
        <v>0.92941165652676982</v>
      </c>
      <c r="M313" s="86">
        <v>10.242253</v>
      </c>
      <c r="N313" s="94">
        <v>7.5541783249961005</v>
      </c>
      <c r="O313" s="86">
        <v>9.4531279999999995</v>
      </c>
      <c r="P313" s="94">
        <v>8.1517801382262203</v>
      </c>
      <c r="Q313" s="86">
        <v>9.0906514999999999</v>
      </c>
      <c r="R313" s="94">
        <v>13.295414792802379</v>
      </c>
    </row>
    <row r="314" spans="2:18">
      <c r="B314" s="172">
        <v>10.271509</v>
      </c>
      <c r="C314" s="54">
        <v>6.8748550154954999E-2</v>
      </c>
      <c r="D314" s="54">
        <v>1.494349741022155E-8</v>
      </c>
      <c r="E314" s="173">
        <v>0.9312514349015476</v>
      </c>
      <c r="M314" s="86">
        <v>10.256962</v>
      </c>
      <c r="N314" s="94">
        <v>7.6320139199757193</v>
      </c>
      <c r="O314" s="86">
        <v>9.467295</v>
      </c>
      <c r="P314" s="94">
        <v>8.2244555288488197</v>
      </c>
      <c r="Q314" s="86">
        <v>9.1036490000000008</v>
      </c>
      <c r="R314" s="94">
        <v>13.39556508961954</v>
      </c>
    </row>
    <row r="315" spans="2:18">
      <c r="B315" s="172">
        <v>10.285591</v>
      </c>
      <c r="C315" s="54">
        <v>6.6976877359826006E-2</v>
      </c>
      <c r="D315" s="54">
        <v>1.4227881613386989E-8</v>
      </c>
      <c r="E315" s="173">
        <v>0.93302310841229241</v>
      </c>
      <c r="M315" s="86">
        <v>10.271509</v>
      </c>
      <c r="N315" s="94">
        <v>7.7105975152232942</v>
      </c>
      <c r="O315" s="86">
        <v>9.4809549999999998</v>
      </c>
      <c r="P315" s="94">
        <v>8.2984435502413199</v>
      </c>
      <c r="Q315" s="86">
        <v>9.1150169999999999</v>
      </c>
      <c r="R315" s="94">
        <v>13.500296987020695</v>
      </c>
    </row>
    <row r="316" spans="2:18">
      <c r="B316" s="172">
        <v>10.300146</v>
      </c>
      <c r="C316" s="54">
        <v>6.5241081671745471E-2</v>
      </c>
      <c r="D316" s="54">
        <v>1.3526756952605757E-8</v>
      </c>
      <c r="E316" s="173">
        <v>0.93475890480149759</v>
      </c>
      <c r="M316" s="86">
        <v>10.285591</v>
      </c>
      <c r="N316" s="94">
        <v>7.7902728608390799</v>
      </c>
      <c r="O316" s="86">
        <v>9.4950600000000005</v>
      </c>
      <c r="P316" s="94">
        <v>8.3724319116338002</v>
      </c>
      <c r="Q316" s="86">
        <v>9.12669</v>
      </c>
      <c r="R316" s="94">
        <v>13.605029684421849</v>
      </c>
    </row>
    <row r="317" spans="2:18">
      <c r="B317" s="172">
        <v>10.315205000000001</v>
      </c>
      <c r="C317" s="54">
        <v>6.3540073532335914E-2</v>
      </c>
      <c r="D317" s="54">
        <v>1.2839684454188635E-8</v>
      </c>
      <c r="E317" s="173">
        <v>0.93645991362797965</v>
      </c>
      <c r="M317" s="86">
        <v>10.300146</v>
      </c>
      <c r="N317" s="94">
        <v>7.8699484564548801</v>
      </c>
      <c r="O317" s="86">
        <v>9.5096380000000007</v>
      </c>
      <c r="P317" s="94">
        <v>8.4464200330262997</v>
      </c>
      <c r="Q317" s="86">
        <v>9.1386859999999999</v>
      </c>
      <c r="R317" s="94">
        <v>13.709761481822994</v>
      </c>
    </row>
    <row r="318" spans="2:18">
      <c r="B318" s="172">
        <v>10.329262999999999</v>
      </c>
      <c r="C318" s="54">
        <v>6.1918566178444115E-2</v>
      </c>
      <c r="D318" s="54">
        <v>1.222797949463849E-8</v>
      </c>
      <c r="E318" s="173">
        <v>0.93808142159357633</v>
      </c>
      <c r="M318" s="86">
        <v>10.315205000000001</v>
      </c>
      <c r="N318" s="94">
        <v>7.9496241020706648</v>
      </c>
      <c r="O318" s="86">
        <v>9.5237549999999995</v>
      </c>
      <c r="P318" s="94">
        <v>8.5217121950865309</v>
      </c>
      <c r="Q318" s="86">
        <v>9.1510219999999993</v>
      </c>
      <c r="R318" s="94">
        <v>13.814494279224149</v>
      </c>
    </row>
    <row r="319" spans="2:18">
      <c r="B319" s="172">
        <v>10.343491999999999</v>
      </c>
      <c r="C319" s="54">
        <v>6.0338191412856797E-2</v>
      </c>
      <c r="D319" s="54">
        <v>1.1640085277683929E-8</v>
      </c>
      <c r="E319" s="173">
        <v>0.93966179694705798</v>
      </c>
      <c r="M319" s="86">
        <v>10.329262999999999</v>
      </c>
      <c r="N319" s="94">
        <v>8.0310406182034004</v>
      </c>
      <c r="O319" s="86">
        <v>9.5374060000000007</v>
      </c>
      <c r="P319" s="94">
        <v>8.5982354877767904</v>
      </c>
      <c r="Q319" s="86">
        <v>9.1637190000000004</v>
      </c>
      <c r="R319" s="94">
        <v>13.919227076625305</v>
      </c>
    </row>
    <row r="320" spans="2:18">
      <c r="B320" s="172">
        <v>10.358203</v>
      </c>
      <c r="C320" s="54">
        <v>5.8789350584445933E-2</v>
      </c>
      <c r="D320" s="54">
        <v>1.1063919702044691E-8</v>
      </c>
      <c r="E320" s="173">
        <v>0.94121063835163443</v>
      </c>
      <c r="M320" s="86">
        <v>10.343491999999999</v>
      </c>
      <c r="N320" s="94">
        <v>8.1127859244335188</v>
      </c>
      <c r="O320" s="86">
        <v>9.5514980000000005</v>
      </c>
      <c r="P320" s="94">
        <v>8.6747582804670689</v>
      </c>
      <c r="Q320" s="86">
        <v>9.1767990000000008</v>
      </c>
      <c r="R320" s="94">
        <v>14.023959874026451</v>
      </c>
    </row>
    <row r="321" spans="2:18">
      <c r="B321" s="172">
        <v>10.372137</v>
      </c>
      <c r="C321" s="54">
        <v>5.7307514999567655E-2</v>
      </c>
      <c r="D321" s="54">
        <v>1.0542943351094732E-8</v>
      </c>
      <c r="E321" s="173">
        <v>0.94269247445748905</v>
      </c>
      <c r="M321" s="86">
        <v>10.358203</v>
      </c>
      <c r="N321" s="94">
        <v>8.1945307306636295</v>
      </c>
      <c r="O321" s="86">
        <v>9.5660640000000008</v>
      </c>
      <c r="P321" s="94">
        <v>8.7512816131573299</v>
      </c>
      <c r="Q321" s="86">
        <v>9.1902849999999994</v>
      </c>
      <c r="R321" s="94">
        <v>14.12869267142761</v>
      </c>
    </row>
    <row r="322" spans="2:18">
      <c r="B322" s="172">
        <v>10.385258</v>
      </c>
      <c r="C322" s="54">
        <v>5.5890007190549332E-2</v>
      </c>
      <c r="D322" s="54">
        <v>1.0073980554386035E-8</v>
      </c>
      <c r="E322" s="173">
        <v>0.9441099827354702</v>
      </c>
      <c r="M322" s="86">
        <v>10.372137</v>
      </c>
      <c r="N322" s="94">
        <v>8.2778619872730292</v>
      </c>
      <c r="O322" s="86">
        <v>9.5788679999999999</v>
      </c>
      <c r="P322" s="94">
        <v>8.8310601271721509</v>
      </c>
      <c r="Q322" s="86">
        <v>9.2042029999999997</v>
      </c>
      <c r="R322" s="94">
        <v>14.233423868828758</v>
      </c>
    </row>
    <row r="323" spans="2:18">
      <c r="B323" s="172">
        <v>10.398787</v>
      </c>
      <c r="C323" s="54">
        <v>5.450097303240866E-2</v>
      </c>
      <c r="D323" s="54">
        <v>9.6144402816843095E-9</v>
      </c>
      <c r="E323" s="173">
        <v>0.94549901735315112</v>
      </c>
      <c r="M323" s="86">
        <v>10.385258</v>
      </c>
      <c r="N323" s="94">
        <v>8.3627131842458091</v>
      </c>
      <c r="O323" s="86">
        <v>9.5916720000000009</v>
      </c>
      <c r="P323" s="94">
        <v>8.9113826914083401</v>
      </c>
      <c r="Q323" s="86">
        <v>9.2178950000000004</v>
      </c>
      <c r="R323" s="94">
        <v>14.339746066375291</v>
      </c>
    </row>
    <row r="324" spans="2:18">
      <c r="B324" s="172">
        <v>10.412750000000001</v>
      </c>
      <c r="C324" s="54">
        <v>5.3139567677764642E-2</v>
      </c>
      <c r="D324" s="54">
        <v>9.1640398116708299E-9</v>
      </c>
      <c r="E324" s="173">
        <v>0.94686042315819563</v>
      </c>
      <c r="M324" s="86">
        <v>10.398787</v>
      </c>
      <c r="N324" s="94">
        <v>8.4475640412185999</v>
      </c>
      <c r="O324" s="86">
        <v>9.6048650000000002</v>
      </c>
      <c r="P324" s="94">
        <v>8.9917055956445306</v>
      </c>
      <c r="Q324" s="86">
        <v>9.2292900000000007</v>
      </c>
      <c r="R324" s="94">
        <v>14.452241764486679</v>
      </c>
    </row>
    <row r="325" spans="2:18">
      <c r="B325" s="172">
        <v>10.427177</v>
      </c>
      <c r="C325" s="54">
        <v>5.1804959366029864E-2</v>
      </c>
      <c r="D325" s="54">
        <v>8.7225077016098589E-9</v>
      </c>
      <c r="E325" s="173">
        <v>0.94819503191146248</v>
      </c>
      <c r="M325" s="86">
        <v>10.412750000000001</v>
      </c>
      <c r="N325" s="94">
        <v>8.5324149181913889</v>
      </c>
      <c r="O325" s="86">
        <v>9.6184709999999995</v>
      </c>
      <c r="P325" s="94">
        <v>9.0720275098807299</v>
      </c>
      <c r="Q325" s="86">
        <v>9.2409929999999996</v>
      </c>
      <c r="R325" s="94">
        <v>14.564738562598059</v>
      </c>
    </row>
    <row r="326" spans="2:18">
      <c r="B326" s="172">
        <v>10.4421015</v>
      </c>
      <c r="C326" s="54">
        <v>5.0496393932575552E-2</v>
      </c>
      <c r="D326" s="54">
        <v>8.2895880117269109E-9</v>
      </c>
      <c r="E326" s="173">
        <v>0.94950359777783644</v>
      </c>
      <c r="M326" s="86">
        <v>10.427177</v>
      </c>
      <c r="N326" s="94">
        <v>8.6172672551641796</v>
      </c>
      <c r="O326" s="86">
        <v>9.632517</v>
      </c>
      <c r="P326" s="94">
        <v>9.1523514141169198</v>
      </c>
      <c r="Q326" s="86">
        <v>9.2530180000000009</v>
      </c>
      <c r="R326" s="94">
        <v>14.677234260709445</v>
      </c>
    </row>
    <row r="327" spans="2:18">
      <c r="B327" s="172">
        <v>10.457556</v>
      </c>
      <c r="C327" s="54">
        <v>4.9213093848835932E-2</v>
      </c>
      <c r="D327" s="54">
        <v>7.8650271791105479E-9</v>
      </c>
      <c r="E327" s="173">
        <v>0.95078689828613694</v>
      </c>
      <c r="M327" s="86">
        <v>10.4421015</v>
      </c>
      <c r="N327" s="94">
        <v>8.7021176321369698</v>
      </c>
      <c r="O327" s="86">
        <v>9.6470330000000004</v>
      </c>
      <c r="P327" s="94">
        <v>9.2326733783531196</v>
      </c>
      <c r="Q327" s="86">
        <v>9.2653879999999997</v>
      </c>
      <c r="R327" s="94">
        <v>14.789731058820829</v>
      </c>
    </row>
    <row r="328" spans="2:18">
      <c r="B328" s="172">
        <v>10.470692</v>
      </c>
      <c r="C328" s="54">
        <v>4.8021799782279849E-2</v>
      </c>
      <c r="D328" s="54">
        <v>7.5179835913443536E-9</v>
      </c>
      <c r="E328" s="173">
        <v>0.9519781926997366</v>
      </c>
      <c r="M328" s="86">
        <v>10.457556</v>
      </c>
      <c r="N328" s="94">
        <v>8.7869689991097495</v>
      </c>
      <c r="O328" s="86">
        <v>9.6620509999999999</v>
      </c>
      <c r="P328" s="94">
        <v>9.3129962825893191</v>
      </c>
      <c r="Q328" s="86">
        <v>9.2781179999999992</v>
      </c>
      <c r="R328" s="94">
        <v>14.902226816932215</v>
      </c>
    </row>
    <row r="329" spans="2:18">
      <c r="B329" s="172">
        <v>10.483708999999999</v>
      </c>
      <c r="C329" s="54">
        <v>4.6865933475411917E-2</v>
      </c>
      <c r="D329" s="54">
        <v>7.190008084458768E-9</v>
      </c>
      <c r="E329" s="173">
        <v>0.95313405933457995</v>
      </c>
      <c r="M329" s="86">
        <v>10.470692</v>
      </c>
      <c r="N329" s="94">
        <v>8.87535456672477</v>
      </c>
      <c r="O329" s="86">
        <v>9.6757159999999995</v>
      </c>
      <c r="P329" s="94">
        <v>9.3960674276623202</v>
      </c>
      <c r="Q329" s="86">
        <v>9.2912339999999993</v>
      </c>
      <c r="R329" s="94">
        <v>15.014723555043602</v>
      </c>
    </row>
    <row r="330" spans="2:18">
      <c r="B330" s="172">
        <v>10.497128500000001</v>
      </c>
      <c r="C330" s="54">
        <v>4.5732806780550334E-2</v>
      </c>
      <c r="D330" s="54">
        <v>6.8684835624749831E-9</v>
      </c>
      <c r="E330" s="173">
        <v>0.95426718635096608</v>
      </c>
      <c r="M330" s="86">
        <v>10.483708999999999</v>
      </c>
      <c r="N330" s="94">
        <v>8.96436961445389</v>
      </c>
      <c r="O330" s="86">
        <v>9.6881789999999999</v>
      </c>
      <c r="P330" s="94">
        <v>9.4814666234443106</v>
      </c>
      <c r="Q330" s="86">
        <v>9.3047590000000007</v>
      </c>
      <c r="R330" s="94">
        <v>15.127219253154989</v>
      </c>
    </row>
    <row r="331" spans="2:18">
      <c r="B331" s="172">
        <v>10.510977</v>
      </c>
      <c r="C331" s="54">
        <v>4.4621738717662111E-2</v>
      </c>
      <c r="D331" s="54">
        <v>6.5532199661497277E-9</v>
      </c>
      <c r="E331" s="173">
        <v>0.95537825472911786</v>
      </c>
      <c r="M331" s="86">
        <v>10.497128500000001</v>
      </c>
      <c r="N331" s="94">
        <v>9.0533826621830098</v>
      </c>
      <c r="O331" s="86">
        <v>9.7010100000000001</v>
      </c>
      <c r="P331" s="94">
        <v>9.5668658192263099</v>
      </c>
      <c r="Q331" s="86">
        <v>9.3187180000000005</v>
      </c>
      <c r="R331" s="94">
        <v>15.239716051266372</v>
      </c>
    </row>
    <row r="332" spans="2:18">
      <c r="B332" s="172">
        <v>10.52528</v>
      </c>
      <c r="C332" s="54">
        <v>4.3532095691361614E-2</v>
      </c>
      <c r="D332" s="54">
        <v>6.244035204289063E-9</v>
      </c>
      <c r="E332" s="173">
        <v>0.95646789806460319</v>
      </c>
      <c r="M332" s="86">
        <v>10.510977</v>
      </c>
      <c r="N332" s="94">
        <v>9.1423972199121408</v>
      </c>
      <c r="O332" s="86">
        <v>9.7142315000000004</v>
      </c>
      <c r="P332" s="94">
        <v>9.6522655150083043</v>
      </c>
      <c r="Q332" s="86">
        <v>9.3324069999999999</v>
      </c>
      <c r="R332" s="94">
        <v>15.354002819488803</v>
      </c>
    </row>
    <row r="333" spans="2:18" ht="15" thickBot="1">
      <c r="B333" s="172">
        <v>10.527457999999999</v>
      </c>
      <c r="C333" s="54">
        <v>4.348592878161419E-2</v>
      </c>
      <c r="D333" s="54">
        <v>6.2012314534088234E-9</v>
      </c>
      <c r="E333" s="173">
        <v>0.95651406501715441</v>
      </c>
      <c r="M333" s="86">
        <v>10.52528</v>
      </c>
      <c r="N333" s="94">
        <v>9.2314117576412595</v>
      </c>
      <c r="O333" s="86">
        <v>9.7278680000000008</v>
      </c>
      <c r="P333" s="94">
        <v>9.7376652107903006</v>
      </c>
      <c r="Q333" s="143">
        <v>9.3438780000000001</v>
      </c>
      <c r="R333" s="144">
        <v>15.474607848102872</v>
      </c>
    </row>
    <row r="334" spans="2:18">
      <c r="B334" s="172">
        <v>10.541256000000001</v>
      </c>
      <c r="C334" s="54">
        <v>4.2438963503141289E-2</v>
      </c>
      <c r="D334" s="54">
        <v>5.9184740274901898E-9</v>
      </c>
      <c r="E334" s="173">
        <v>0.95756103057838471</v>
      </c>
      <c r="M334" s="86">
        <v>10.527457999999999</v>
      </c>
      <c r="N334" s="94">
        <v>9.2286489272289884</v>
      </c>
      <c r="O334" s="86">
        <v>9.7419469999999997</v>
      </c>
      <c r="P334" s="94">
        <v>9.8230654065722991</v>
      </c>
    </row>
    <row r="335" spans="2:18">
      <c r="B335" s="172">
        <v>10.554917</v>
      </c>
      <c r="C335" s="54">
        <v>4.1423992357796501E-2</v>
      </c>
      <c r="D335" s="54">
        <v>5.6515496583102463E-9</v>
      </c>
      <c r="E335" s="173">
        <v>0.95857600199065385</v>
      </c>
      <c r="M335" s="86">
        <v>10.541256000000001</v>
      </c>
      <c r="N335" s="94">
        <v>9.3189537951539858</v>
      </c>
      <c r="O335" s="86">
        <v>9.7564969999999995</v>
      </c>
      <c r="P335" s="94">
        <v>9.9084636023543009</v>
      </c>
    </row>
    <row r="336" spans="2:18">
      <c r="B336" s="172">
        <v>10.568135</v>
      </c>
      <c r="C336" s="54">
        <v>4.0445982711707705E-2</v>
      </c>
      <c r="D336" s="54">
        <v>5.4046157097002695E-9</v>
      </c>
      <c r="E336" s="173">
        <v>0.95955401188367651</v>
      </c>
      <c r="M336" s="86">
        <v>10.554917</v>
      </c>
      <c r="N336" s="94">
        <v>9.4100321531812643</v>
      </c>
      <c r="O336" s="86">
        <v>9.7708100000000009</v>
      </c>
      <c r="P336" s="94">
        <v>9.9950185283814612</v>
      </c>
    </row>
    <row r="337" spans="2:16">
      <c r="B337" s="172">
        <v>10.581768</v>
      </c>
      <c r="C337" s="54">
        <v>3.9486772535663579E-2</v>
      </c>
      <c r="D337" s="54">
        <v>5.162431093000149E-9</v>
      </c>
      <c r="E337" s="173">
        <v>0.96051322230190528</v>
      </c>
      <c r="M337" s="86">
        <v>10.568135</v>
      </c>
      <c r="N337" s="94">
        <v>9.5023009513562862</v>
      </c>
      <c r="O337" s="86">
        <v>9.7829870000000003</v>
      </c>
      <c r="P337" s="94">
        <v>10.08553349524885</v>
      </c>
    </row>
    <row r="338" spans="2:16">
      <c r="B338" s="172">
        <v>10.595841999999999</v>
      </c>
      <c r="C338" s="54">
        <v>3.8545843772440289E-2</v>
      </c>
      <c r="D338" s="54">
        <v>4.9248601938267912E-9</v>
      </c>
      <c r="E338" s="173">
        <v>0.96145415130269951</v>
      </c>
      <c r="M338" s="86">
        <v>10.581768</v>
      </c>
      <c r="N338" s="94">
        <v>9.5945706795313104</v>
      </c>
      <c r="O338" s="86">
        <v>9.7955140000000007</v>
      </c>
      <c r="P338" s="94">
        <v>10.17604839211624</v>
      </c>
    </row>
    <row r="339" spans="2:16">
      <c r="B339" s="172">
        <v>10.609458</v>
      </c>
      <c r="C339" s="54">
        <v>3.763952312290772E-2</v>
      </c>
      <c r="D339" s="54">
        <v>4.7052136928053502E-9</v>
      </c>
      <c r="E339" s="173">
        <v>0.96236047217187859</v>
      </c>
      <c r="M339" s="86">
        <v>10.595841999999999</v>
      </c>
      <c r="N339" s="94">
        <v>9.6868394477063298</v>
      </c>
      <c r="O339" s="86">
        <v>9.8084135000000003</v>
      </c>
      <c r="P339" s="94">
        <v>10.266563338983625</v>
      </c>
    </row>
    <row r="340" spans="2:16">
      <c r="B340" s="172">
        <v>10.622719</v>
      </c>
      <c r="C340" s="54">
        <v>3.6764336914038027E-2</v>
      </c>
      <c r="D340" s="54">
        <v>4.500803968159644E-9</v>
      </c>
      <c r="E340" s="173">
        <v>0.96323565858515803</v>
      </c>
      <c r="M340" s="86">
        <v>10.609458</v>
      </c>
      <c r="N340" s="94">
        <v>9.7803736460187487</v>
      </c>
      <c r="O340" s="86">
        <v>9.8217079999999992</v>
      </c>
      <c r="P340" s="94">
        <v>10.35707825585102</v>
      </c>
    </row>
    <row r="341" spans="2:16">
      <c r="B341" s="172">
        <v>10.636398</v>
      </c>
      <c r="C341" s="54">
        <v>3.5905753078633702E-2</v>
      </c>
      <c r="D341" s="54">
        <v>4.3002724274105706E-9</v>
      </c>
      <c r="E341" s="173">
        <v>0.96409424262109389</v>
      </c>
      <c r="M341" s="86">
        <v>10.622719</v>
      </c>
      <c r="N341" s="94">
        <v>9.8749557444452396</v>
      </c>
      <c r="O341" s="86">
        <v>9.8354225</v>
      </c>
      <c r="P341" s="94">
        <v>10.44759322271841</v>
      </c>
    </row>
    <row r="342" spans="2:16">
      <c r="B342" s="172">
        <v>10.650520999999999</v>
      </c>
      <c r="C342" s="54">
        <v>3.5063305524975309E-2</v>
      </c>
      <c r="D342" s="54">
        <v>4.1035097934155025E-9</v>
      </c>
      <c r="E342" s="173">
        <v>0.96493669037151497</v>
      </c>
      <c r="M342" s="86">
        <v>10.636398</v>
      </c>
      <c r="N342" s="94">
        <v>9.9695388428717333</v>
      </c>
      <c r="O342" s="86">
        <v>9.8495849999999994</v>
      </c>
      <c r="P342" s="94">
        <v>10.538108139585795</v>
      </c>
    </row>
    <row r="343" spans="2:16">
      <c r="B343" s="172">
        <v>10.662891999999999</v>
      </c>
      <c r="C343" s="54">
        <v>3.4272936570566091E-2</v>
      </c>
      <c r="D343" s="54">
        <v>3.9367561638690453E-9</v>
      </c>
      <c r="E343" s="173">
        <v>0.96572705949267779</v>
      </c>
      <c r="M343" s="86">
        <v>10.650520999999999</v>
      </c>
      <c r="N343" s="94">
        <v>10.064122441298224</v>
      </c>
      <c r="O343" s="86">
        <v>9.8642234999999996</v>
      </c>
      <c r="P343" s="94">
        <v>10.628623076453179</v>
      </c>
    </row>
    <row r="344" spans="2:16">
      <c r="B344" s="172">
        <v>10.675427000000001</v>
      </c>
      <c r="C344" s="54">
        <v>3.3500769201387032E-2</v>
      </c>
      <c r="D344" s="54">
        <v>3.7754402246475805E-9</v>
      </c>
      <c r="E344" s="173">
        <v>0.96649922702317281</v>
      </c>
      <c r="M344" s="86">
        <v>10.662891999999999</v>
      </c>
      <c r="N344" s="94">
        <v>10.161950940005122</v>
      </c>
      <c r="O344" s="86">
        <v>9.8764304999999997</v>
      </c>
      <c r="P344" s="94">
        <v>10.723858774042993</v>
      </c>
    </row>
    <row r="345" spans="2:16">
      <c r="B345" s="172">
        <v>10.688336</v>
      </c>
      <c r="C345" s="54">
        <v>3.2743232972718576E-2</v>
      </c>
      <c r="D345" s="54">
        <v>3.6171801291815772E-9</v>
      </c>
      <c r="E345" s="173">
        <v>0.96725676341010136</v>
      </c>
      <c r="M345" s="86">
        <v>10.675427000000001</v>
      </c>
      <c r="N345" s="94">
        <v>10.260059938736243</v>
      </c>
      <c r="O345" s="86">
        <v>9.8886950000000002</v>
      </c>
      <c r="P345" s="94">
        <v>10.819559131703889</v>
      </c>
    </row>
    <row r="346" spans="2:16">
      <c r="B346" s="172">
        <v>10.701639999999999</v>
      </c>
      <c r="C346" s="54">
        <v>3.1999914482147819E-2</v>
      </c>
      <c r="D346" s="54">
        <v>3.4618901142865225E-9</v>
      </c>
      <c r="E346" s="173">
        <v>0.96800008205596211</v>
      </c>
      <c r="M346" s="86">
        <v>10.688336</v>
      </c>
      <c r="N346" s="94">
        <v>10.358168977467363</v>
      </c>
      <c r="O346" s="86">
        <v>9.9013150000000003</v>
      </c>
      <c r="P346" s="94">
        <v>10.91526046936478</v>
      </c>
    </row>
    <row r="347" spans="2:16">
      <c r="B347" s="172">
        <v>10.715363999999999</v>
      </c>
      <c r="C347" s="54">
        <v>3.1270412026596056E-2</v>
      </c>
      <c r="D347" s="54">
        <v>3.3094866801726748E-9</v>
      </c>
      <c r="E347" s="173">
        <v>0.96872958466391734</v>
      </c>
      <c r="M347" s="86">
        <v>10.701639999999999</v>
      </c>
      <c r="N347" s="94">
        <v>10.456277006198482</v>
      </c>
      <c r="O347" s="86">
        <v>9.9143109999999997</v>
      </c>
      <c r="P347" s="94">
        <v>11.01096182702568</v>
      </c>
    </row>
    <row r="348" spans="2:16">
      <c r="B348" s="172">
        <v>10.729536</v>
      </c>
      <c r="C348" s="54">
        <v>3.0554347082619216E-2</v>
      </c>
      <c r="D348" s="54">
        <v>3.1598909976983603E-9</v>
      </c>
      <c r="E348" s="173">
        <v>0.96944564975748981</v>
      </c>
      <c r="M348" s="86">
        <v>10.715363999999999</v>
      </c>
      <c r="N348" s="94">
        <v>10.5543860349296</v>
      </c>
      <c r="O348" s="86">
        <v>9.9277110000000004</v>
      </c>
      <c r="P348" s="94">
        <v>11.106662164686574</v>
      </c>
    </row>
    <row r="349" spans="2:16">
      <c r="B349" s="172">
        <v>10.744185999999999</v>
      </c>
      <c r="C349" s="54">
        <v>2.9851353225534612E-2</v>
      </c>
      <c r="D349" s="54">
        <v>3.0130253858087112E-9</v>
      </c>
      <c r="E349" s="173">
        <v>0.97014864376143994</v>
      </c>
      <c r="M349" s="86">
        <v>10.729536</v>
      </c>
      <c r="N349" s="94">
        <v>10.652494033660719</v>
      </c>
      <c r="O349" s="86">
        <v>9.9415359999999993</v>
      </c>
      <c r="P349" s="94">
        <v>11.202362562347471</v>
      </c>
    </row>
    <row r="350" spans="2:16">
      <c r="B350" s="172">
        <v>10.75719</v>
      </c>
      <c r="C350" s="54">
        <v>2.918981902289278E-2</v>
      </c>
      <c r="D350" s="54">
        <v>2.8871426868176751E-9</v>
      </c>
      <c r="E350" s="173">
        <v>0.97081017808996461</v>
      </c>
      <c r="M350" s="86">
        <v>10.744185999999999</v>
      </c>
      <c r="N350" s="94">
        <v>10.750603082391841</v>
      </c>
      <c r="O350" s="86">
        <v>9.9558149999999994</v>
      </c>
      <c r="P350" s="94">
        <v>11.29806292000837</v>
      </c>
    </row>
    <row r="351" spans="2:16">
      <c r="B351" s="172">
        <v>10.769496</v>
      </c>
      <c r="C351" s="54">
        <v>2.8554724195834373E-2</v>
      </c>
      <c r="D351" s="54">
        <v>2.7725978394009281E-9</v>
      </c>
      <c r="E351" s="173">
        <v>0.97144527303156791</v>
      </c>
      <c r="M351" s="86">
        <v>10.75719</v>
      </c>
      <c r="N351" s="94">
        <v>10.851931961331076</v>
      </c>
      <c r="O351" s="86">
        <v>9.9691489999999998</v>
      </c>
      <c r="P351" s="94">
        <v>11.396116057937554</v>
      </c>
    </row>
    <row r="352" spans="2:16">
      <c r="B352" s="172">
        <v>10.782162</v>
      </c>
      <c r="C352" s="54">
        <v>2.7931450317886235E-2</v>
      </c>
      <c r="D352" s="54">
        <v>2.6601853277937403E-9</v>
      </c>
      <c r="E352" s="173">
        <v>0.97206854702192835</v>
      </c>
      <c r="M352" s="86">
        <v>10.769496</v>
      </c>
      <c r="N352" s="94">
        <v>10.954854890373406</v>
      </c>
      <c r="O352" s="86">
        <v>9.9818999999999996</v>
      </c>
      <c r="P352" s="94">
        <v>11.495769956049404</v>
      </c>
    </row>
    <row r="353" spans="2:16">
      <c r="B353" s="172">
        <v>10.795207</v>
      </c>
      <c r="C353" s="54">
        <v>2.7319673506031275E-2</v>
      </c>
      <c r="D353" s="54">
        <v>2.5498464381753633E-9</v>
      </c>
      <c r="E353" s="173">
        <v>0.97268032394412229</v>
      </c>
      <c r="M353" s="86">
        <v>10.782162</v>
      </c>
      <c r="N353" s="94">
        <v>11.057778829415742</v>
      </c>
      <c r="O353" s="86">
        <v>9.9825689999999998</v>
      </c>
      <c r="P353" s="94">
        <v>11.494573705932517</v>
      </c>
    </row>
    <row r="354" spans="2:16">
      <c r="B354" s="172">
        <v>10.798000999999999</v>
      </c>
      <c r="C354" s="54">
        <v>2.728525262120321E-2</v>
      </c>
      <c r="D354" s="54">
        <v>2.5294239068997275E-9</v>
      </c>
      <c r="E354" s="173">
        <v>0.97271474484937293</v>
      </c>
      <c r="M354" s="86">
        <v>10.795207</v>
      </c>
      <c r="N354" s="94">
        <v>11.160700728458073</v>
      </c>
      <c r="O354" s="86">
        <v>9.9955949999999998</v>
      </c>
      <c r="P354" s="94">
        <v>11.594445454066681</v>
      </c>
    </row>
    <row r="355" spans="2:16">
      <c r="B355" s="172">
        <v>10.8112545</v>
      </c>
      <c r="C355" s="54">
        <v>2.6688075356778078E-2</v>
      </c>
      <c r="D355" s="54">
        <v>2.4233002986843318E-9</v>
      </c>
      <c r="E355" s="173">
        <v>0.97331192221992158</v>
      </c>
      <c r="M355" s="86">
        <v>10.798000999999999</v>
      </c>
      <c r="N355" s="94">
        <v>11.156267608218929</v>
      </c>
      <c r="O355" s="86">
        <v>10.008501000000001</v>
      </c>
      <c r="P355" s="94">
        <v>11.695245702286954</v>
      </c>
    </row>
    <row r="356" spans="2:16">
      <c r="B356" s="172">
        <v>10.824386000000001</v>
      </c>
      <c r="C356" s="54">
        <v>2.6107993020349621E-2</v>
      </c>
      <c r="D356" s="54">
        <v>2.3226930936930565E-9</v>
      </c>
      <c r="E356" s="173">
        <v>0.97389200465695724</v>
      </c>
      <c r="M356" s="86">
        <v>10.8112545</v>
      </c>
      <c r="N356" s="94">
        <v>11.259574397285331</v>
      </c>
      <c r="O356" s="86">
        <v>10.020956</v>
      </c>
      <c r="P356" s="94">
        <v>11.797583180641174</v>
      </c>
    </row>
    <row r="357" spans="2:16">
      <c r="B357" s="172">
        <v>10.837071</v>
      </c>
      <c r="C357" s="54">
        <v>2.5548080583198043E-2</v>
      </c>
      <c r="D357" s="54">
        <v>2.229331048651663E-9</v>
      </c>
      <c r="E357" s="173">
        <v>0.97445191718747093</v>
      </c>
      <c r="M357" s="86">
        <v>10.824386000000001</v>
      </c>
      <c r="N357" s="94">
        <v>11.363736376394472</v>
      </c>
      <c r="O357" s="86">
        <v>10.033778999999999</v>
      </c>
      <c r="P357" s="94">
        <v>11.89991864899539</v>
      </c>
    </row>
    <row r="358" spans="2:16">
      <c r="B358" s="172">
        <v>10.850139</v>
      </c>
      <c r="C358" s="54">
        <v>2.4998381888960208E-2</v>
      </c>
      <c r="D358" s="54">
        <v>2.1376719086238698E-9</v>
      </c>
      <c r="E358" s="173">
        <v>0.97500161597336787</v>
      </c>
      <c r="M358" s="86">
        <v>10.837071</v>
      </c>
      <c r="N358" s="94">
        <v>11.469286275568836</v>
      </c>
      <c r="O358" s="86">
        <v>10.046991999999999</v>
      </c>
      <c r="P358" s="94">
        <v>12.00225514734961</v>
      </c>
    </row>
    <row r="359" spans="2:16">
      <c r="B359" s="172">
        <v>10.863611000000001</v>
      </c>
      <c r="C359" s="54">
        <v>2.4458615721320725E-2</v>
      </c>
      <c r="D359" s="54">
        <v>2.0476690493199747E-9</v>
      </c>
      <c r="E359" s="173">
        <v>0.97554138223101017</v>
      </c>
      <c r="M359" s="86">
        <v>10.850139</v>
      </c>
      <c r="N359" s="94">
        <v>11.5748351747432</v>
      </c>
      <c r="O359" s="86">
        <v>10.060565</v>
      </c>
      <c r="P359" s="94">
        <v>12.104694615711699</v>
      </c>
    </row>
    <row r="360" spans="2:16">
      <c r="B360" s="172">
        <v>10.877208</v>
      </c>
      <c r="C360" s="54">
        <v>2.3931682839850886E-2</v>
      </c>
      <c r="D360" s="54">
        <v>1.9609686392481754E-9</v>
      </c>
      <c r="E360" s="173">
        <v>0.97606831519918047</v>
      </c>
      <c r="M360" s="86">
        <v>10.863611000000001</v>
      </c>
      <c r="N360" s="94">
        <v>11.680385073917563</v>
      </c>
      <c r="O360" s="86">
        <v>10.072926499999999</v>
      </c>
      <c r="P360" s="94">
        <v>12.210107474299104</v>
      </c>
    </row>
    <row r="361" spans="2:16">
      <c r="B361" s="172">
        <v>10.889844</v>
      </c>
      <c r="C361" s="54">
        <v>2.3428081752615418E-2</v>
      </c>
      <c r="D361" s="54">
        <v>1.8832133396375581E-9</v>
      </c>
      <c r="E361" s="173">
        <v>0.97657191636417118</v>
      </c>
      <c r="M361" s="86">
        <v>10.877208</v>
      </c>
      <c r="N361" s="94">
        <v>11.786446523112852</v>
      </c>
      <c r="O361" s="86">
        <v>10.085651</v>
      </c>
      <c r="P361" s="94">
        <v>12.315520402886509</v>
      </c>
    </row>
    <row r="362" spans="2:16">
      <c r="B362" s="172">
        <v>10.902858</v>
      </c>
      <c r="C362" s="54">
        <v>2.2933567978156912E-2</v>
      </c>
      <c r="D362" s="54">
        <v>1.8068613498753874E-9</v>
      </c>
      <c r="E362" s="173">
        <v>0.97706643021498185</v>
      </c>
      <c r="M362" s="86">
        <v>10.889844</v>
      </c>
      <c r="N362" s="94">
        <v>11.894768122400386</v>
      </c>
      <c r="O362" s="86">
        <v>10.09876</v>
      </c>
      <c r="P362" s="94">
        <v>12.420933341473908</v>
      </c>
    </row>
    <row r="363" spans="2:16">
      <c r="B363" s="172">
        <v>10.916275000000001</v>
      </c>
      <c r="C363" s="54">
        <v>2.2447900674769997E-2</v>
      </c>
      <c r="D363" s="54">
        <v>1.7318752494640146E-9</v>
      </c>
      <c r="E363" s="173">
        <v>0.97755209759335471</v>
      </c>
      <c r="M363" s="86">
        <v>10.902858</v>
      </c>
      <c r="N363" s="94">
        <v>12.003088671687916</v>
      </c>
      <c r="O363" s="86">
        <v>10.112275</v>
      </c>
      <c r="P363" s="94">
        <v>12.526346240061317</v>
      </c>
    </row>
    <row r="364" spans="2:16">
      <c r="B364" s="172">
        <v>10.929653999999999</v>
      </c>
      <c r="C364" s="54">
        <v>2.1975093103319417E-2</v>
      </c>
      <c r="D364" s="54">
        <v>1.6603205251325924E-9</v>
      </c>
      <c r="E364" s="173">
        <v>0.97802490523635999</v>
      </c>
      <c r="M364" s="86">
        <v>10.916275000000001</v>
      </c>
      <c r="N364" s="94">
        <v>12.111408720975449</v>
      </c>
      <c r="O364" s="86">
        <v>10.124074</v>
      </c>
      <c r="P364" s="94">
        <v>12.635993638900295</v>
      </c>
    </row>
    <row r="365" spans="2:16">
      <c r="B365" s="172">
        <v>10.941509999999999</v>
      </c>
      <c r="C365" s="54">
        <v>2.1527874580137447E-2</v>
      </c>
      <c r="D365" s="54">
        <v>1.5985117748836763E-9</v>
      </c>
      <c r="E365" s="173">
        <v>0.97847212382135085</v>
      </c>
      <c r="M365" s="86">
        <v>10.929653999999999</v>
      </c>
      <c r="N365" s="94">
        <v>12.220575300290072</v>
      </c>
      <c r="O365" s="86">
        <v>10.135942999999999</v>
      </c>
      <c r="P365" s="94">
        <v>12.746137737768711</v>
      </c>
    </row>
    <row r="366" spans="2:16">
      <c r="B366" s="172">
        <v>10.953699</v>
      </c>
      <c r="C366" s="54">
        <v>2.1088748194080586E-2</v>
      </c>
      <c r="D366" s="54">
        <v>1.5378216630992879E-9</v>
      </c>
      <c r="E366" s="173">
        <v>0.97891125026809767</v>
      </c>
      <c r="M366" s="86">
        <v>10.941509999999999</v>
      </c>
      <c r="N366" s="94">
        <v>12.333182219714736</v>
      </c>
      <c r="O366" s="86">
        <v>10.148148000000001</v>
      </c>
      <c r="P366" s="94">
        <v>12.856279836637125</v>
      </c>
    </row>
    <row r="367" spans="2:16">
      <c r="B367" s="172">
        <v>10.966240000000001</v>
      </c>
      <c r="C367" s="54">
        <v>2.0657499784181195E-2</v>
      </c>
      <c r="D367" s="54">
        <v>1.4782199824724875E-9</v>
      </c>
      <c r="E367" s="173">
        <v>0.97934249873759882</v>
      </c>
      <c r="M367" s="86">
        <v>10.953699</v>
      </c>
      <c r="N367" s="94">
        <v>12.445787089139401</v>
      </c>
      <c r="O367" s="86">
        <v>10.160704000000001</v>
      </c>
      <c r="P367" s="94">
        <v>12.966422865505539</v>
      </c>
    </row>
    <row r="368" spans="2:16">
      <c r="B368" s="172">
        <v>10.979153999999999</v>
      </c>
      <c r="C368" s="54">
        <v>2.0233913810537667E-2</v>
      </c>
      <c r="D368" s="54">
        <v>1.4196773369194917E-9</v>
      </c>
      <c r="E368" s="173">
        <v>0.979766084769785</v>
      </c>
      <c r="M368" s="86">
        <v>10.966240000000001</v>
      </c>
      <c r="N368" s="94">
        <v>12.558391998564066</v>
      </c>
      <c r="O368" s="86">
        <v>10.173634</v>
      </c>
      <c r="P368" s="94">
        <v>13.076565934373956</v>
      </c>
    </row>
    <row r="369" spans="2:16">
      <c r="B369" s="172">
        <v>10.992463000000001</v>
      </c>
      <c r="C369" s="54">
        <v>1.9817791885485762E-2</v>
      </c>
      <c r="D369" s="54">
        <v>1.3621663537695104E-9</v>
      </c>
      <c r="E369" s="173">
        <v>0.9801822067523478</v>
      </c>
      <c r="M369" s="86">
        <v>10.979153999999999</v>
      </c>
      <c r="N369" s="94">
        <v>12.670998917988729</v>
      </c>
      <c r="O369" s="86">
        <v>10.186959999999999</v>
      </c>
      <c r="P369" s="94">
        <v>13.186709013242373</v>
      </c>
    </row>
    <row r="370" spans="2:16">
      <c r="B370" s="172">
        <v>11.006194000000001</v>
      </c>
      <c r="C370" s="54">
        <v>1.9408938325029775E-2</v>
      </c>
      <c r="D370" s="54">
        <v>1.3056596976367195E-9</v>
      </c>
      <c r="E370" s="173">
        <v>0.98059106036931054</v>
      </c>
      <c r="M370" s="86">
        <v>10.992463000000001</v>
      </c>
      <c r="N370" s="94">
        <v>12.783603817413395</v>
      </c>
      <c r="O370" s="86">
        <v>10.200709</v>
      </c>
      <c r="P370" s="94">
        <v>13.296852062110787</v>
      </c>
    </row>
    <row r="371" spans="2:16">
      <c r="B371" s="172">
        <v>11.020372</v>
      </c>
      <c r="C371" s="54">
        <v>1.900715920061755E-2</v>
      </c>
      <c r="D371" s="54">
        <v>1.2501309452157612E-9</v>
      </c>
      <c r="E371" s="173">
        <v>0.98099283954925154</v>
      </c>
      <c r="M371" s="86">
        <v>11.006194000000001</v>
      </c>
      <c r="N371" s="94">
        <v>12.896208736838059</v>
      </c>
      <c r="O371" s="86">
        <v>10.214907999999999</v>
      </c>
      <c r="P371" s="94">
        <v>13.406995130979201</v>
      </c>
    </row>
    <row r="372" spans="2:16">
      <c r="B372" s="172">
        <v>11.034312999999999</v>
      </c>
      <c r="C372" s="54">
        <v>1.8617359808841077E-2</v>
      </c>
      <c r="D372" s="54">
        <v>1.1978143660913984E-9</v>
      </c>
      <c r="E372" s="173">
        <v>0.98138263899334455</v>
      </c>
      <c r="M372" s="86">
        <v>11.020372</v>
      </c>
      <c r="N372" s="94">
        <v>13.008815646262722</v>
      </c>
      <c r="O372" s="86">
        <v>10.227570999999999</v>
      </c>
      <c r="P372" s="94">
        <v>13.521177900023556</v>
      </c>
    </row>
    <row r="373" spans="2:16" ht="15" thickBot="1">
      <c r="B373" s="172">
        <v>11.046144</v>
      </c>
      <c r="C373" s="54">
        <v>1.825195960406063E-2</v>
      </c>
      <c r="D373" s="54">
        <v>1.154222112531143E-9</v>
      </c>
      <c r="E373" s="173">
        <v>0.98174803924171716</v>
      </c>
      <c r="M373" s="86">
        <v>11.034312999999999</v>
      </c>
      <c r="N373" s="94">
        <v>13.122747935718616</v>
      </c>
      <c r="O373" s="143">
        <v>10.239337000000001</v>
      </c>
      <c r="P373" s="144">
        <v>13.637856699176556</v>
      </c>
    </row>
    <row r="374" spans="2:16" ht="15" thickBot="1">
      <c r="B374" s="174">
        <v>11.058305000000001</v>
      </c>
      <c r="C374" s="58">
        <v>1.7893047057731926E-2</v>
      </c>
      <c r="D374" s="58">
        <v>1.1114038962176024E-9</v>
      </c>
      <c r="E374" s="175">
        <v>0.98210695183086427</v>
      </c>
      <c r="M374" s="86">
        <v>11.046144</v>
      </c>
      <c r="N374" s="94">
        <v>13.241311905283416</v>
      </c>
    </row>
    <row r="375" spans="2:16" ht="15" thickBot="1">
      <c r="M375" s="143">
        <v>11.058305000000001</v>
      </c>
      <c r="N375" s="144">
        <v>13.359874884848216</v>
      </c>
    </row>
  </sheetData>
  <mergeCells count="21">
    <mergeCell ref="M5:R5"/>
    <mergeCell ref="G4:R4"/>
    <mergeCell ref="G3:R3"/>
    <mergeCell ref="G2:R2"/>
    <mergeCell ref="G5:L5"/>
    <mergeCell ref="M6:N7"/>
    <mergeCell ref="O6:P7"/>
    <mergeCell ref="Q6:R7"/>
    <mergeCell ref="G6:H6"/>
    <mergeCell ref="G7:H7"/>
    <mergeCell ref="G20:H20"/>
    <mergeCell ref="I6:J6"/>
    <mergeCell ref="I7:J7"/>
    <mergeCell ref="K6:L6"/>
    <mergeCell ref="K7:L7"/>
    <mergeCell ref="C6:E6"/>
    <mergeCell ref="B6:B7"/>
    <mergeCell ref="B2:E2"/>
    <mergeCell ref="B3:E3"/>
    <mergeCell ref="B4:E4"/>
    <mergeCell ref="B5:E5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90C91-BBF1-47AE-920F-B79A05B71003}">
  <dimension ref="B1:N375"/>
  <sheetViews>
    <sheetView zoomScale="85" zoomScaleNormal="85" workbookViewId="0">
      <selection activeCell="H13" sqref="H13"/>
    </sheetView>
  </sheetViews>
  <sheetFormatPr defaultRowHeight="14.5"/>
  <cols>
    <col min="1" max="1" width="8.7265625" style="1"/>
    <col min="2" max="6" width="15.6328125" style="1" customWidth="1"/>
    <col min="7" max="8" width="15.81640625" style="1" customWidth="1"/>
    <col min="9" max="14" width="19.26953125" style="1" customWidth="1"/>
    <col min="15" max="16384" width="8.7265625" style="1"/>
  </cols>
  <sheetData>
    <row r="1" spans="2:14" ht="15" thickBot="1"/>
    <row r="2" spans="2:14">
      <c r="B2" s="227" t="s">
        <v>665</v>
      </c>
      <c r="C2" s="228"/>
      <c r="D2" s="228"/>
      <c r="E2" s="228"/>
      <c r="F2" s="228"/>
      <c r="G2" s="229"/>
      <c r="I2" s="227" t="s">
        <v>668</v>
      </c>
      <c r="J2" s="228"/>
      <c r="K2" s="228"/>
      <c r="L2" s="228"/>
      <c r="M2" s="228"/>
      <c r="N2" s="229"/>
    </row>
    <row r="3" spans="2:14">
      <c r="B3" s="233" t="s">
        <v>666</v>
      </c>
      <c r="C3" s="234"/>
      <c r="D3" s="234"/>
      <c r="E3" s="234"/>
      <c r="F3" s="234"/>
      <c r="G3" s="235"/>
      <c r="I3" s="233" t="s">
        <v>658</v>
      </c>
      <c r="J3" s="234"/>
      <c r="K3" s="234"/>
      <c r="L3" s="234"/>
      <c r="M3" s="234"/>
      <c r="N3" s="235"/>
    </row>
    <row r="4" spans="2:14" ht="15" thickBot="1">
      <c r="B4" s="230" t="s">
        <v>399</v>
      </c>
      <c r="C4" s="231"/>
      <c r="D4" s="231"/>
      <c r="E4" s="231"/>
      <c r="F4" s="231"/>
      <c r="G4" s="232"/>
      <c r="I4" s="230" t="s">
        <v>399</v>
      </c>
      <c r="J4" s="231"/>
      <c r="K4" s="231"/>
      <c r="L4" s="231"/>
      <c r="M4" s="231"/>
      <c r="N4" s="232"/>
    </row>
    <row r="5" spans="2:14" ht="15" thickBot="1">
      <c r="B5" s="277" t="s">
        <v>408</v>
      </c>
      <c r="C5" s="278"/>
      <c r="D5" s="278"/>
      <c r="E5" s="278"/>
      <c r="F5" s="278"/>
      <c r="G5" s="279"/>
      <c r="I5" s="277" t="s">
        <v>408</v>
      </c>
      <c r="J5" s="278"/>
      <c r="K5" s="278"/>
      <c r="L5" s="278"/>
      <c r="M5" s="278"/>
      <c r="N5" s="279"/>
    </row>
    <row r="6" spans="2:14">
      <c r="B6" s="238" t="s">
        <v>661</v>
      </c>
      <c r="C6" s="239"/>
      <c r="D6" s="238" t="s">
        <v>663</v>
      </c>
      <c r="E6" s="239"/>
      <c r="F6" s="238" t="s">
        <v>664</v>
      </c>
      <c r="G6" s="239"/>
      <c r="I6" s="238" t="s">
        <v>661</v>
      </c>
      <c r="J6" s="239"/>
      <c r="K6" s="238" t="s">
        <v>663</v>
      </c>
      <c r="L6" s="239"/>
      <c r="M6" s="238" t="s">
        <v>664</v>
      </c>
      <c r="N6" s="239"/>
    </row>
    <row r="7" spans="2:14" ht="15" thickBot="1">
      <c r="B7" s="240"/>
      <c r="C7" s="241"/>
      <c r="D7" s="240"/>
      <c r="E7" s="241"/>
      <c r="F7" s="240"/>
      <c r="G7" s="241"/>
      <c r="I7" s="240"/>
      <c r="J7" s="241"/>
      <c r="K7" s="240"/>
      <c r="L7" s="241"/>
      <c r="M7" s="240"/>
      <c r="N7" s="241"/>
    </row>
    <row r="8" spans="2:14" ht="16.5">
      <c r="B8" s="35" t="s">
        <v>640</v>
      </c>
      <c r="C8" s="85" t="s">
        <v>667</v>
      </c>
      <c r="D8" s="35" t="s">
        <v>640</v>
      </c>
      <c r="E8" s="85" t="s">
        <v>667</v>
      </c>
      <c r="F8" s="35" t="s">
        <v>640</v>
      </c>
      <c r="G8" s="85" t="s">
        <v>667</v>
      </c>
      <c r="I8" s="35" t="s">
        <v>640</v>
      </c>
      <c r="J8" s="85" t="s">
        <v>660</v>
      </c>
      <c r="K8" s="35" t="s">
        <v>640</v>
      </c>
      <c r="L8" s="85" t="s">
        <v>660</v>
      </c>
      <c r="M8" s="35" t="s">
        <v>640</v>
      </c>
      <c r="N8" s="85" t="s">
        <v>660</v>
      </c>
    </row>
    <row r="9" spans="2:14">
      <c r="B9" s="88">
        <v>0.90463316000000005</v>
      </c>
      <c r="C9" s="87">
        <v>0.28842244</v>
      </c>
      <c r="D9" s="88">
        <v>0.55124724000000003</v>
      </c>
      <c r="E9" s="87">
        <v>0.28435305</v>
      </c>
      <c r="F9" s="88">
        <v>0.55205749999999998</v>
      </c>
      <c r="G9" s="87">
        <v>0.46359583999999998</v>
      </c>
      <c r="I9" s="86">
        <v>0.90463316000000005</v>
      </c>
      <c r="J9" s="94">
        <v>19.094360050206621</v>
      </c>
      <c r="K9" s="86">
        <v>0.55124724000000003</v>
      </c>
      <c r="L9" s="94">
        <v>19.645890880950233</v>
      </c>
      <c r="M9" s="86">
        <v>0.55205749999999998</v>
      </c>
      <c r="N9" s="94">
        <v>15.468580841089951</v>
      </c>
    </row>
    <row r="10" spans="2:14">
      <c r="B10" s="88">
        <v>0.91402879999999997</v>
      </c>
      <c r="C10" s="87">
        <v>0.29271536999999997</v>
      </c>
      <c r="D10" s="88">
        <v>0.56088689999999997</v>
      </c>
      <c r="E10" s="87">
        <v>0.28847536000000001</v>
      </c>
      <c r="F10" s="88">
        <v>0.56241039999999998</v>
      </c>
      <c r="G10" s="87">
        <v>0.46745502999999999</v>
      </c>
      <c r="I10" s="86">
        <v>0.91402879999999997</v>
      </c>
      <c r="J10" s="94">
        <v>18.953727121302091</v>
      </c>
      <c r="K10" s="86">
        <v>0.56088689999999997</v>
      </c>
      <c r="L10" s="94">
        <v>19.506038905856357</v>
      </c>
      <c r="M10" s="86">
        <v>0.56241039999999998</v>
      </c>
      <c r="N10" s="94">
        <v>15.378168258231851</v>
      </c>
    </row>
    <row r="11" spans="2:14">
      <c r="B11" s="88">
        <v>0.92361389999999999</v>
      </c>
      <c r="C11" s="87">
        <v>0.29700935000000001</v>
      </c>
      <c r="D11" s="88">
        <v>0.5704572</v>
      </c>
      <c r="E11" s="87">
        <v>0.29261510000000002</v>
      </c>
      <c r="F11" s="88">
        <v>0.57263189999999997</v>
      </c>
      <c r="G11" s="87">
        <v>0.47129652</v>
      </c>
      <c r="I11" s="86">
        <v>0.92361389999999999</v>
      </c>
      <c r="J11" s="94">
        <v>18.813189882401428</v>
      </c>
      <c r="K11" s="86">
        <v>0.5704572</v>
      </c>
      <c r="L11" s="94">
        <v>19.367861537521517</v>
      </c>
      <c r="M11" s="86">
        <v>0.57263189999999997</v>
      </c>
      <c r="N11" s="94">
        <v>15.28884407654572</v>
      </c>
    </row>
    <row r="12" spans="2:14">
      <c r="B12" s="88">
        <v>0.93341529999999995</v>
      </c>
      <c r="C12" s="87">
        <v>0.30130336000000002</v>
      </c>
      <c r="D12" s="88">
        <v>0.57958609999999999</v>
      </c>
      <c r="E12" s="87">
        <v>0.29679105</v>
      </c>
      <c r="F12" s="88">
        <v>0.58214589999999999</v>
      </c>
      <c r="G12" s="87">
        <v>0.47509151999999999</v>
      </c>
      <c r="I12" s="86">
        <v>0.93341529999999995</v>
      </c>
      <c r="J12" s="94">
        <v>18.672651623500759</v>
      </c>
      <c r="K12" s="86">
        <v>0.57958609999999999</v>
      </c>
      <c r="L12" s="94">
        <v>19.233437739449645</v>
      </c>
      <c r="M12" s="86">
        <v>0.58214589999999999</v>
      </c>
      <c r="N12" s="94">
        <v>15.20220769799297</v>
      </c>
    </row>
    <row r="13" spans="2:14">
      <c r="B13" s="88">
        <v>0.94344300000000003</v>
      </c>
      <c r="C13" s="87">
        <v>0.30559735999999998</v>
      </c>
      <c r="D13" s="88">
        <v>0.58891093999999999</v>
      </c>
      <c r="E13" s="87">
        <v>0.30096699999999998</v>
      </c>
      <c r="F13" s="88">
        <v>0.59187305000000001</v>
      </c>
      <c r="G13" s="87">
        <v>0.47888649999999999</v>
      </c>
      <c r="I13" s="86">
        <v>0.94344300000000003</v>
      </c>
      <c r="J13" s="94">
        <v>18.532114324600091</v>
      </c>
      <c r="K13" s="86">
        <v>0.58891093999999999</v>
      </c>
      <c r="L13" s="94">
        <v>19.099016141377778</v>
      </c>
      <c r="M13" s="86">
        <v>0.59187305000000001</v>
      </c>
      <c r="N13" s="94">
        <v>15.115570219440199</v>
      </c>
    </row>
    <row r="14" spans="2:14">
      <c r="B14" s="88">
        <v>0.95370770000000005</v>
      </c>
      <c r="C14" s="87">
        <v>0.30989137</v>
      </c>
      <c r="D14" s="88">
        <v>0.59844047</v>
      </c>
      <c r="E14" s="87">
        <v>0.30514297000000001</v>
      </c>
      <c r="F14" s="88">
        <v>0.60182303000000004</v>
      </c>
      <c r="G14" s="87">
        <v>0.48268148</v>
      </c>
      <c r="I14" s="86">
        <v>0.95370770000000005</v>
      </c>
      <c r="J14" s="94">
        <v>18.391576025699422</v>
      </c>
      <c r="K14" s="86">
        <v>0.59844047</v>
      </c>
      <c r="L14" s="94">
        <v>18.964595443305907</v>
      </c>
      <c r="M14" s="86">
        <v>0.60182303000000004</v>
      </c>
      <c r="N14" s="94">
        <v>15.028933840887468</v>
      </c>
    </row>
    <row r="15" spans="2:14">
      <c r="B15" s="88">
        <v>0.96422094000000003</v>
      </c>
      <c r="C15" s="87">
        <v>0.31418534999999997</v>
      </c>
      <c r="D15" s="88">
        <v>0.60818380000000005</v>
      </c>
      <c r="E15" s="87">
        <v>0.30931890000000001</v>
      </c>
      <c r="F15" s="88">
        <v>0.6120063</v>
      </c>
      <c r="G15" s="87">
        <v>0.48647645</v>
      </c>
      <c r="I15" s="86">
        <v>0.96422094000000003</v>
      </c>
      <c r="J15" s="94">
        <v>18.251038726798754</v>
      </c>
      <c r="K15" s="86">
        <v>0.60818380000000005</v>
      </c>
      <c r="L15" s="94">
        <v>18.83017174523404</v>
      </c>
      <c r="M15" s="86">
        <v>0.6120063</v>
      </c>
      <c r="N15" s="94">
        <v>14.94229736233466</v>
      </c>
    </row>
    <row r="16" spans="2:14">
      <c r="B16" s="88">
        <v>0.97499495999999997</v>
      </c>
      <c r="C16" s="87">
        <v>0.31847935999999999</v>
      </c>
      <c r="D16" s="88">
        <v>0.61815070000000005</v>
      </c>
      <c r="E16" s="87">
        <v>0.31349485999999999</v>
      </c>
      <c r="F16" s="88">
        <v>0.62243413999999997</v>
      </c>
      <c r="G16" s="87">
        <v>0.49027145</v>
      </c>
      <c r="I16" s="86">
        <v>0.97499495999999997</v>
      </c>
      <c r="J16" s="94">
        <v>18.110503527898089</v>
      </c>
      <c r="K16" s="86">
        <v>0.61815070000000005</v>
      </c>
      <c r="L16" s="94">
        <v>18.695750047162168</v>
      </c>
      <c r="M16" s="86">
        <v>0.62243413999999997</v>
      </c>
      <c r="N16" s="94">
        <v>14.855660983781901</v>
      </c>
    </row>
    <row r="17" spans="2:14">
      <c r="B17" s="88">
        <v>0.98604316000000003</v>
      </c>
      <c r="C17" s="87">
        <v>0.32277337</v>
      </c>
      <c r="D17" s="88">
        <v>0.62835174999999999</v>
      </c>
      <c r="E17" s="87">
        <v>0.31767082000000002</v>
      </c>
      <c r="F17" s="88">
        <v>0.63311857000000005</v>
      </c>
      <c r="G17" s="87">
        <v>0.49406644999999999</v>
      </c>
      <c r="I17" s="86">
        <v>0.98604316000000003</v>
      </c>
      <c r="J17" s="94">
        <v>17.969966228997418</v>
      </c>
      <c r="K17" s="86">
        <v>0.62835174999999999</v>
      </c>
      <c r="L17" s="94">
        <v>18.561327249090301</v>
      </c>
      <c r="M17" s="86">
        <v>0.63311857000000005</v>
      </c>
      <c r="N17" s="94">
        <v>14.769024605229159</v>
      </c>
    </row>
    <row r="18" spans="2:14">
      <c r="B18" s="88">
        <v>0.99737966</v>
      </c>
      <c r="C18" s="87">
        <v>0.32706734999999998</v>
      </c>
      <c r="D18" s="88">
        <v>0.63879819999999998</v>
      </c>
      <c r="E18" s="87">
        <v>0.32184678</v>
      </c>
      <c r="F18" s="88">
        <v>0.64407239999999999</v>
      </c>
      <c r="G18" s="87">
        <v>0.49786142</v>
      </c>
      <c r="I18" s="86">
        <v>0.99737966</v>
      </c>
      <c r="J18" s="94">
        <v>17.829427970096752</v>
      </c>
      <c r="K18" s="86">
        <v>0.63879819999999998</v>
      </c>
      <c r="L18" s="94">
        <v>18.426905551018429</v>
      </c>
      <c r="M18" s="86">
        <v>0.64407239999999999</v>
      </c>
      <c r="N18" s="94">
        <v>14.682388026676399</v>
      </c>
    </row>
    <row r="19" spans="2:14">
      <c r="B19" s="88">
        <v>1.0072760000000001</v>
      </c>
      <c r="C19" s="87">
        <v>0.33142706999999999</v>
      </c>
      <c r="D19" s="88">
        <v>0.64897329999999998</v>
      </c>
      <c r="E19" s="87">
        <v>0.32604125</v>
      </c>
      <c r="F19" s="88">
        <v>0.65530973999999997</v>
      </c>
      <c r="G19" s="87">
        <v>0.5016564</v>
      </c>
      <c r="I19" s="86">
        <v>1.0072760000000001</v>
      </c>
      <c r="J19" s="94">
        <v>17.696529901609345</v>
      </c>
      <c r="K19" s="86">
        <v>0.64897329999999998</v>
      </c>
      <c r="L19" s="94">
        <v>18.295115653185459</v>
      </c>
      <c r="M19" s="86">
        <v>0.65530973999999997</v>
      </c>
      <c r="N19" s="94">
        <v>14.595750648123659</v>
      </c>
    </row>
    <row r="20" spans="2:14">
      <c r="B20" s="88">
        <v>1.0170920999999999</v>
      </c>
      <c r="C20" s="87">
        <v>0.33579822999999998</v>
      </c>
      <c r="D20" s="88">
        <v>0.65834930000000003</v>
      </c>
      <c r="E20" s="87">
        <v>0.33027141999999998</v>
      </c>
      <c r="F20" s="88">
        <v>0.66684555999999995</v>
      </c>
      <c r="G20" s="87">
        <v>0.5054514</v>
      </c>
      <c r="I20" s="86">
        <v>1.0170920999999999</v>
      </c>
      <c r="J20" s="94">
        <v>17.564968233194129</v>
      </c>
      <c r="K20" s="86">
        <v>0.65834930000000003</v>
      </c>
      <c r="L20" s="94">
        <v>18.168401255813418</v>
      </c>
      <c r="M20" s="86">
        <v>0.66684555999999995</v>
      </c>
      <c r="N20" s="94">
        <v>14.50911416957085</v>
      </c>
    </row>
    <row r="21" spans="2:14">
      <c r="B21" s="88">
        <v>1.0271351</v>
      </c>
      <c r="C21" s="87">
        <v>0.34016940000000001</v>
      </c>
      <c r="D21" s="88">
        <v>0.66793219999999998</v>
      </c>
      <c r="E21" s="87">
        <v>0.33450162</v>
      </c>
      <c r="F21" s="88">
        <v>0.67767674</v>
      </c>
      <c r="G21" s="87">
        <v>0.50919380000000003</v>
      </c>
      <c r="I21" s="86">
        <v>1.0271351</v>
      </c>
      <c r="J21" s="94">
        <v>17.433405634778918</v>
      </c>
      <c r="K21" s="86">
        <v>0.66793219999999998</v>
      </c>
      <c r="L21" s="94">
        <v>18.041688858441375</v>
      </c>
      <c r="M21" s="86">
        <v>0.67767674</v>
      </c>
      <c r="N21" s="94">
        <v>14.42492439488743</v>
      </c>
    </row>
    <row r="22" spans="2:14">
      <c r="B22" s="88">
        <v>1.0374159000000001</v>
      </c>
      <c r="C22" s="87">
        <v>0.34454059999999997</v>
      </c>
      <c r="D22" s="88">
        <v>0.67773134000000002</v>
      </c>
      <c r="E22" s="87">
        <v>0.33873183000000001</v>
      </c>
      <c r="F22" s="88">
        <v>0.68746423999999995</v>
      </c>
      <c r="G22" s="87">
        <v>0.51286953999999996</v>
      </c>
      <c r="I22" s="86">
        <v>1.0374159000000001</v>
      </c>
      <c r="J22" s="94">
        <v>17.301842936363702</v>
      </c>
      <c r="K22" s="86">
        <v>0.67773134000000002</v>
      </c>
      <c r="L22" s="94">
        <v>17.914974661069326</v>
      </c>
      <c r="M22" s="86">
        <v>0.68746423999999995</v>
      </c>
      <c r="N22" s="94">
        <v>14.343830725102949</v>
      </c>
    </row>
    <row r="23" spans="2:14">
      <c r="B23" s="88">
        <v>1.047946</v>
      </c>
      <c r="C23" s="87">
        <v>0.34891176000000002</v>
      </c>
      <c r="D23" s="88">
        <v>0.6877567</v>
      </c>
      <c r="E23" s="87">
        <v>0.34296199999999999</v>
      </c>
      <c r="F23" s="88">
        <v>0.69747740000000003</v>
      </c>
      <c r="G23" s="87">
        <v>0.51654529999999999</v>
      </c>
      <c r="I23" s="86">
        <v>1.047946</v>
      </c>
      <c r="J23" s="94">
        <v>17.170283287948482</v>
      </c>
      <c r="K23" s="86">
        <v>0.6877567</v>
      </c>
      <c r="L23" s="94">
        <v>17.788260263697286</v>
      </c>
      <c r="M23" s="86">
        <v>0.69747740000000003</v>
      </c>
      <c r="N23" s="94">
        <v>14.262737455318501</v>
      </c>
    </row>
    <row r="24" spans="2:14">
      <c r="B24" s="88">
        <v>1.0587375999999999</v>
      </c>
      <c r="C24" s="87">
        <v>0.35328295999999998</v>
      </c>
      <c r="D24" s="88">
        <v>0.69801897000000002</v>
      </c>
      <c r="E24" s="87">
        <v>0.34719220000000001</v>
      </c>
      <c r="F24" s="88">
        <v>0.70772690000000005</v>
      </c>
      <c r="G24" s="87">
        <v>0.52022104999999996</v>
      </c>
      <c r="I24" s="86">
        <v>1.0587375999999999</v>
      </c>
      <c r="J24" s="94">
        <v>17.03872063953327</v>
      </c>
      <c r="K24" s="86">
        <v>0.69801897000000002</v>
      </c>
      <c r="L24" s="94">
        <v>17.66154786632524</v>
      </c>
      <c r="M24" s="86">
        <v>0.70772690000000005</v>
      </c>
      <c r="N24" s="94">
        <v>14.181643185534041</v>
      </c>
    </row>
    <row r="25" spans="2:14">
      <c r="B25" s="88">
        <v>1.0698044</v>
      </c>
      <c r="C25" s="87">
        <v>0.35765412000000002</v>
      </c>
      <c r="D25" s="88">
        <v>0.70852965000000001</v>
      </c>
      <c r="E25" s="87">
        <v>0.35142240000000002</v>
      </c>
      <c r="F25" s="88">
        <v>0.71822417000000005</v>
      </c>
      <c r="G25" s="87">
        <v>0.5238969</v>
      </c>
      <c r="I25" s="86">
        <v>1.0698044</v>
      </c>
      <c r="J25" s="94">
        <v>16.907158041118052</v>
      </c>
      <c r="K25" s="86">
        <v>0.70852965000000001</v>
      </c>
      <c r="L25" s="94">
        <v>17.534833468953199</v>
      </c>
      <c r="M25" s="86">
        <v>0.71822417000000005</v>
      </c>
      <c r="N25" s="94">
        <v>14.100551015749559</v>
      </c>
    </row>
    <row r="26" spans="2:14">
      <c r="B26" s="88">
        <v>1.0811605</v>
      </c>
      <c r="C26" s="87">
        <v>0.36202529999999999</v>
      </c>
      <c r="D26" s="88">
        <v>0.71930099999999997</v>
      </c>
      <c r="E26" s="87">
        <v>0.35565257</v>
      </c>
      <c r="F26" s="88">
        <v>0.72898149999999995</v>
      </c>
      <c r="G26" s="87">
        <v>0.52757262999999999</v>
      </c>
      <c r="I26" s="86">
        <v>1.0811605</v>
      </c>
      <c r="J26" s="94">
        <v>16.775596342702837</v>
      </c>
      <c r="K26" s="86">
        <v>0.71930099999999997</v>
      </c>
      <c r="L26" s="94">
        <v>17.408121071581157</v>
      </c>
      <c r="M26" s="86">
        <v>0.72898149999999995</v>
      </c>
      <c r="N26" s="94">
        <v>14.019456845965101</v>
      </c>
    </row>
    <row r="27" spans="2:14">
      <c r="B27" s="88">
        <v>1.0928215999999999</v>
      </c>
      <c r="C27" s="87">
        <v>0.36639650000000001</v>
      </c>
      <c r="D27" s="88">
        <v>0.72912670000000002</v>
      </c>
      <c r="E27" s="87">
        <v>0.35989174000000002</v>
      </c>
      <c r="F27" s="88">
        <v>0.740012</v>
      </c>
      <c r="G27" s="87">
        <v>0.53124839999999995</v>
      </c>
      <c r="I27" s="86">
        <v>1.0928215999999999</v>
      </c>
      <c r="J27" s="94">
        <v>16.644033684287624</v>
      </c>
      <c r="K27" s="86">
        <v>0.72912670000000002</v>
      </c>
      <c r="L27" s="94">
        <v>17.286758474995754</v>
      </c>
      <c r="M27" s="86">
        <v>0.740012</v>
      </c>
      <c r="N27" s="94">
        <v>13.93836367618065</v>
      </c>
    </row>
    <row r="28" spans="2:14">
      <c r="B28" s="88">
        <v>1.1033987999999999</v>
      </c>
      <c r="C28" s="87">
        <v>0.37078956000000002</v>
      </c>
      <c r="D28" s="88">
        <v>0.73798627000000006</v>
      </c>
      <c r="E28" s="87">
        <v>0.36413952999999999</v>
      </c>
      <c r="F28" s="88">
        <v>0.75133000000000005</v>
      </c>
      <c r="G28" s="87">
        <v>0.53492415000000004</v>
      </c>
      <c r="I28" s="86">
        <v>1.1033987999999999</v>
      </c>
      <c r="J28" s="94">
        <v>16.517719646287226</v>
      </c>
      <c r="K28" s="86">
        <v>0.73798627000000006</v>
      </c>
      <c r="L28" s="94">
        <v>17.170527679164671</v>
      </c>
      <c r="M28" s="86">
        <v>0.75133000000000005</v>
      </c>
      <c r="N28" s="94">
        <v>13.857269306396169</v>
      </c>
    </row>
    <row r="29" spans="2:14">
      <c r="B29" s="88">
        <v>1.113688</v>
      </c>
      <c r="C29" s="87">
        <v>0.37519106000000002</v>
      </c>
      <c r="D29" s="88">
        <v>0.74703039999999998</v>
      </c>
      <c r="E29" s="87">
        <v>0.36838727999999998</v>
      </c>
      <c r="F29" s="88">
        <v>0.76295084000000002</v>
      </c>
      <c r="G29" s="87">
        <v>0.53859997000000004</v>
      </c>
      <c r="I29" s="86">
        <v>1.113688</v>
      </c>
      <c r="J29" s="94">
        <v>16.393420678446088</v>
      </c>
      <c r="K29" s="86">
        <v>0.74703039999999998</v>
      </c>
      <c r="L29" s="94">
        <v>17.05429578333359</v>
      </c>
      <c r="M29" s="86">
        <v>0.76295084000000002</v>
      </c>
      <c r="N29" s="94">
        <v>13.7761762366117</v>
      </c>
    </row>
    <row r="30" spans="2:14">
      <c r="B30" s="88">
        <v>1.1242269</v>
      </c>
      <c r="C30" s="87">
        <v>0.37959257000000002</v>
      </c>
      <c r="D30" s="88">
        <v>0.75626682999999995</v>
      </c>
      <c r="E30" s="87">
        <v>0.37263507000000001</v>
      </c>
      <c r="F30" s="88">
        <v>0.77489125999999997</v>
      </c>
      <c r="G30" s="87">
        <v>0.54227570000000003</v>
      </c>
      <c r="I30" s="86">
        <v>1.1242269</v>
      </c>
      <c r="J30" s="94">
        <v>16.269122690604956</v>
      </c>
      <c r="K30" s="86">
        <v>0.75626682999999995</v>
      </c>
      <c r="L30" s="94">
        <v>16.938064087502511</v>
      </c>
      <c r="M30" s="86">
        <v>0.77489125999999997</v>
      </c>
      <c r="N30" s="94">
        <v>13.695082966827199</v>
      </c>
    </row>
    <row r="31" spans="2:14">
      <c r="B31" s="88">
        <v>1.1350279000000001</v>
      </c>
      <c r="C31" s="87">
        <v>0.38399407000000002</v>
      </c>
      <c r="D31" s="88">
        <v>0.76570400000000005</v>
      </c>
      <c r="E31" s="87">
        <v>0.37688284999999999</v>
      </c>
      <c r="F31" s="88">
        <v>0.78582370000000001</v>
      </c>
      <c r="G31" s="87">
        <v>0.54587889999999994</v>
      </c>
      <c r="I31" s="86">
        <v>1.1350279000000001</v>
      </c>
      <c r="J31" s="94">
        <v>16.144823692763826</v>
      </c>
      <c r="K31" s="86">
        <v>0.76570400000000005</v>
      </c>
      <c r="L31" s="94">
        <v>16.821833291671425</v>
      </c>
      <c r="M31" s="86">
        <v>0.78582370000000001</v>
      </c>
      <c r="N31" s="94">
        <v>13.616710003161201</v>
      </c>
    </row>
    <row r="32" spans="2:14">
      <c r="B32" s="88">
        <v>1.1461045000000001</v>
      </c>
      <c r="C32" s="87">
        <v>0.38839558000000002</v>
      </c>
      <c r="D32" s="88">
        <v>0.77535074999999998</v>
      </c>
      <c r="E32" s="87">
        <v>0.38113064000000002</v>
      </c>
      <c r="F32" s="88">
        <v>0.79647659999999998</v>
      </c>
      <c r="G32" s="87">
        <v>0.54945239999999995</v>
      </c>
      <c r="I32" s="86">
        <v>1.1461045000000001</v>
      </c>
      <c r="J32" s="94">
        <v>16.020524694922688</v>
      </c>
      <c r="K32" s="86">
        <v>0.77535074999999998</v>
      </c>
      <c r="L32" s="94">
        <v>16.705602495840338</v>
      </c>
      <c r="M32" s="86">
        <v>0.79647659999999998</v>
      </c>
      <c r="N32" s="94">
        <v>13.5394466419905</v>
      </c>
    </row>
    <row r="33" spans="2:14">
      <c r="B33" s="88">
        <v>1.1574708</v>
      </c>
      <c r="C33" s="87">
        <v>0.39279708000000002</v>
      </c>
      <c r="D33" s="88">
        <v>0.78521669999999999</v>
      </c>
      <c r="E33" s="87">
        <v>0.38537840000000001</v>
      </c>
      <c r="F33" s="88">
        <v>0.80739740000000004</v>
      </c>
      <c r="G33" s="87">
        <v>0.55302596000000004</v>
      </c>
      <c r="I33" s="86">
        <v>1.1574708</v>
      </c>
      <c r="J33" s="94">
        <v>15.896226707081553</v>
      </c>
      <c r="K33" s="86">
        <v>0.78521669999999999</v>
      </c>
      <c r="L33" s="94">
        <v>16.589371700009259</v>
      </c>
      <c r="M33" s="86">
        <v>0.80739740000000004</v>
      </c>
      <c r="N33" s="94">
        <v>13.4621823808196</v>
      </c>
    </row>
    <row r="34" spans="2:14">
      <c r="B34" s="88">
        <v>1.1691427000000001</v>
      </c>
      <c r="C34" s="87">
        <v>0.39719860000000001</v>
      </c>
      <c r="D34" s="88">
        <v>0.79531200000000002</v>
      </c>
      <c r="E34" s="87">
        <v>0.38962617999999999</v>
      </c>
      <c r="F34" s="88">
        <v>0.81859994000000003</v>
      </c>
      <c r="G34" s="87">
        <v>0.55659950000000002</v>
      </c>
      <c r="I34" s="86">
        <v>1.1691427000000001</v>
      </c>
      <c r="J34" s="94">
        <v>15.771927709240416</v>
      </c>
      <c r="K34" s="86">
        <v>0.79531200000000002</v>
      </c>
      <c r="L34" s="94">
        <v>16.473138904178182</v>
      </c>
      <c r="M34" s="86">
        <v>0.81859994000000003</v>
      </c>
      <c r="N34" s="94">
        <v>13.384919119648901</v>
      </c>
    </row>
    <row r="35" spans="2:14">
      <c r="B35" s="88">
        <v>1.1795599999999999</v>
      </c>
      <c r="C35" s="87">
        <v>0.40159931999999998</v>
      </c>
      <c r="D35" s="88">
        <v>0.80564754999999999</v>
      </c>
      <c r="E35" s="87">
        <v>0.39387396000000002</v>
      </c>
      <c r="F35" s="88">
        <v>0.83009909999999998</v>
      </c>
      <c r="G35" s="87">
        <v>0.56017302999999996</v>
      </c>
      <c r="I35" s="86">
        <v>1.1795599999999999</v>
      </c>
      <c r="J35" s="94">
        <v>15.65292566198592</v>
      </c>
      <c r="K35" s="86">
        <v>0.80564754999999999</v>
      </c>
      <c r="L35" s="94">
        <v>16.356908108347096</v>
      </c>
      <c r="M35" s="86">
        <v>0.83009909999999998</v>
      </c>
      <c r="N35" s="94">
        <v>13.3076557584781</v>
      </c>
    </row>
    <row r="36" spans="2:14">
      <c r="B36" s="88">
        <v>1.1900790000000001</v>
      </c>
      <c r="C36" s="87">
        <v>0.40600000000000003</v>
      </c>
      <c r="D36" s="88">
        <v>0.81623509999999999</v>
      </c>
      <c r="E36" s="87">
        <v>0.39812174</v>
      </c>
      <c r="F36" s="88">
        <v>0.84085080000000001</v>
      </c>
      <c r="G36" s="87">
        <v>0.56368410000000002</v>
      </c>
      <c r="I36" s="86">
        <v>1.1900790000000001</v>
      </c>
      <c r="J36" s="94">
        <v>15.534430714787534</v>
      </c>
      <c r="K36" s="86">
        <v>0.81623509999999999</v>
      </c>
      <c r="L36" s="94">
        <v>16.240677312516009</v>
      </c>
      <c r="M36" s="86">
        <v>0.84085080000000001</v>
      </c>
      <c r="N36" s="94">
        <v>13.2324136033447</v>
      </c>
    </row>
    <row r="37" spans="2:14">
      <c r="B37" s="88">
        <v>1.2008591</v>
      </c>
      <c r="C37" s="87">
        <v>0.41040065999999997</v>
      </c>
      <c r="D37" s="88">
        <v>0.82708720000000002</v>
      </c>
      <c r="E37" s="87">
        <v>0.40236949999999999</v>
      </c>
      <c r="F37" s="88">
        <v>0.85167599999999999</v>
      </c>
      <c r="G37" s="87">
        <v>0.56718373</v>
      </c>
      <c r="I37" s="86">
        <v>1.2008591</v>
      </c>
      <c r="J37" s="94">
        <v>15.415934727589157</v>
      </c>
      <c r="K37" s="86">
        <v>0.82708720000000002</v>
      </c>
      <c r="L37" s="94">
        <v>16.124446616684931</v>
      </c>
      <c r="M37" s="86">
        <v>0.85167599999999999</v>
      </c>
      <c r="N37" s="94">
        <v>13.157542949320099</v>
      </c>
    </row>
    <row r="38" spans="2:14">
      <c r="B38" s="88">
        <v>1.2119135000000001</v>
      </c>
      <c r="C38" s="87">
        <v>0.41480129999999998</v>
      </c>
      <c r="D38" s="88">
        <v>0.83821749999999995</v>
      </c>
      <c r="E38" s="87">
        <v>0.40661728000000003</v>
      </c>
      <c r="F38" s="88">
        <v>0.86277795000000002</v>
      </c>
      <c r="G38" s="87">
        <v>0.57068335999999997</v>
      </c>
      <c r="I38" s="86">
        <v>1.2119135000000001</v>
      </c>
      <c r="J38" s="94">
        <v>15.297440770390775</v>
      </c>
      <c r="K38" s="86">
        <v>0.83821749999999995</v>
      </c>
      <c r="L38" s="94">
        <v>16.008214720853839</v>
      </c>
      <c r="M38" s="86">
        <v>0.86277795000000002</v>
      </c>
      <c r="N38" s="94">
        <v>13.082672495295601</v>
      </c>
    </row>
    <row r="39" spans="2:14">
      <c r="B39" s="88">
        <v>1.2232567000000001</v>
      </c>
      <c r="C39" s="87">
        <v>0.41920196999999998</v>
      </c>
      <c r="D39" s="88">
        <v>0.84964050000000002</v>
      </c>
      <c r="E39" s="87">
        <v>0.41086507</v>
      </c>
      <c r="F39" s="88">
        <v>0.87417113999999996</v>
      </c>
      <c r="G39" s="87">
        <v>0.574183</v>
      </c>
      <c r="I39" s="86">
        <v>1.2232567000000001</v>
      </c>
      <c r="J39" s="94">
        <v>15.178944773192397</v>
      </c>
      <c r="K39" s="86">
        <v>0.84964050000000002</v>
      </c>
      <c r="L39" s="94">
        <v>15.891982925022772</v>
      </c>
      <c r="M39" s="86">
        <v>0.87417113999999996</v>
      </c>
      <c r="N39" s="94">
        <v>13.007801941271099</v>
      </c>
    </row>
    <row r="40" spans="2:14">
      <c r="B40" s="88">
        <v>1.2349041999999999</v>
      </c>
      <c r="C40" s="87">
        <v>0.42360263999999997</v>
      </c>
      <c r="D40" s="88">
        <v>0.86137209999999997</v>
      </c>
      <c r="E40" s="87">
        <v>0.41511281999999999</v>
      </c>
      <c r="F40" s="88">
        <v>0.88587130000000003</v>
      </c>
      <c r="G40" s="87">
        <v>0.57768255000000002</v>
      </c>
      <c r="I40" s="86">
        <v>1.2349041999999999</v>
      </c>
      <c r="J40" s="94">
        <v>15.06044877599401</v>
      </c>
      <c r="K40" s="86">
        <v>0.86137209999999997</v>
      </c>
      <c r="L40" s="94">
        <v>15.775752129191678</v>
      </c>
      <c r="M40" s="86">
        <v>0.88587130000000003</v>
      </c>
      <c r="N40" s="94">
        <v>12.932931387246501</v>
      </c>
    </row>
    <row r="41" spans="2:14">
      <c r="B41" s="88">
        <v>1.2466111</v>
      </c>
      <c r="C41" s="87">
        <v>0.42799872</v>
      </c>
      <c r="D41" s="88">
        <v>0.87342940000000002</v>
      </c>
      <c r="E41" s="87">
        <v>0.41936059999999997</v>
      </c>
      <c r="F41" s="88">
        <v>0.89606189999999997</v>
      </c>
      <c r="G41" s="87">
        <v>0.58106667000000001</v>
      </c>
      <c r="I41" s="86">
        <v>1.2466111</v>
      </c>
      <c r="J41" s="94">
        <v>14.942782378932984</v>
      </c>
      <c r="K41" s="86">
        <v>0.87342940000000002</v>
      </c>
      <c r="L41" s="94">
        <v>15.659521333360601</v>
      </c>
      <c r="M41" s="86">
        <v>0.89606189999999997</v>
      </c>
      <c r="N41" s="94">
        <v>12.861359246349299</v>
      </c>
    </row>
    <row r="42" spans="2:14">
      <c r="B42" s="88">
        <v>1.2563031</v>
      </c>
      <c r="C42" s="87">
        <v>0.43235493000000003</v>
      </c>
      <c r="D42" s="88">
        <v>0.88583109999999998</v>
      </c>
      <c r="E42" s="87">
        <v>0.4236084</v>
      </c>
      <c r="F42" s="88">
        <v>0.90645790000000004</v>
      </c>
      <c r="G42" s="87">
        <v>0.58444834000000001</v>
      </c>
      <c r="I42" s="86">
        <v>1.2563031</v>
      </c>
      <c r="J42" s="94">
        <v>14.832337483070591</v>
      </c>
      <c r="K42" s="86">
        <v>0.88583109999999998</v>
      </c>
      <c r="L42" s="94">
        <v>15.543290637529511</v>
      </c>
      <c r="M42" s="86">
        <v>0.90645790000000004</v>
      </c>
      <c r="N42" s="94">
        <v>12.7898579057291</v>
      </c>
    </row>
    <row r="43" spans="2:14">
      <c r="B43" s="88">
        <v>1.2662161999999999</v>
      </c>
      <c r="C43" s="87">
        <v>0.43671113</v>
      </c>
      <c r="D43" s="88">
        <v>0.8964683</v>
      </c>
      <c r="E43" s="87">
        <v>0.42783272</v>
      </c>
      <c r="F43" s="88">
        <v>0.91710882999999999</v>
      </c>
      <c r="G43" s="87">
        <v>0.58782995000000005</v>
      </c>
      <c r="I43" s="86">
        <v>1.2662161999999999</v>
      </c>
      <c r="J43" s="94">
        <v>14.721891587208189</v>
      </c>
      <c r="K43" s="86">
        <v>0.8964683</v>
      </c>
      <c r="L43" s="94">
        <v>15.433863643195409</v>
      </c>
      <c r="M43" s="86">
        <v>0.91710882999999999</v>
      </c>
      <c r="N43" s="94">
        <v>12.718354765108701</v>
      </c>
    </row>
    <row r="44" spans="2:14">
      <c r="B44" s="88">
        <v>1.2763609</v>
      </c>
      <c r="C44" s="87">
        <v>0.44106733999999997</v>
      </c>
      <c r="D44" s="88">
        <v>0.90698456999999999</v>
      </c>
      <c r="E44" s="87">
        <v>0.43205284999999999</v>
      </c>
      <c r="F44" s="88">
        <v>0.92802759999999995</v>
      </c>
      <c r="G44" s="87">
        <v>0.59121159999999995</v>
      </c>
      <c r="I44" s="86">
        <v>1.2763609</v>
      </c>
      <c r="J44" s="94">
        <v>14.611446731345799</v>
      </c>
      <c r="K44" s="86">
        <v>0.90698456999999999</v>
      </c>
      <c r="L44" s="94">
        <v>15.32565194912813</v>
      </c>
      <c r="M44" s="86">
        <v>0.92802759999999995</v>
      </c>
      <c r="N44" s="94">
        <v>12.646852624488499</v>
      </c>
    </row>
    <row r="45" spans="2:14">
      <c r="B45" s="88">
        <v>1.2867481999999999</v>
      </c>
      <c r="C45" s="87">
        <v>0.44542354000000001</v>
      </c>
      <c r="D45" s="88">
        <v>0.91776179999999996</v>
      </c>
      <c r="E45" s="87">
        <v>0.43627300000000002</v>
      </c>
      <c r="F45" s="88">
        <v>0.9392279</v>
      </c>
      <c r="G45" s="87">
        <v>0.59459329999999999</v>
      </c>
      <c r="I45" s="86">
        <v>1.2867481999999999</v>
      </c>
      <c r="J45" s="94">
        <v>14.501001825483401</v>
      </c>
      <c r="K45" s="86">
        <v>0.91776179999999996</v>
      </c>
      <c r="L45" s="94">
        <v>15.217439155060859</v>
      </c>
      <c r="M45" s="86">
        <v>0.9392279</v>
      </c>
      <c r="N45" s="94">
        <v>12.5753505838682</v>
      </c>
    </row>
    <row r="46" spans="2:14">
      <c r="B46" s="88">
        <v>1.29739</v>
      </c>
      <c r="C46" s="87">
        <v>0.44977974999999998</v>
      </c>
      <c r="D46" s="88">
        <v>0.92881329999999995</v>
      </c>
      <c r="E46" s="87">
        <v>0.44049314000000001</v>
      </c>
      <c r="F46" s="88">
        <v>0.95072469999999998</v>
      </c>
      <c r="G46" s="87">
        <v>0.59797489999999998</v>
      </c>
      <c r="I46" s="86">
        <v>1.29739</v>
      </c>
      <c r="J46" s="94">
        <v>14.390555999621006</v>
      </c>
      <c r="K46" s="86">
        <v>0.92881329999999995</v>
      </c>
      <c r="L46" s="94">
        <v>15.109226460993579</v>
      </c>
      <c r="M46" s="86">
        <v>0.95072469999999998</v>
      </c>
      <c r="N46" s="94">
        <v>12.5038484432479</v>
      </c>
    </row>
    <row r="47" spans="2:14">
      <c r="B47" s="88">
        <v>1.3082992</v>
      </c>
      <c r="C47" s="87">
        <v>0.45413595000000001</v>
      </c>
      <c r="D47" s="88">
        <v>0.93926279999999995</v>
      </c>
      <c r="E47" s="87">
        <v>0.44469076000000002</v>
      </c>
      <c r="F47" s="88">
        <v>0.96253425000000004</v>
      </c>
      <c r="G47" s="87">
        <v>0.60135656999999998</v>
      </c>
      <c r="I47" s="86">
        <v>1.3082992</v>
      </c>
      <c r="J47" s="94">
        <v>14.28011110375861</v>
      </c>
      <c r="K47" s="86">
        <v>0.93926279999999995</v>
      </c>
      <c r="L47" s="94">
        <v>15.00379686778296</v>
      </c>
      <c r="M47" s="86">
        <v>0.96253425000000004</v>
      </c>
      <c r="N47" s="94">
        <v>12.432347102627599</v>
      </c>
    </row>
    <row r="48" spans="2:14">
      <c r="B48" s="88">
        <v>1.3194896</v>
      </c>
      <c r="C48" s="87">
        <v>0.45849215999999998</v>
      </c>
      <c r="D48" s="88">
        <v>0.94990474000000003</v>
      </c>
      <c r="E48" s="87">
        <v>0.44888677999999999</v>
      </c>
      <c r="F48" s="88">
        <v>0.97467387000000005</v>
      </c>
      <c r="G48" s="87">
        <v>0.60473823999999998</v>
      </c>
      <c r="I48" s="86">
        <v>1.3194896</v>
      </c>
      <c r="J48" s="94">
        <v>14.169666707896209</v>
      </c>
      <c r="K48" s="86">
        <v>0.94990474000000003</v>
      </c>
      <c r="L48" s="94">
        <v>14.89856677463357</v>
      </c>
      <c r="M48" s="86">
        <v>0.97467387000000005</v>
      </c>
      <c r="N48" s="94">
        <v>12.360843962007401</v>
      </c>
    </row>
    <row r="49" spans="2:14">
      <c r="B49" s="88">
        <v>1.3309759000000001</v>
      </c>
      <c r="C49" s="87">
        <v>0.46284837000000001</v>
      </c>
      <c r="D49" s="88">
        <v>0.96081399999999995</v>
      </c>
      <c r="E49" s="87">
        <v>0.45308280000000001</v>
      </c>
      <c r="F49" s="88">
        <v>0.9871626</v>
      </c>
      <c r="G49" s="87">
        <v>0.60811985000000002</v>
      </c>
      <c r="I49" s="86">
        <v>1.3309759000000001</v>
      </c>
      <c r="J49" s="94">
        <v>14.05922131203382</v>
      </c>
      <c r="K49" s="86">
        <v>0.96081399999999995</v>
      </c>
      <c r="L49" s="94">
        <v>14.793335481484201</v>
      </c>
      <c r="M49" s="86">
        <v>0.9871626</v>
      </c>
      <c r="N49" s="94">
        <v>12.2893419213871</v>
      </c>
    </row>
    <row r="50" spans="2:14">
      <c r="B50" s="88">
        <v>1.3427742</v>
      </c>
      <c r="C50" s="87">
        <v>0.46720456999999999</v>
      </c>
      <c r="D50" s="88">
        <v>0.97197944000000003</v>
      </c>
      <c r="E50" s="87">
        <v>0.45727794999999999</v>
      </c>
      <c r="F50" s="88">
        <v>0.99935830000000003</v>
      </c>
      <c r="G50" s="87">
        <v>0.61146009999999995</v>
      </c>
      <c r="I50" s="86">
        <v>1.3427742</v>
      </c>
      <c r="J50" s="94">
        <v>13.94877641617142</v>
      </c>
      <c r="K50" s="86">
        <v>0.97197944000000003</v>
      </c>
      <c r="L50" s="94">
        <v>14.688179388364231</v>
      </c>
      <c r="M50" s="86">
        <v>0.99935830000000003</v>
      </c>
      <c r="N50" s="94">
        <v>12.218871586654501</v>
      </c>
    </row>
    <row r="51" spans="2:14">
      <c r="B51" s="88">
        <v>1.3549020000000001</v>
      </c>
      <c r="C51" s="87">
        <v>0.47156078000000001</v>
      </c>
      <c r="D51" s="88">
        <v>0.98202970000000001</v>
      </c>
      <c r="E51" s="87">
        <v>0.46142613999999998</v>
      </c>
      <c r="F51" s="88">
        <v>1.0098480999999999</v>
      </c>
      <c r="G51" s="87">
        <v>0.61467505</v>
      </c>
      <c r="I51" s="86">
        <v>1.3549020000000001</v>
      </c>
      <c r="J51" s="94">
        <v>13.83833162030902</v>
      </c>
      <c r="K51" s="86">
        <v>0.98202970000000001</v>
      </c>
      <c r="L51" s="94">
        <v>14.587211896864599</v>
      </c>
      <c r="M51" s="86">
        <v>1.0098480999999999</v>
      </c>
      <c r="N51" s="94">
        <v>12.1515243697398</v>
      </c>
    </row>
    <row r="52" spans="2:14">
      <c r="B52" s="88">
        <v>1.3673784</v>
      </c>
      <c r="C52" s="87">
        <v>0.47591697999999999</v>
      </c>
      <c r="D52" s="88">
        <v>0.99231800000000003</v>
      </c>
      <c r="E52" s="87">
        <v>0.46557431999999999</v>
      </c>
      <c r="F52" s="88">
        <v>1.0205976999999999</v>
      </c>
      <c r="G52" s="87">
        <v>0.61788993999999997</v>
      </c>
      <c r="I52" s="86">
        <v>1.3673784</v>
      </c>
      <c r="J52" s="94">
        <v>13.727886684446633</v>
      </c>
      <c r="K52" s="86">
        <v>0.99231800000000003</v>
      </c>
      <c r="L52" s="94">
        <v>14.486243405365</v>
      </c>
      <c r="M52" s="86">
        <v>1.0205976999999999</v>
      </c>
      <c r="N52" s="94">
        <v>12.084176352824999</v>
      </c>
    </row>
    <row r="53" spans="2:14">
      <c r="B53" s="88">
        <v>1.3802236000000001</v>
      </c>
      <c r="C53" s="87">
        <v>0.48027320000000001</v>
      </c>
      <c r="D53" s="88">
        <v>1.0028558999999999</v>
      </c>
      <c r="E53" s="87">
        <v>0.46972254000000002</v>
      </c>
      <c r="F53" s="88">
        <v>1.0316201</v>
      </c>
      <c r="G53" s="87">
        <v>0.62110483999999999</v>
      </c>
      <c r="I53" s="86">
        <v>1.3802236000000001</v>
      </c>
      <c r="J53" s="94">
        <v>13.617440828584229</v>
      </c>
      <c r="K53" s="86">
        <v>1.0028558999999999</v>
      </c>
      <c r="L53" s="94">
        <v>14.385274913865381</v>
      </c>
      <c r="M53" s="86">
        <v>1.0316201</v>
      </c>
      <c r="N53" s="94">
        <v>12.0168282359102</v>
      </c>
    </row>
    <row r="54" spans="2:14">
      <c r="B54" s="88">
        <v>1.3934605</v>
      </c>
      <c r="C54" s="87">
        <v>0.48462939999999999</v>
      </c>
      <c r="D54" s="88">
        <v>1.0136559999999999</v>
      </c>
      <c r="E54" s="87">
        <v>0.47387072000000002</v>
      </c>
      <c r="F54" s="88">
        <v>1.0429295000000001</v>
      </c>
      <c r="G54" s="87">
        <v>0.62431979999999998</v>
      </c>
      <c r="I54" s="86">
        <v>1.3934605</v>
      </c>
      <c r="J54" s="94">
        <v>13.506995932721841</v>
      </c>
      <c r="K54" s="86">
        <v>1.0136559999999999</v>
      </c>
      <c r="L54" s="94">
        <v>14.284307922365759</v>
      </c>
      <c r="M54" s="86">
        <v>1.0429295000000001</v>
      </c>
      <c r="N54" s="94">
        <v>11.9494810189953</v>
      </c>
    </row>
    <row r="55" spans="2:14">
      <c r="B55" s="88">
        <v>1.4052404000000001</v>
      </c>
      <c r="C55" s="87">
        <v>0.48892691999999999</v>
      </c>
      <c r="D55" s="88">
        <v>1.0247314000000001</v>
      </c>
      <c r="E55" s="87">
        <v>0.47801890000000002</v>
      </c>
      <c r="F55" s="88">
        <v>1.0545412999999999</v>
      </c>
      <c r="G55" s="87">
        <v>0.6275347</v>
      </c>
      <c r="I55" s="86">
        <v>1.4052404000000001</v>
      </c>
      <c r="J55" s="94">
        <v>13.401262238144339</v>
      </c>
      <c r="K55" s="86">
        <v>1.0247314000000001</v>
      </c>
      <c r="L55" s="94">
        <v>14.183339830866149</v>
      </c>
      <c r="M55" s="86">
        <v>1.0545412999999999</v>
      </c>
      <c r="N55" s="94">
        <v>11.882132902080599</v>
      </c>
    </row>
    <row r="56" spans="2:14">
      <c r="B56" s="88">
        <v>1.4152967999999999</v>
      </c>
      <c r="C56" s="87">
        <v>0.49316165000000001</v>
      </c>
      <c r="D56" s="88">
        <v>1.0360967999999999</v>
      </c>
      <c r="E56" s="87">
        <v>0.48216710000000002</v>
      </c>
      <c r="F56" s="88">
        <v>1.0664723</v>
      </c>
      <c r="G56" s="87">
        <v>0.63074960000000002</v>
      </c>
      <c r="I56" s="86">
        <v>1.4152967999999999</v>
      </c>
      <c r="J56" s="94">
        <v>13.300570344941992</v>
      </c>
      <c r="K56" s="86">
        <v>1.0360967999999999</v>
      </c>
      <c r="L56" s="94">
        <v>14.08237133936653</v>
      </c>
      <c r="M56" s="86">
        <v>1.0664723</v>
      </c>
      <c r="N56" s="94">
        <v>11.814785485165899</v>
      </c>
    </row>
    <row r="57" spans="2:14">
      <c r="B57" s="88">
        <v>1.4255914999999999</v>
      </c>
      <c r="C57" s="87">
        <v>0.49739634999999999</v>
      </c>
      <c r="D57" s="88">
        <v>1.0477675</v>
      </c>
      <c r="E57" s="87">
        <v>0.48631528000000002</v>
      </c>
      <c r="F57" s="88">
        <v>1.0787401000000001</v>
      </c>
      <c r="G57" s="87">
        <v>0.63396454000000002</v>
      </c>
      <c r="I57" s="86">
        <v>1.4255914999999999</v>
      </c>
      <c r="J57" s="94">
        <v>13.19987735173963</v>
      </c>
      <c r="K57" s="86">
        <v>1.0477675</v>
      </c>
      <c r="L57" s="94">
        <v>13.98140384786692</v>
      </c>
      <c r="M57" s="86">
        <v>1.0787401000000001</v>
      </c>
      <c r="N57" s="94">
        <v>11.747437568251</v>
      </c>
    </row>
    <row r="58" spans="2:14">
      <c r="B58" s="88">
        <v>1.4361360999999999</v>
      </c>
      <c r="C58" s="87">
        <v>0.5016311</v>
      </c>
      <c r="D58" s="88">
        <v>1.0593859999999999</v>
      </c>
      <c r="E58" s="87">
        <v>0.4904483</v>
      </c>
      <c r="F58" s="88">
        <v>1.0913647</v>
      </c>
      <c r="G58" s="87">
        <v>0.63717942999999999</v>
      </c>
      <c r="I58" s="86">
        <v>1.4361360999999999</v>
      </c>
      <c r="J58" s="94">
        <v>13.099185408537259</v>
      </c>
      <c r="K58" s="86">
        <v>1.0593859999999999</v>
      </c>
      <c r="L58" s="94">
        <v>13.881436756882</v>
      </c>
      <c r="M58" s="86">
        <v>1.0913647</v>
      </c>
      <c r="N58" s="94">
        <v>11.680090651336199</v>
      </c>
    </row>
    <row r="59" spans="2:14">
      <c r="B59" s="88">
        <v>1.4469433</v>
      </c>
      <c r="C59" s="87">
        <v>0.50586580000000003</v>
      </c>
      <c r="D59" s="88">
        <v>1.0696528000000001</v>
      </c>
      <c r="E59" s="87">
        <v>0.49451527000000001</v>
      </c>
      <c r="F59" s="88">
        <v>1.1043673000000001</v>
      </c>
      <c r="G59" s="87">
        <v>0.64039440000000003</v>
      </c>
      <c r="I59" s="86">
        <v>1.4469433</v>
      </c>
      <c r="J59" s="94">
        <v>12.998493435334909</v>
      </c>
      <c r="K59" s="86">
        <v>1.0696528000000001</v>
      </c>
      <c r="L59" s="94">
        <v>13.785823468135639</v>
      </c>
      <c r="M59" s="86">
        <v>1.1043673000000001</v>
      </c>
      <c r="N59" s="94">
        <v>11.6127421344215</v>
      </c>
    </row>
    <row r="60" spans="2:14">
      <c r="B60" s="88">
        <v>1.4580261999999999</v>
      </c>
      <c r="C60" s="87">
        <v>0.51010054000000005</v>
      </c>
      <c r="D60" s="88">
        <v>1.0801681999999999</v>
      </c>
      <c r="E60" s="87">
        <v>0.49858224000000001</v>
      </c>
      <c r="F60" s="88">
        <v>1.1163057000000001</v>
      </c>
      <c r="G60" s="87">
        <v>0.64351875000000003</v>
      </c>
      <c r="I60" s="86">
        <v>1.4580261999999999</v>
      </c>
      <c r="J60" s="94">
        <v>12.897800472132539</v>
      </c>
      <c r="K60" s="86">
        <v>1.0801681999999999</v>
      </c>
      <c r="L60" s="94">
        <v>13.690211279389271</v>
      </c>
      <c r="M60" s="86">
        <v>1.1163057000000001</v>
      </c>
      <c r="N60" s="94">
        <v>11.547355634725399</v>
      </c>
    </row>
    <row r="61" spans="2:14">
      <c r="B61" s="88">
        <v>1.4693992</v>
      </c>
      <c r="C61" s="87">
        <v>0.51433530000000005</v>
      </c>
      <c r="D61" s="88">
        <v>1.0909445</v>
      </c>
      <c r="E61" s="87">
        <v>0.50264925000000005</v>
      </c>
      <c r="F61" s="88">
        <v>1.1271802</v>
      </c>
      <c r="G61" s="87">
        <v>0.64655870000000004</v>
      </c>
      <c r="I61" s="86">
        <v>1.4693992</v>
      </c>
      <c r="J61" s="94">
        <v>12.797108578930201</v>
      </c>
      <c r="K61" s="86">
        <v>1.0909445</v>
      </c>
      <c r="L61" s="94">
        <v>13.594598090642901</v>
      </c>
      <c r="M61" s="86">
        <v>1.1271802</v>
      </c>
      <c r="N61" s="94">
        <v>11.483797951090001</v>
      </c>
    </row>
    <row r="62" spans="2:14">
      <c r="B62" s="88">
        <v>1.4810783000000001</v>
      </c>
      <c r="C62" s="87">
        <v>0.51856994999999995</v>
      </c>
      <c r="D62" s="88">
        <v>1.1019950999999999</v>
      </c>
      <c r="E62" s="87">
        <v>0.50671619999999995</v>
      </c>
      <c r="F62" s="88">
        <v>1.138334</v>
      </c>
      <c r="G62" s="87">
        <v>0.64959865999999999</v>
      </c>
      <c r="I62" s="86">
        <v>1.4810783000000001</v>
      </c>
      <c r="J62" s="94">
        <v>12.696416485727829</v>
      </c>
      <c r="K62" s="86">
        <v>1.1019950999999999</v>
      </c>
      <c r="L62" s="94">
        <v>13.49898590189653</v>
      </c>
      <c r="M62" s="86">
        <v>1.138334</v>
      </c>
      <c r="N62" s="94">
        <v>11.4202406674548</v>
      </c>
    </row>
    <row r="63" spans="2:14">
      <c r="B63" s="88">
        <v>1.49308</v>
      </c>
      <c r="C63" s="87">
        <v>0.52280470000000001</v>
      </c>
      <c r="D63" s="88">
        <v>1.1133343</v>
      </c>
      <c r="E63" s="87">
        <v>0.51078319999999999</v>
      </c>
      <c r="F63" s="88">
        <v>1.1497820000000001</v>
      </c>
      <c r="G63" s="87">
        <v>0.65263859999999996</v>
      </c>
      <c r="I63" s="86">
        <v>1.49308</v>
      </c>
      <c r="J63" s="94">
        <v>12.595723592525461</v>
      </c>
      <c r="K63" s="86">
        <v>1.1133343</v>
      </c>
      <c r="L63" s="94">
        <v>13.40337261315017</v>
      </c>
      <c r="M63" s="86">
        <v>1.1497820000000001</v>
      </c>
      <c r="N63" s="94">
        <v>11.3566838838194</v>
      </c>
    </row>
    <row r="64" spans="2:14">
      <c r="B64" s="88">
        <v>1.505423</v>
      </c>
      <c r="C64" s="87">
        <v>0.52703940000000005</v>
      </c>
      <c r="D64" s="88">
        <v>1.1249775</v>
      </c>
      <c r="E64" s="87">
        <v>0.51485020000000004</v>
      </c>
      <c r="F64" s="88">
        <v>1.1615397000000001</v>
      </c>
      <c r="G64" s="87">
        <v>0.6556786</v>
      </c>
      <c r="I64" s="86">
        <v>1.505423</v>
      </c>
      <c r="J64" s="94">
        <v>12.495031699323109</v>
      </c>
      <c r="K64" s="86">
        <v>1.1249775</v>
      </c>
      <c r="L64" s="94">
        <v>13.3077603244038</v>
      </c>
      <c r="M64" s="86">
        <v>1.1615397000000001</v>
      </c>
      <c r="N64" s="94">
        <v>11.293126600183999</v>
      </c>
    </row>
    <row r="65" spans="2:14">
      <c r="B65" s="88">
        <v>1.518127</v>
      </c>
      <c r="C65" s="87">
        <v>0.53127413999999995</v>
      </c>
      <c r="D65" s="88">
        <v>1.1369412999999999</v>
      </c>
      <c r="E65" s="87">
        <v>0.51891714</v>
      </c>
      <c r="F65" s="88">
        <v>1.1736248</v>
      </c>
      <c r="G65" s="87">
        <v>0.65871849999999998</v>
      </c>
      <c r="I65" s="86">
        <v>1.518127</v>
      </c>
      <c r="J65" s="94">
        <v>12.394339206120751</v>
      </c>
      <c r="K65" s="86">
        <v>1.1369412999999999</v>
      </c>
      <c r="L65" s="94">
        <v>13.212147235657431</v>
      </c>
      <c r="M65" s="86">
        <v>1.1736248</v>
      </c>
      <c r="N65" s="94">
        <v>11.229569416548701</v>
      </c>
    </row>
    <row r="66" spans="2:14">
      <c r="B66" s="88">
        <v>1.5312138</v>
      </c>
      <c r="C66" s="87">
        <v>0.53550889999999995</v>
      </c>
      <c r="D66" s="88">
        <v>1.1484977000000001</v>
      </c>
      <c r="E66" s="87">
        <v>0.52294870000000004</v>
      </c>
      <c r="F66" s="88">
        <v>1.1860557</v>
      </c>
      <c r="G66" s="87">
        <v>0.66175850000000003</v>
      </c>
      <c r="I66" s="86">
        <v>1.5312138</v>
      </c>
      <c r="J66" s="94">
        <v>12.29364681291838</v>
      </c>
      <c r="K66" s="86">
        <v>1.1484977000000001</v>
      </c>
      <c r="L66" s="94">
        <v>13.1183104481882</v>
      </c>
      <c r="M66" s="86">
        <v>1.1860557</v>
      </c>
      <c r="N66" s="94">
        <v>11.166011532913302</v>
      </c>
    </row>
    <row r="67" spans="2:14">
      <c r="B67" s="88">
        <v>1.5447071999999999</v>
      </c>
      <c r="C67" s="87">
        <v>0.53974359999999999</v>
      </c>
      <c r="D67" s="88">
        <v>1.1589860000000001</v>
      </c>
      <c r="E67" s="87">
        <v>0.52691600000000005</v>
      </c>
      <c r="F67" s="88">
        <v>1.1988529000000001</v>
      </c>
      <c r="G67" s="87">
        <v>0.66479843999999999</v>
      </c>
      <c r="I67" s="86">
        <v>1.5447071999999999</v>
      </c>
      <c r="J67" s="94">
        <v>12.192954719716031</v>
      </c>
      <c r="K67" s="86">
        <v>1.1589860000000001</v>
      </c>
      <c r="L67" s="94">
        <v>13.0276839630287</v>
      </c>
      <c r="M67" s="86">
        <v>1.1988529000000001</v>
      </c>
      <c r="N67" s="94">
        <v>11.1024540492781</v>
      </c>
    </row>
    <row r="68" spans="2:14">
      <c r="B68" s="88">
        <v>1.5586333000000001</v>
      </c>
      <c r="C68" s="87">
        <v>0.54397832999999995</v>
      </c>
      <c r="D68" s="88">
        <v>1.1697337999999999</v>
      </c>
      <c r="E68" s="87">
        <v>0.53088343000000005</v>
      </c>
      <c r="F68" s="88">
        <v>1.2120388</v>
      </c>
      <c r="G68" s="87">
        <v>0.66783840000000005</v>
      </c>
      <c r="I68" s="86">
        <v>1.5586333000000001</v>
      </c>
      <c r="J68" s="94">
        <v>12.09226182651366</v>
      </c>
      <c r="K68" s="86">
        <v>1.1697337999999999</v>
      </c>
      <c r="L68" s="94">
        <v>12.93705747786924</v>
      </c>
      <c r="M68" s="86">
        <v>1.2120388</v>
      </c>
      <c r="N68" s="94">
        <v>11.038896765642802</v>
      </c>
    </row>
    <row r="69" spans="2:14">
      <c r="B69" s="88">
        <v>1.5701096999999999</v>
      </c>
      <c r="C69" s="87">
        <v>0.54809814999999995</v>
      </c>
      <c r="D69" s="88">
        <v>1.1807543</v>
      </c>
      <c r="E69" s="87">
        <v>0.53485079999999996</v>
      </c>
      <c r="F69" s="88">
        <v>1.2256376</v>
      </c>
      <c r="G69" s="87">
        <v>0.67087834999999996</v>
      </c>
      <c r="I69" s="86">
        <v>1.5701096999999999</v>
      </c>
      <c r="J69" s="94">
        <v>11.9974124358854</v>
      </c>
      <c r="K69" s="86">
        <v>1.1807543</v>
      </c>
      <c r="L69" s="94">
        <v>12.846431192709749</v>
      </c>
      <c r="M69" s="86">
        <v>1.2256376</v>
      </c>
      <c r="N69" s="94">
        <v>10.975339982007</v>
      </c>
    </row>
    <row r="70" spans="2:14">
      <c r="B70" s="88">
        <v>1.5814257</v>
      </c>
      <c r="C70" s="87">
        <v>0.55219969999999996</v>
      </c>
      <c r="D70" s="88">
        <v>1.1920618000000001</v>
      </c>
      <c r="E70" s="87">
        <v>0.53881820000000002</v>
      </c>
      <c r="F70" s="88">
        <v>1.2372999</v>
      </c>
      <c r="G70" s="87">
        <v>0.67377686999999997</v>
      </c>
      <c r="I70" s="86">
        <v>1.5814257</v>
      </c>
      <c r="J70" s="94">
        <v>11.9034870456648</v>
      </c>
      <c r="K70" s="86">
        <v>1.1920618000000001</v>
      </c>
      <c r="L70" s="94">
        <v>12.755804707550261</v>
      </c>
      <c r="M70" s="86">
        <v>1.2372999</v>
      </c>
      <c r="N70" s="94">
        <v>10.914510935460299</v>
      </c>
    </row>
    <row r="71" spans="2:14">
      <c r="B71" s="88">
        <v>1.5930443999999999</v>
      </c>
      <c r="C71" s="87">
        <v>0.55630135999999997</v>
      </c>
      <c r="D71" s="88">
        <v>1.2036716999999999</v>
      </c>
      <c r="E71" s="87">
        <v>0.54278550000000003</v>
      </c>
      <c r="F71" s="88">
        <v>1.2486233</v>
      </c>
      <c r="G71" s="87">
        <v>0.67663693000000003</v>
      </c>
      <c r="I71" s="86">
        <v>1.5930443999999999</v>
      </c>
      <c r="J71" s="94">
        <v>11.809561555444228</v>
      </c>
      <c r="K71" s="86">
        <v>1.2036716999999999</v>
      </c>
      <c r="L71" s="94">
        <v>12.66517822239077</v>
      </c>
      <c r="M71" s="86">
        <v>1.2486233</v>
      </c>
      <c r="N71" s="94">
        <v>10.854422198984999</v>
      </c>
    </row>
    <row r="72" spans="2:14">
      <c r="B72" s="88">
        <v>1.6049825</v>
      </c>
      <c r="C72" s="87">
        <v>0.56040299999999998</v>
      </c>
      <c r="D72" s="88">
        <v>1.2156004</v>
      </c>
      <c r="E72" s="87">
        <v>0.54675286999999995</v>
      </c>
      <c r="F72" s="88">
        <v>1.2602496000000001</v>
      </c>
      <c r="G72" s="87">
        <v>0.67949700000000002</v>
      </c>
      <c r="I72" s="86">
        <v>1.6049825</v>
      </c>
      <c r="J72" s="94">
        <v>11.71563596522366</v>
      </c>
      <c r="K72" s="86">
        <v>1.2156004</v>
      </c>
      <c r="L72" s="94">
        <v>12.5745517372313</v>
      </c>
      <c r="M72" s="86">
        <v>1.2602496000000001</v>
      </c>
      <c r="N72" s="94">
        <v>10.79433456251</v>
      </c>
    </row>
    <row r="73" spans="2:14">
      <c r="B73" s="88">
        <v>1.6172580999999999</v>
      </c>
      <c r="C73" s="87">
        <v>0.56450460000000002</v>
      </c>
      <c r="D73" s="88">
        <v>1.2278659999999999</v>
      </c>
      <c r="E73" s="87">
        <v>0.55072030000000005</v>
      </c>
      <c r="F73" s="88">
        <v>1.2721958</v>
      </c>
      <c r="G73" s="87">
        <v>0.68235710000000005</v>
      </c>
      <c r="I73" s="86">
        <v>1.6172580999999999</v>
      </c>
      <c r="J73" s="94">
        <v>11.6217105750031</v>
      </c>
      <c r="K73" s="86">
        <v>1.2278659999999999</v>
      </c>
      <c r="L73" s="94">
        <v>12.483925452071821</v>
      </c>
      <c r="M73" s="86">
        <v>1.2721958</v>
      </c>
      <c r="N73" s="94">
        <v>10.734246226034999</v>
      </c>
    </row>
    <row r="74" spans="2:14">
      <c r="B74" s="88">
        <v>1.6298907</v>
      </c>
      <c r="C74" s="87">
        <v>0.56860619999999995</v>
      </c>
      <c r="D74" s="88">
        <v>1.2393396999999999</v>
      </c>
      <c r="E74" s="87">
        <v>0.55462710000000004</v>
      </c>
      <c r="F74" s="88">
        <v>1.2844800999999999</v>
      </c>
      <c r="G74" s="87">
        <v>0.68521714</v>
      </c>
      <c r="I74" s="86">
        <v>1.6298907</v>
      </c>
      <c r="J74" s="94">
        <v>11.52778508478252</v>
      </c>
      <c r="K74" s="86">
        <v>1.2393396999999999</v>
      </c>
      <c r="L74" s="94">
        <v>12.395738069363098</v>
      </c>
      <c r="M74" s="86">
        <v>1.2844800999999999</v>
      </c>
      <c r="N74" s="94">
        <v>10.67415868956</v>
      </c>
    </row>
    <row r="75" spans="2:14">
      <c r="B75" s="88">
        <v>1.6429019</v>
      </c>
      <c r="C75" s="87">
        <v>0.57270783000000003</v>
      </c>
      <c r="D75" s="88">
        <v>1.2500604</v>
      </c>
      <c r="E75" s="87">
        <v>0.55847937000000003</v>
      </c>
      <c r="F75" s="88">
        <v>1.2971219</v>
      </c>
      <c r="G75" s="87">
        <v>0.68807720000000006</v>
      </c>
      <c r="I75" s="86">
        <v>1.6429019</v>
      </c>
      <c r="J75" s="94">
        <v>11.433859594561911</v>
      </c>
      <c r="K75" s="86">
        <v>1.2500604</v>
      </c>
      <c r="L75" s="94">
        <v>12.309755688870199</v>
      </c>
      <c r="M75" s="86">
        <v>1.2971219</v>
      </c>
      <c r="N75" s="94">
        <v>10.614070553085</v>
      </c>
    </row>
    <row r="76" spans="2:14">
      <c r="B76" s="88">
        <v>1.6547795999999999</v>
      </c>
      <c r="C76" s="87">
        <v>0.57673525999999997</v>
      </c>
      <c r="D76" s="88">
        <v>1.2610526</v>
      </c>
      <c r="E76" s="87">
        <v>0.56233155999999995</v>
      </c>
      <c r="F76" s="88">
        <v>1.3101426</v>
      </c>
      <c r="G76" s="87">
        <v>0.69093720000000003</v>
      </c>
      <c r="I76" s="86">
        <v>1.6547795999999999</v>
      </c>
      <c r="J76" s="94">
        <v>11.34284570623414</v>
      </c>
      <c r="K76" s="86">
        <v>1.2610526</v>
      </c>
      <c r="L76" s="94">
        <v>12.223774908377351</v>
      </c>
      <c r="M76" s="86">
        <v>1.3101426</v>
      </c>
      <c r="N76" s="94">
        <v>10.55398261661</v>
      </c>
    </row>
    <row r="77" spans="2:14">
      <c r="B77" s="88">
        <v>1.6662250999999999</v>
      </c>
      <c r="C77" s="87">
        <v>0.58072650000000003</v>
      </c>
      <c r="D77" s="88">
        <v>1.2723302999999999</v>
      </c>
      <c r="E77" s="87">
        <v>0.56618374999999999</v>
      </c>
      <c r="F77" s="88">
        <v>1.323566</v>
      </c>
      <c r="G77" s="87">
        <v>0.69379729999999995</v>
      </c>
      <c r="I77" s="86">
        <v>1.6662250999999999</v>
      </c>
      <c r="J77" s="94">
        <v>11.25324951882698</v>
      </c>
      <c r="K77" s="86">
        <v>1.2723302999999999</v>
      </c>
      <c r="L77" s="94">
        <v>12.137792027884538</v>
      </c>
      <c r="M77" s="86">
        <v>1.323566</v>
      </c>
      <c r="N77" s="94">
        <v>10.493894080135</v>
      </c>
    </row>
    <row r="78" spans="2:14">
      <c r="B78" s="88">
        <v>1.6779805000000001</v>
      </c>
      <c r="C78" s="87">
        <v>0.58471779999999995</v>
      </c>
      <c r="D78" s="88">
        <v>1.2839084999999999</v>
      </c>
      <c r="E78" s="87">
        <v>0.57003592999999997</v>
      </c>
      <c r="F78" s="88">
        <v>1.3374174999999999</v>
      </c>
      <c r="G78" s="87">
        <v>0.69665736</v>
      </c>
      <c r="I78" s="86">
        <v>1.6779805000000001</v>
      </c>
      <c r="J78" s="94">
        <v>11.163651431419799</v>
      </c>
      <c r="K78" s="86">
        <v>1.2839084999999999</v>
      </c>
      <c r="L78" s="94">
        <v>12.051810247391661</v>
      </c>
      <c r="M78" s="86">
        <v>1.3374174999999999</v>
      </c>
      <c r="N78" s="94">
        <v>10.433805943659699</v>
      </c>
    </row>
    <row r="79" spans="2:14">
      <c r="B79" s="88">
        <v>1.6900630000000001</v>
      </c>
      <c r="C79" s="87">
        <v>0.58870909999999999</v>
      </c>
      <c r="D79" s="88">
        <v>1.2958038999999999</v>
      </c>
      <c r="E79" s="87">
        <v>0.57388810000000001</v>
      </c>
      <c r="F79" s="88">
        <v>1.3514819</v>
      </c>
      <c r="G79" s="87">
        <v>0.69950235000000005</v>
      </c>
      <c r="I79" s="86">
        <v>1.6900630000000001</v>
      </c>
      <c r="J79" s="94">
        <v>11.07405524401265</v>
      </c>
      <c r="K79" s="86">
        <v>1.2958038999999999</v>
      </c>
      <c r="L79" s="94">
        <v>11.9658273668988</v>
      </c>
      <c r="M79" s="86">
        <v>1.3514819</v>
      </c>
      <c r="N79" s="94">
        <v>10.3739765139367</v>
      </c>
    </row>
    <row r="80" spans="2:14">
      <c r="B80" s="88">
        <v>1.7024912999999999</v>
      </c>
      <c r="C80" s="87">
        <v>0.59270040000000002</v>
      </c>
      <c r="D80" s="88">
        <v>1.3080343999999999</v>
      </c>
      <c r="E80" s="87">
        <v>0.57774029999999998</v>
      </c>
      <c r="F80" s="88">
        <v>1.361753</v>
      </c>
      <c r="G80" s="87">
        <v>0.7020902</v>
      </c>
      <c r="I80" s="86">
        <v>1.7024912999999999</v>
      </c>
      <c r="J80" s="94">
        <v>10.984457156605449</v>
      </c>
      <c r="K80" s="86">
        <v>1.3080343999999999</v>
      </c>
      <c r="L80" s="94">
        <v>11.8798465864059</v>
      </c>
      <c r="M80" s="86">
        <v>1.361753</v>
      </c>
      <c r="N80" s="94">
        <v>10.318549699217</v>
      </c>
    </row>
    <row r="81" spans="2:14">
      <c r="B81" s="88">
        <v>1.7152858</v>
      </c>
      <c r="C81" s="87">
        <v>0.59669170000000005</v>
      </c>
      <c r="D81" s="88">
        <v>1.3206192000000001</v>
      </c>
      <c r="E81" s="87">
        <v>0.58159249999999996</v>
      </c>
      <c r="F81" s="88">
        <v>1.3722728</v>
      </c>
      <c r="G81" s="87">
        <v>0.70467806</v>
      </c>
      <c r="I81" s="86">
        <v>1.7152858</v>
      </c>
      <c r="J81" s="94">
        <v>10.894859969198301</v>
      </c>
      <c r="K81" s="86">
        <v>1.3206192000000001</v>
      </c>
      <c r="L81" s="94">
        <v>11.793864805913101</v>
      </c>
      <c r="M81" s="86">
        <v>1.3722728</v>
      </c>
      <c r="N81" s="94">
        <v>10.263122484497302</v>
      </c>
    </row>
    <row r="82" spans="2:14">
      <c r="B82" s="88">
        <v>1.7284687000000001</v>
      </c>
      <c r="C82" s="87">
        <v>0.60068299999999997</v>
      </c>
      <c r="D82" s="88">
        <v>1.3313271</v>
      </c>
      <c r="E82" s="87">
        <v>0.58530769999999999</v>
      </c>
      <c r="F82" s="88">
        <v>1.3830538999999999</v>
      </c>
      <c r="G82" s="87">
        <v>0.70726584999999997</v>
      </c>
      <c r="I82" s="86">
        <v>1.7284687000000001</v>
      </c>
      <c r="J82" s="94">
        <v>10.80526278179112</v>
      </c>
      <c r="K82" s="86">
        <v>1.3313271</v>
      </c>
      <c r="L82" s="94">
        <v>11.712287632365641</v>
      </c>
      <c r="M82" s="86">
        <v>1.3830538999999999</v>
      </c>
      <c r="N82" s="94">
        <v>10.207695669777999</v>
      </c>
    </row>
    <row r="83" spans="2:14">
      <c r="B83" s="88">
        <v>1.7404565000000001</v>
      </c>
      <c r="C83" s="87">
        <v>0.60458385999999997</v>
      </c>
      <c r="D83" s="88">
        <v>1.3412921</v>
      </c>
      <c r="E83" s="87">
        <v>0.58896254999999997</v>
      </c>
      <c r="F83" s="88">
        <v>1.3941094000000001</v>
      </c>
      <c r="G83" s="87">
        <v>0.70985370000000003</v>
      </c>
      <c r="I83" s="86">
        <v>1.7404565000000001</v>
      </c>
      <c r="J83" s="94">
        <v>10.718561397212602</v>
      </c>
      <c r="K83" s="86">
        <v>1.3412921</v>
      </c>
      <c r="L83" s="94">
        <v>11.632649661876499</v>
      </c>
      <c r="M83" s="86">
        <v>1.3941094000000001</v>
      </c>
      <c r="N83" s="94">
        <v>10.152268855058299</v>
      </c>
    </row>
    <row r="84" spans="2:14">
      <c r="B84" s="88">
        <v>1.7510159000000001</v>
      </c>
      <c r="C84" s="87">
        <v>0.60838764999999995</v>
      </c>
      <c r="D84" s="88">
        <v>1.3514911999999999</v>
      </c>
      <c r="E84" s="87">
        <v>0.59261744999999999</v>
      </c>
      <c r="F84" s="88">
        <v>1.4054537</v>
      </c>
      <c r="G84" s="87">
        <v>0.71244156000000003</v>
      </c>
      <c r="I84" s="86">
        <v>1.7510159000000001</v>
      </c>
      <c r="J84" s="94">
        <v>10.63496831567066</v>
      </c>
      <c r="K84" s="86">
        <v>1.3514911999999999</v>
      </c>
      <c r="L84" s="94">
        <v>11.55301219138736</v>
      </c>
      <c r="M84" s="86">
        <v>1.4054537</v>
      </c>
      <c r="N84" s="94">
        <v>10.096841940338599</v>
      </c>
    </row>
    <row r="85" spans="2:14">
      <c r="B85" s="88">
        <v>1.7618384</v>
      </c>
      <c r="C85" s="87">
        <v>0.61219144000000003</v>
      </c>
      <c r="D85" s="88">
        <v>1.3619356</v>
      </c>
      <c r="E85" s="87">
        <v>0.59627229999999998</v>
      </c>
      <c r="F85" s="88">
        <v>1.4171023</v>
      </c>
      <c r="G85" s="87">
        <v>0.71502935999999995</v>
      </c>
      <c r="I85" s="86">
        <v>1.7618384</v>
      </c>
      <c r="J85" s="94">
        <v>10.551374734128698</v>
      </c>
      <c r="K85" s="86">
        <v>1.3619356</v>
      </c>
      <c r="L85" s="94">
        <v>11.47337442089824</v>
      </c>
      <c r="M85" s="86">
        <v>1.4171023</v>
      </c>
      <c r="N85" s="94">
        <v>10.041415525619401</v>
      </c>
    </row>
    <row r="86" spans="2:14">
      <c r="B86" s="88">
        <v>1.7729375000000001</v>
      </c>
      <c r="C86" s="87">
        <v>0.61599519999999997</v>
      </c>
      <c r="D86" s="88">
        <v>1.3726373999999999</v>
      </c>
      <c r="E86" s="87">
        <v>0.59992719999999999</v>
      </c>
      <c r="F86" s="88">
        <v>1.4290719000000001</v>
      </c>
      <c r="G86" s="87">
        <v>0.71761719999999996</v>
      </c>
      <c r="I86" s="86">
        <v>1.7729375000000001</v>
      </c>
      <c r="J86" s="94">
        <v>10.467781152586729</v>
      </c>
      <c r="K86" s="86">
        <v>1.3726373999999999</v>
      </c>
      <c r="L86" s="94">
        <v>11.3937377504091</v>
      </c>
      <c r="M86" s="86">
        <v>1.4290719000000001</v>
      </c>
      <c r="N86" s="94">
        <v>9.9859881108996014</v>
      </c>
    </row>
    <row r="87" spans="2:14">
      <c r="B87" s="88">
        <v>1.7843279000000001</v>
      </c>
      <c r="C87" s="87">
        <v>0.61979899999999999</v>
      </c>
      <c r="D87" s="88">
        <v>1.3836094999999999</v>
      </c>
      <c r="E87" s="87">
        <v>0.60358199999999995</v>
      </c>
      <c r="F87" s="88">
        <v>1.4413809</v>
      </c>
      <c r="G87" s="87">
        <v>0.72020507</v>
      </c>
      <c r="I87" s="86">
        <v>1.7843279000000001</v>
      </c>
      <c r="J87" s="94">
        <v>10.384189571044789</v>
      </c>
      <c r="K87" s="86">
        <v>1.3836094999999999</v>
      </c>
      <c r="L87" s="94">
        <v>11.31410007991996</v>
      </c>
      <c r="M87" s="86">
        <v>1.4413809</v>
      </c>
      <c r="N87" s="94">
        <v>9.9305612961800005</v>
      </c>
    </row>
    <row r="88" spans="2:14">
      <c r="B88" s="88">
        <v>1.7960248999999999</v>
      </c>
      <c r="C88" s="87">
        <v>0.62360280000000001</v>
      </c>
      <c r="D88" s="88">
        <v>1.3948661</v>
      </c>
      <c r="E88" s="87">
        <v>0.60723689999999997</v>
      </c>
      <c r="F88" s="88">
        <v>1.4540489000000001</v>
      </c>
      <c r="G88" s="87">
        <v>0.72279285999999998</v>
      </c>
      <c r="I88" s="86">
        <v>1.7960248999999999</v>
      </c>
      <c r="J88" s="94">
        <v>10.30059598950284</v>
      </c>
      <c r="K88" s="86">
        <v>1.3948661</v>
      </c>
      <c r="L88" s="94">
        <v>11.234461309430801</v>
      </c>
      <c r="M88" s="86">
        <v>1.4540489000000001</v>
      </c>
      <c r="N88" s="94">
        <v>9.8751343814610006</v>
      </c>
    </row>
    <row r="89" spans="2:14">
      <c r="B89" s="88">
        <v>1.8080457000000001</v>
      </c>
      <c r="C89" s="87">
        <v>0.62740660000000004</v>
      </c>
      <c r="D89" s="88">
        <v>1.4064220999999999</v>
      </c>
      <c r="E89" s="87">
        <v>0.61089176000000001</v>
      </c>
      <c r="F89" s="88">
        <v>1.4670974999999999</v>
      </c>
      <c r="G89" s="87">
        <v>0.72538069999999999</v>
      </c>
      <c r="I89" s="86">
        <v>1.8080457000000001</v>
      </c>
      <c r="J89" s="94">
        <v>10.2170024079609</v>
      </c>
      <c r="K89" s="86">
        <v>1.4064220999999999</v>
      </c>
      <c r="L89" s="94">
        <v>11.1548245389417</v>
      </c>
      <c r="M89" s="86">
        <v>1.4670974999999999</v>
      </c>
      <c r="N89" s="94">
        <v>9.8197076667409995</v>
      </c>
    </row>
    <row r="90" spans="2:14">
      <c r="B90" s="88">
        <v>1.8204088</v>
      </c>
      <c r="C90" s="87">
        <v>0.63121039999999995</v>
      </c>
      <c r="D90" s="88">
        <v>1.4182942000000001</v>
      </c>
      <c r="E90" s="87">
        <v>0.61454666000000002</v>
      </c>
      <c r="F90" s="88">
        <v>1.4805504</v>
      </c>
      <c r="G90" s="87">
        <v>0.72796859999999997</v>
      </c>
      <c r="I90" s="86">
        <v>1.8204088</v>
      </c>
      <c r="J90" s="94">
        <v>10.13340882641894</v>
      </c>
      <c r="K90" s="86">
        <v>1.4182942000000001</v>
      </c>
      <c r="L90" s="94">
        <v>11.075186968452499</v>
      </c>
      <c r="M90" s="86">
        <v>1.4805504</v>
      </c>
      <c r="N90" s="94">
        <v>9.7642809520210001</v>
      </c>
    </row>
    <row r="91" spans="2:14">
      <c r="B91" s="88">
        <v>1.8331341999999999</v>
      </c>
      <c r="C91" s="87">
        <v>0.63501419999999997</v>
      </c>
      <c r="D91" s="88">
        <v>1.4304999</v>
      </c>
      <c r="E91" s="87">
        <v>0.61820149999999996</v>
      </c>
      <c r="F91" s="88">
        <v>1.4944333000000001</v>
      </c>
      <c r="G91" s="87">
        <v>0.73055639999999999</v>
      </c>
      <c r="I91" s="86">
        <v>1.8331341999999999</v>
      </c>
      <c r="J91" s="94">
        <v>10.049817244876969</v>
      </c>
      <c r="K91" s="86">
        <v>1.4304999</v>
      </c>
      <c r="L91" s="94">
        <v>10.995549197963399</v>
      </c>
      <c r="M91" s="86">
        <v>1.4944333000000001</v>
      </c>
      <c r="N91" s="94">
        <v>9.7088536373020009</v>
      </c>
    </row>
    <row r="92" spans="2:14">
      <c r="B92" s="88">
        <v>1.8462436</v>
      </c>
      <c r="C92" s="87">
        <v>0.63881796999999996</v>
      </c>
      <c r="D92" s="88">
        <v>1.4430585</v>
      </c>
      <c r="E92" s="87">
        <v>0.62185639999999998</v>
      </c>
      <c r="F92" s="88">
        <v>1.5087748000000001</v>
      </c>
      <c r="G92" s="87">
        <v>0.73314420000000002</v>
      </c>
      <c r="I92" s="86">
        <v>1.8462436</v>
      </c>
      <c r="J92" s="94">
        <v>9.9662236633350485</v>
      </c>
      <c r="K92" s="86">
        <v>1.4430585</v>
      </c>
      <c r="L92" s="94">
        <v>10.915911627474202</v>
      </c>
      <c r="M92" s="86">
        <v>1.5087748000000001</v>
      </c>
      <c r="N92" s="94">
        <v>9.6534268225820004</v>
      </c>
    </row>
    <row r="93" spans="2:14">
      <c r="B93" s="88">
        <v>1.8597611999999999</v>
      </c>
      <c r="C93" s="87">
        <v>0.64262176000000004</v>
      </c>
      <c r="D93" s="88">
        <v>1.4559913</v>
      </c>
      <c r="E93" s="87">
        <v>0.62551120000000004</v>
      </c>
      <c r="F93" s="88">
        <v>1.5236061000000001</v>
      </c>
      <c r="G93" s="87">
        <v>0.7357321</v>
      </c>
      <c r="I93" s="86">
        <v>1.8597611999999999</v>
      </c>
      <c r="J93" s="94">
        <v>9.882630081793101</v>
      </c>
      <c r="K93" s="86">
        <v>1.4559913</v>
      </c>
      <c r="L93" s="94">
        <v>10.8362749569851</v>
      </c>
      <c r="M93" s="86">
        <v>1.5236061000000001</v>
      </c>
      <c r="N93" s="94">
        <v>9.5980001078629993</v>
      </c>
    </row>
    <row r="94" spans="2:14">
      <c r="B94" s="88">
        <v>1.873713</v>
      </c>
      <c r="C94" s="87">
        <v>0.64642555000000002</v>
      </c>
      <c r="D94" s="88">
        <v>1.4693209</v>
      </c>
      <c r="E94" s="87">
        <v>0.62916609999999995</v>
      </c>
      <c r="F94" s="88">
        <v>1.5389618</v>
      </c>
      <c r="G94" s="87">
        <v>0.73831992999999996</v>
      </c>
      <c r="I94" s="86">
        <v>1.873713</v>
      </c>
      <c r="J94" s="94">
        <v>9.7990364002511612</v>
      </c>
      <c r="K94" s="86">
        <v>1.4693209</v>
      </c>
      <c r="L94" s="94">
        <v>10.7566370864959</v>
      </c>
      <c r="M94" s="86">
        <v>1.5389618</v>
      </c>
      <c r="N94" s="94">
        <v>9.5425730931430017</v>
      </c>
    </row>
    <row r="95" spans="2:14">
      <c r="B95" s="88">
        <v>1.888128</v>
      </c>
      <c r="C95" s="87">
        <v>0.65022933000000005</v>
      </c>
      <c r="D95" s="88">
        <v>1.4830726000000001</v>
      </c>
      <c r="E95" s="87">
        <v>0.63282095999999999</v>
      </c>
      <c r="F95" s="88">
        <v>1.5548804000000001</v>
      </c>
      <c r="G95" s="87">
        <v>0.74090769999999995</v>
      </c>
      <c r="I95" s="86">
        <v>1.888128</v>
      </c>
      <c r="J95" s="94">
        <v>9.7154448187091997</v>
      </c>
      <c r="K95" s="86">
        <v>1.4830726000000001</v>
      </c>
      <c r="L95" s="94">
        <v>10.676999616006801</v>
      </c>
      <c r="M95" s="86">
        <v>1.5548804000000001</v>
      </c>
      <c r="N95" s="94">
        <v>9.4871464784240001</v>
      </c>
    </row>
    <row r="96" spans="2:14">
      <c r="B96" s="88">
        <v>1.9030378999999999</v>
      </c>
      <c r="C96" s="87">
        <v>0.65403306000000005</v>
      </c>
      <c r="D96" s="88">
        <v>1.4972742000000001</v>
      </c>
      <c r="E96" s="87">
        <v>0.63647586</v>
      </c>
      <c r="F96" s="88">
        <v>1.5714047</v>
      </c>
      <c r="G96" s="87">
        <v>0.74349560000000003</v>
      </c>
      <c r="I96" s="86">
        <v>1.9030378999999999</v>
      </c>
      <c r="J96" s="94">
        <v>9.6318513371672587</v>
      </c>
      <c r="K96" s="86">
        <v>1.4972742000000001</v>
      </c>
      <c r="L96" s="94">
        <v>10.597362745517701</v>
      </c>
      <c r="M96" s="86">
        <v>1.5714047</v>
      </c>
      <c r="N96" s="94">
        <v>9.4317193637039995</v>
      </c>
    </row>
    <row r="97" spans="2:14">
      <c r="B97" s="88">
        <v>1.9179691000000001</v>
      </c>
      <c r="C97" s="87">
        <v>0.65780883999999995</v>
      </c>
      <c r="D97" s="88">
        <v>1.5117974000000001</v>
      </c>
      <c r="E97" s="87">
        <v>0.64012119999999995</v>
      </c>
      <c r="F97" s="88">
        <v>1.5885828</v>
      </c>
      <c r="G97" s="87">
        <v>0.74608344000000004</v>
      </c>
      <c r="I97" s="86">
        <v>1.9179691000000001</v>
      </c>
      <c r="J97" s="94">
        <v>9.5489934568182999</v>
      </c>
      <c r="K97" s="86">
        <v>1.5117974000000001</v>
      </c>
      <c r="L97" s="94">
        <v>10.517970075713599</v>
      </c>
      <c r="M97" s="86">
        <v>1.5885828</v>
      </c>
      <c r="N97" s="94">
        <v>9.3762924489839996</v>
      </c>
    </row>
    <row r="98" spans="2:14">
      <c r="B98" s="88">
        <v>1.9287795999999999</v>
      </c>
      <c r="C98" s="87">
        <v>0.66133547000000004</v>
      </c>
      <c r="D98" s="88">
        <v>1.5219731000000001</v>
      </c>
      <c r="E98" s="87">
        <v>0.64348380000000005</v>
      </c>
      <c r="F98" s="88">
        <v>1.6064683</v>
      </c>
      <c r="G98" s="87">
        <v>0.74867123000000002</v>
      </c>
      <c r="I98" s="86">
        <v>1.9287795999999999</v>
      </c>
      <c r="J98" s="94">
        <v>9.4726654870571387</v>
      </c>
      <c r="K98" s="86">
        <v>1.5219731000000001</v>
      </c>
      <c r="L98" s="94">
        <v>10.445868426294799</v>
      </c>
      <c r="M98" s="86">
        <v>1.6064683</v>
      </c>
      <c r="N98" s="94">
        <v>9.3208655342645006</v>
      </c>
    </row>
    <row r="99" spans="2:14">
      <c r="B99" s="88">
        <v>1.9398662</v>
      </c>
      <c r="C99" s="87">
        <v>0.66486210000000001</v>
      </c>
      <c r="D99" s="88">
        <v>1.5323929999999999</v>
      </c>
      <c r="E99" s="87">
        <v>0.64684640000000004</v>
      </c>
      <c r="F99" s="88">
        <v>1.6220091999999999</v>
      </c>
      <c r="G99" s="87">
        <v>0.75112617000000004</v>
      </c>
      <c r="I99" s="86">
        <v>1.9398662</v>
      </c>
      <c r="J99" s="94">
        <v>9.3963384172959596</v>
      </c>
      <c r="K99" s="86">
        <v>1.5323929999999999</v>
      </c>
      <c r="L99" s="94">
        <v>10.373767676876</v>
      </c>
      <c r="M99" s="86">
        <v>1.6220091999999999</v>
      </c>
      <c r="N99" s="94">
        <v>9.2675458001750002</v>
      </c>
    </row>
    <row r="100" spans="2:14">
      <c r="B100" s="88">
        <v>1.9512432</v>
      </c>
      <c r="C100" s="87">
        <v>0.66838869999999995</v>
      </c>
      <c r="D100" s="88">
        <v>1.5430691000000001</v>
      </c>
      <c r="E100" s="87">
        <v>0.65020906999999994</v>
      </c>
      <c r="F100" s="88">
        <v>1.6359276</v>
      </c>
      <c r="G100" s="87">
        <v>0.75349010000000005</v>
      </c>
      <c r="I100" s="86">
        <v>1.9512432</v>
      </c>
      <c r="J100" s="94">
        <v>9.3200105475347996</v>
      </c>
      <c r="K100" s="86">
        <v>1.5430691000000001</v>
      </c>
      <c r="L100" s="94">
        <v>10.3016665274573</v>
      </c>
      <c r="M100" s="86">
        <v>1.6359276</v>
      </c>
      <c r="N100" s="94">
        <v>9.2156701213084986</v>
      </c>
    </row>
    <row r="101" spans="2:14">
      <c r="B101" s="88">
        <v>1.9629261</v>
      </c>
      <c r="C101" s="87">
        <v>0.67191535000000002</v>
      </c>
      <c r="D101" s="88">
        <v>1.5540141999999999</v>
      </c>
      <c r="E101" s="87">
        <v>0.65357167000000005</v>
      </c>
      <c r="F101" s="88">
        <v>1.6503068000000001</v>
      </c>
      <c r="G101" s="87">
        <v>0.75585400000000003</v>
      </c>
      <c r="I101" s="86">
        <v>1.9629261</v>
      </c>
      <c r="J101" s="94">
        <v>9.2436831777735495</v>
      </c>
      <c r="K101" s="86">
        <v>1.5540141999999999</v>
      </c>
      <c r="L101" s="94">
        <v>10.2295654780386</v>
      </c>
      <c r="M101" s="86">
        <v>1.6503068000000001</v>
      </c>
      <c r="N101" s="94">
        <v>9.1637935424409989</v>
      </c>
    </row>
    <row r="102" spans="2:14">
      <c r="B102" s="88">
        <v>1.9749322</v>
      </c>
      <c r="C102" s="87">
        <v>0.67544199999999999</v>
      </c>
      <c r="D102" s="88">
        <v>1.5652424</v>
      </c>
      <c r="E102" s="87">
        <v>0.65693425999999999</v>
      </c>
      <c r="F102" s="88">
        <v>1.6651784999999999</v>
      </c>
      <c r="G102" s="87">
        <v>0.75821793000000004</v>
      </c>
      <c r="I102" s="86">
        <v>1.9749322</v>
      </c>
      <c r="J102" s="94">
        <v>9.1673551080123996</v>
      </c>
      <c r="K102" s="86">
        <v>1.5652424</v>
      </c>
      <c r="L102" s="94">
        <v>10.1574641286199</v>
      </c>
      <c r="M102" s="86">
        <v>1.6651784999999999</v>
      </c>
      <c r="N102" s="94">
        <v>9.1119171635739988</v>
      </c>
    </row>
    <row r="103" spans="2:14">
      <c r="B103" s="88">
        <v>1.9872795000000001</v>
      </c>
      <c r="C103" s="87">
        <v>0.67896860000000003</v>
      </c>
      <c r="D103" s="88">
        <v>1.5767685</v>
      </c>
      <c r="E103" s="87">
        <v>0.66029689999999996</v>
      </c>
      <c r="F103" s="88">
        <v>1.6805775999999999</v>
      </c>
      <c r="G103" s="87">
        <v>0.76058185</v>
      </c>
      <c r="I103" s="86">
        <v>1.9872795000000001</v>
      </c>
      <c r="J103" s="94">
        <v>9.0910277382511993</v>
      </c>
      <c r="K103" s="86">
        <v>1.5767685</v>
      </c>
      <c r="L103" s="94">
        <v>10.085363579201099</v>
      </c>
      <c r="M103" s="86">
        <v>1.6805775999999999</v>
      </c>
      <c r="N103" s="94">
        <v>9.0600415847069993</v>
      </c>
    </row>
    <row r="104" spans="2:14">
      <c r="B104" s="88">
        <v>1.9999883000000001</v>
      </c>
      <c r="C104" s="87">
        <v>0.68249530000000003</v>
      </c>
      <c r="D104" s="88">
        <v>1.5886089000000001</v>
      </c>
      <c r="E104" s="87">
        <v>0.66365949999999996</v>
      </c>
      <c r="F104" s="88">
        <v>1.6951309999999999</v>
      </c>
      <c r="G104" s="87">
        <v>0.76288230000000001</v>
      </c>
      <c r="I104" s="86">
        <v>1.9999883000000001</v>
      </c>
      <c r="J104" s="94">
        <v>9.0146998684900002</v>
      </c>
      <c r="K104" s="86">
        <v>1.5886089000000001</v>
      </c>
      <c r="L104" s="94">
        <v>10.013262229782399</v>
      </c>
      <c r="M104" s="86">
        <v>1.6951309999999999</v>
      </c>
      <c r="N104" s="94">
        <v>9.0091295858050007</v>
      </c>
    </row>
    <row r="105" spans="2:14">
      <c r="B105" s="88">
        <v>2.0130800999999998</v>
      </c>
      <c r="C105" s="87">
        <v>0.68602189999999996</v>
      </c>
      <c r="D105" s="88">
        <v>1.6007811999999999</v>
      </c>
      <c r="E105" s="87">
        <v>0.66702209999999995</v>
      </c>
      <c r="F105" s="88">
        <v>1.7096441</v>
      </c>
      <c r="G105" s="87">
        <v>0.76515909999999998</v>
      </c>
      <c r="I105" s="86">
        <v>2.0130800999999998</v>
      </c>
      <c r="J105" s="94">
        <v>8.9383722987288401</v>
      </c>
      <c r="K105" s="86">
        <v>1.6007811999999999</v>
      </c>
      <c r="L105" s="94">
        <v>9.9411611803636006</v>
      </c>
      <c r="M105" s="86">
        <v>1.7096441</v>
      </c>
      <c r="N105" s="94">
        <v>8.958578816775999</v>
      </c>
    </row>
    <row r="106" spans="2:14">
      <c r="B106" s="88">
        <v>2.0265789999999999</v>
      </c>
      <c r="C106" s="87">
        <v>0.68954855000000004</v>
      </c>
      <c r="D106" s="88">
        <v>1.6133044999999999</v>
      </c>
      <c r="E106" s="87">
        <v>0.67038469999999994</v>
      </c>
      <c r="F106" s="88">
        <v>1.7246589999999999</v>
      </c>
      <c r="G106" s="87">
        <v>0.76743585000000003</v>
      </c>
      <c r="I106" s="86">
        <v>2.0265789999999999</v>
      </c>
      <c r="J106" s="94">
        <v>8.8620444289676712</v>
      </c>
      <c r="K106" s="86">
        <v>1.6133044999999999</v>
      </c>
      <c r="L106" s="94">
        <v>9.8690601309449004</v>
      </c>
      <c r="M106" s="86">
        <v>1.7246589999999999</v>
      </c>
      <c r="N106" s="94">
        <v>8.9080278477470003</v>
      </c>
    </row>
    <row r="107" spans="2:14">
      <c r="B107" s="88">
        <v>2.040511</v>
      </c>
      <c r="C107" s="87">
        <v>0.6930752</v>
      </c>
      <c r="D107" s="88">
        <v>1.6261996000000001</v>
      </c>
      <c r="E107" s="87">
        <v>0.67374736000000002</v>
      </c>
      <c r="F107" s="88">
        <v>1.7402116999999999</v>
      </c>
      <c r="G107" s="87">
        <v>0.76971257000000004</v>
      </c>
      <c r="I107" s="86">
        <v>2.040511</v>
      </c>
      <c r="J107" s="94">
        <v>8.7857169592063986</v>
      </c>
      <c r="K107" s="86">
        <v>1.6261996000000001</v>
      </c>
      <c r="L107" s="94">
        <v>9.7969590815261007</v>
      </c>
      <c r="M107" s="86">
        <v>1.7402116999999999</v>
      </c>
      <c r="N107" s="94">
        <v>8.857476378717001</v>
      </c>
    </row>
    <row r="108" spans="2:14">
      <c r="B108" s="88">
        <v>2.0549045000000001</v>
      </c>
      <c r="C108" s="87">
        <v>0.69660180000000005</v>
      </c>
      <c r="D108" s="88">
        <v>1.6394894</v>
      </c>
      <c r="E108" s="87">
        <v>0.67710996000000001</v>
      </c>
      <c r="F108" s="88">
        <v>1.7563420000000001</v>
      </c>
      <c r="G108" s="87">
        <v>0.77198935000000002</v>
      </c>
      <c r="I108" s="86">
        <v>2.0549045000000001</v>
      </c>
      <c r="J108" s="94">
        <v>8.7093889894453014</v>
      </c>
      <c r="K108" s="86">
        <v>1.6394894</v>
      </c>
      <c r="L108" s="94">
        <v>9.7248584321073004</v>
      </c>
      <c r="M108" s="86">
        <v>1.7563420000000001</v>
      </c>
      <c r="N108" s="94">
        <v>8.8069254096880005</v>
      </c>
    </row>
    <row r="109" spans="2:14">
      <c r="B109" s="88">
        <v>2.0697915999999998</v>
      </c>
      <c r="C109" s="87">
        <v>0.70012843999999996</v>
      </c>
      <c r="D109" s="88">
        <v>1.6531988</v>
      </c>
      <c r="E109" s="87">
        <v>0.68047254999999995</v>
      </c>
      <c r="F109" s="88">
        <v>1.7705301</v>
      </c>
      <c r="G109" s="87">
        <v>0.77415674999999995</v>
      </c>
      <c r="I109" s="86">
        <v>2.0697915999999998</v>
      </c>
      <c r="J109" s="94">
        <v>8.6330611196841005</v>
      </c>
      <c r="K109" s="86">
        <v>1.6531988</v>
      </c>
      <c r="L109" s="94">
        <v>9.6527571826886991</v>
      </c>
      <c r="M109" s="86">
        <v>1.7705301</v>
      </c>
      <c r="N109" s="94">
        <v>8.7580239127400006</v>
      </c>
    </row>
    <row r="110" spans="2:14">
      <c r="B110" s="88">
        <v>2.0852072000000001</v>
      </c>
      <c r="C110" s="87">
        <v>0.70365506</v>
      </c>
      <c r="D110" s="88">
        <v>1.6673551</v>
      </c>
      <c r="E110" s="87">
        <v>0.68383519999999998</v>
      </c>
      <c r="F110" s="88">
        <v>1.7847761</v>
      </c>
      <c r="G110" s="87">
        <v>0.77630675000000005</v>
      </c>
      <c r="I110" s="86">
        <v>2.0852072000000001</v>
      </c>
      <c r="J110" s="94">
        <v>8.5567337499229996</v>
      </c>
      <c r="K110" s="86">
        <v>1.6673551</v>
      </c>
      <c r="L110" s="94">
        <v>9.5806560332699</v>
      </c>
      <c r="M110" s="86">
        <v>1.7847761</v>
      </c>
      <c r="N110" s="94">
        <v>8.7093853432179991</v>
      </c>
    </row>
    <row r="111" spans="2:14">
      <c r="B111" s="88">
        <v>2.1011902999999998</v>
      </c>
      <c r="C111" s="87">
        <v>0.70718175000000005</v>
      </c>
      <c r="D111" s="88">
        <v>1.6819884000000001</v>
      </c>
      <c r="E111" s="87">
        <v>0.68719779999999997</v>
      </c>
      <c r="F111" s="88">
        <v>1.7995052</v>
      </c>
      <c r="G111" s="87">
        <v>0.77845675000000003</v>
      </c>
      <c r="I111" s="86">
        <v>2.1011902999999998</v>
      </c>
      <c r="J111" s="94">
        <v>8.4804056801617005</v>
      </c>
      <c r="K111" s="86">
        <v>1.6819884000000001</v>
      </c>
      <c r="L111" s="94">
        <v>9.5085550838511992</v>
      </c>
      <c r="M111" s="86">
        <v>1.7995052</v>
      </c>
      <c r="N111" s="94">
        <v>8.6607467736949992</v>
      </c>
    </row>
    <row r="112" spans="2:14">
      <c r="B112" s="88">
        <v>2.1145320000000001</v>
      </c>
      <c r="C112" s="87">
        <v>0.71054225999999998</v>
      </c>
      <c r="D112" s="88">
        <v>1.6971320000000001</v>
      </c>
      <c r="E112" s="87">
        <v>0.69056039999999996</v>
      </c>
      <c r="F112" s="88">
        <v>1.8147515000000001</v>
      </c>
      <c r="G112" s="87">
        <v>0.78060675000000002</v>
      </c>
      <c r="I112" s="86">
        <v>2.1145320000000001</v>
      </c>
      <c r="J112" s="94">
        <v>8.4077672205959999</v>
      </c>
      <c r="K112" s="86">
        <v>1.6971320000000001</v>
      </c>
      <c r="L112" s="94">
        <v>9.4364538344323989</v>
      </c>
      <c r="M112" s="86">
        <v>1.8147515000000001</v>
      </c>
      <c r="N112" s="94">
        <v>8.6121086041720005</v>
      </c>
    </row>
    <row r="113" spans="2:14">
      <c r="B113" s="88">
        <v>2.1269998999999999</v>
      </c>
      <c r="C113" s="87">
        <v>0.71383830000000004</v>
      </c>
      <c r="D113" s="88">
        <v>1.7112067</v>
      </c>
      <c r="E113" s="87">
        <v>0.69383379999999995</v>
      </c>
      <c r="F113" s="88">
        <v>1.8305525</v>
      </c>
      <c r="G113" s="87">
        <v>0.78275675</v>
      </c>
      <c r="I113" s="86">
        <v>2.1269998999999999</v>
      </c>
      <c r="J113" s="94">
        <v>8.3365606649902002</v>
      </c>
      <c r="K113" s="86">
        <v>1.7112067</v>
      </c>
      <c r="L113" s="94">
        <v>9.3662748943058993</v>
      </c>
      <c r="M113" s="86">
        <v>1.8305525</v>
      </c>
      <c r="N113" s="94">
        <v>8.5634701346490001</v>
      </c>
    </row>
    <row r="114" spans="2:14">
      <c r="B114" s="88">
        <v>2.1398359999999998</v>
      </c>
      <c r="C114" s="87">
        <v>0.7171343</v>
      </c>
      <c r="D114" s="88">
        <v>1.7229308999999999</v>
      </c>
      <c r="E114" s="87">
        <v>0.69695585999999998</v>
      </c>
      <c r="F114" s="88">
        <v>1.8469502</v>
      </c>
      <c r="G114" s="87">
        <v>0.78490674000000005</v>
      </c>
      <c r="I114" s="86">
        <v>2.1398359999999998</v>
      </c>
      <c r="J114" s="94">
        <v>8.2653548093841991</v>
      </c>
      <c r="K114" s="86">
        <v>1.7229308999999999</v>
      </c>
      <c r="L114" s="94">
        <v>9.299357969951199</v>
      </c>
      <c r="M114" s="86">
        <v>1.8469502</v>
      </c>
      <c r="N114" s="94">
        <v>8.5148318651260002</v>
      </c>
    </row>
    <row r="115" spans="2:14">
      <c r="B115" s="88">
        <v>2.1530635</v>
      </c>
      <c r="C115" s="87">
        <v>0.72043029999999997</v>
      </c>
      <c r="D115" s="88">
        <v>1.7349802999999999</v>
      </c>
      <c r="E115" s="87">
        <v>0.70007790000000003</v>
      </c>
      <c r="F115" s="88">
        <v>1.8639915</v>
      </c>
      <c r="G115" s="87">
        <v>0.78705674000000003</v>
      </c>
      <c r="I115" s="86">
        <v>2.1530635</v>
      </c>
      <c r="J115" s="94">
        <v>8.1941486537781998</v>
      </c>
      <c r="K115" s="86">
        <v>1.7349802999999999</v>
      </c>
      <c r="L115" s="94">
        <v>9.2324403455963999</v>
      </c>
      <c r="M115" s="86">
        <v>1.8639915</v>
      </c>
      <c r="N115" s="94">
        <v>8.4661929956030004</v>
      </c>
    </row>
    <row r="116" spans="2:14">
      <c r="B116" s="88">
        <v>2.1667063</v>
      </c>
      <c r="C116" s="87">
        <v>0.72372632999999997</v>
      </c>
      <c r="D116" s="88">
        <v>1.7473737</v>
      </c>
      <c r="E116" s="87">
        <v>0.70319986000000001</v>
      </c>
      <c r="F116" s="88">
        <v>1.8817288000000001</v>
      </c>
      <c r="G116" s="87">
        <v>0.78920674000000002</v>
      </c>
      <c r="I116" s="86">
        <v>2.1667063</v>
      </c>
      <c r="J116" s="94">
        <v>8.1229422981723012</v>
      </c>
      <c r="K116" s="86">
        <v>1.7473737</v>
      </c>
      <c r="L116" s="94">
        <v>9.1655231212416002</v>
      </c>
      <c r="M116" s="86">
        <v>1.8817288000000001</v>
      </c>
      <c r="N116" s="94">
        <v>8.4175547260800005</v>
      </c>
    </row>
    <row r="117" spans="2:14">
      <c r="B117" s="88">
        <v>2.1807919</v>
      </c>
      <c r="C117" s="87">
        <v>0.72702235000000004</v>
      </c>
      <c r="D117" s="88">
        <v>1.7601310999999999</v>
      </c>
      <c r="E117" s="87">
        <v>0.70632189999999995</v>
      </c>
      <c r="F117" s="88">
        <v>1.9002215</v>
      </c>
      <c r="G117" s="87">
        <v>0.79135674</v>
      </c>
      <c r="I117" s="86">
        <v>2.1807919</v>
      </c>
      <c r="J117" s="94">
        <v>8.0517364425663995</v>
      </c>
      <c r="K117" s="86">
        <v>1.7601310999999999</v>
      </c>
      <c r="L117" s="94">
        <v>9.0986063968869999</v>
      </c>
      <c r="M117" s="86">
        <v>1.9002215</v>
      </c>
      <c r="N117" s="94">
        <v>8.3689161565570007</v>
      </c>
    </row>
    <row r="118" spans="2:14">
      <c r="B118" s="88">
        <v>2.1953494999999998</v>
      </c>
      <c r="C118" s="87">
        <v>0.73031840000000003</v>
      </c>
      <c r="D118" s="88">
        <v>1.7732748</v>
      </c>
      <c r="E118" s="87">
        <v>0.70944390000000002</v>
      </c>
      <c r="F118" s="88">
        <v>1.9189434000000001</v>
      </c>
      <c r="G118" s="87">
        <v>0.79348563999999999</v>
      </c>
      <c r="I118" s="86">
        <v>2.1953494999999998</v>
      </c>
      <c r="J118" s="94">
        <v>7.9805301869604</v>
      </c>
      <c r="K118" s="86">
        <v>1.7732748</v>
      </c>
      <c r="L118" s="94">
        <v>9.0316890725320995</v>
      </c>
      <c r="M118" s="86">
        <v>1.9189434000000001</v>
      </c>
      <c r="N118" s="94">
        <v>8.3206009448490015</v>
      </c>
    </row>
    <row r="119" spans="2:14">
      <c r="B119" s="88">
        <v>2.2104119999999998</v>
      </c>
      <c r="C119" s="87">
        <v>0.73361443999999998</v>
      </c>
      <c r="D119" s="88">
        <v>1.7868284999999999</v>
      </c>
      <c r="E119" s="87">
        <v>0.71256589999999997</v>
      </c>
      <c r="F119" s="88">
        <v>1.9344342000000001</v>
      </c>
      <c r="G119" s="87">
        <v>0.79547553999999998</v>
      </c>
      <c r="I119" s="86">
        <v>2.2104119999999998</v>
      </c>
      <c r="J119" s="94">
        <v>7.9093238313545005</v>
      </c>
      <c r="K119" s="86">
        <v>1.7868284999999999</v>
      </c>
      <c r="L119" s="94">
        <v>8.9647720481774993</v>
      </c>
      <c r="M119" s="86">
        <v>1.9344342000000001</v>
      </c>
      <c r="N119" s="94">
        <v>8.2744191147630008</v>
      </c>
    </row>
    <row r="120" spans="2:14">
      <c r="B120" s="88">
        <v>2.2237558000000002</v>
      </c>
      <c r="C120" s="87">
        <v>0.73678964000000002</v>
      </c>
      <c r="D120" s="88">
        <v>1.8008188999999999</v>
      </c>
      <c r="E120" s="87">
        <v>0.71568792999999997</v>
      </c>
      <c r="F120" s="88">
        <v>1.9504980000000001</v>
      </c>
      <c r="G120" s="87">
        <v>0.79746543999999997</v>
      </c>
      <c r="I120" s="86">
        <v>2.2237558000000002</v>
      </c>
      <c r="J120" s="94">
        <v>7.8405142856814996</v>
      </c>
      <c r="K120" s="86">
        <v>1.8008188999999999</v>
      </c>
      <c r="L120" s="94">
        <v>8.8978548238226995</v>
      </c>
      <c r="M120" s="86">
        <v>1.9504980000000001</v>
      </c>
      <c r="N120" s="94">
        <v>8.2282370846750013</v>
      </c>
    </row>
    <row r="121" spans="2:14">
      <c r="B121" s="88">
        <v>2.2365694</v>
      </c>
      <c r="C121" s="87">
        <v>0.7399154</v>
      </c>
      <c r="D121" s="88">
        <v>1.8152752000000001</v>
      </c>
      <c r="E121" s="87">
        <v>0.71880995999999997</v>
      </c>
      <c r="F121" s="88">
        <v>1.9671787999999999</v>
      </c>
      <c r="G121" s="87">
        <v>0.79945533999999996</v>
      </c>
      <c r="I121" s="86">
        <v>2.2365694</v>
      </c>
      <c r="J121" s="94">
        <v>7.7726878440820002</v>
      </c>
      <c r="K121" s="86">
        <v>1.8152752000000001</v>
      </c>
      <c r="L121" s="94">
        <v>8.8309372994678998</v>
      </c>
      <c r="M121" s="86">
        <v>1.9671787999999999</v>
      </c>
      <c r="N121" s="94">
        <v>8.1820547545889983</v>
      </c>
    </row>
    <row r="122" spans="2:14">
      <c r="B122" s="88">
        <v>2.2497728000000001</v>
      </c>
      <c r="C122" s="87">
        <v>0.74304110000000001</v>
      </c>
      <c r="D122" s="88">
        <v>1.8276904</v>
      </c>
      <c r="E122" s="87">
        <v>0.72178880000000001</v>
      </c>
      <c r="F122" s="88">
        <v>1.984526</v>
      </c>
      <c r="G122" s="87">
        <v>0.80144525</v>
      </c>
      <c r="I122" s="86">
        <v>2.2497728000000001</v>
      </c>
      <c r="J122" s="94">
        <v>7.7048612024823999</v>
      </c>
      <c r="K122" s="86">
        <v>1.8276904</v>
      </c>
      <c r="L122" s="94">
        <v>8.7667604966721999</v>
      </c>
      <c r="M122" s="86">
        <v>1.984526</v>
      </c>
      <c r="N122" s="94">
        <v>8.135872524501</v>
      </c>
    </row>
    <row r="123" spans="2:14">
      <c r="B123" s="88">
        <v>2.2633899999999998</v>
      </c>
      <c r="C123" s="87">
        <v>0.74616676999999998</v>
      </c>
      <c r="D123" s="88">
        <v>1.8399041</v>
      </c>
      <c r="E123" s="87">
        <v>0.72473659999999995</v>
      </c>
      <c r="F123" s="88">
        <v>2.0025952</v>
      </c>
      <c r="G123" s="87">
        <v>0.80343509999999996</v>
      </c>
      <c r="I123" s="86">
        <v>2.2633899999999998</v>
      </c>
      <c r="J123" s="94">
        <v>7.6370347608828002</v>
      </c>
      <c r="K123" s="86">
        <v>1.8399041</v>
      </c>
      <c r="L123" s="94">
        <v>8.7031800985669996</v>
      </c>
      <c r="M123" s="86">
        <v>2.0025952</v>
      </c>
      <c r="N123" s="94">
        <v>8.0896901944150006</v>
      </c>
    </row>
    <row r="124" spans="2:14">
      <c r="B124" s="88">
        <v>2.2774483999999999</v>
      </c>
      <c r="C124" s="87">
        <v>0.74929250000000003</v>
      </c>
      <c r="D124" s="88">
        <v>1.8524712000000001</v>
      </c>
      <c r="E124" s="87">
        <v>0.72768429999999995</v>
      </c>
      <c r="F124" s="88">
        <v>2.0214489000000002</v>
      </c>
      <c r="G124" s="87">
        <v>0.80542499999999995</v>
      </c>
      <c r="I124" s="86">
        <v>2.2774483999999999</v>
      </c>
      <c r="J124" s="94">
        <v>7.5692081192831999</v>
      </c>
      <c r="K124" s="86">
        <v>1.8524712000000001</v>
      </c>
      <c r="L124" s="94">
        <v>8.6395994004615009</v>
      </c>
      <c r="M124" s="86">
        <v>2.0214489000000002</v>
      </c>
      <c r="N124" s="94">
        <v>8.0435082643270004</v>
      </c>
    </row>
    <row r="125" spans="2:14">
      <c r="B125" s="88">
        <v>2.2919770000000002</v>
      </c>
      <c r="C125" s="87">
        <v>0.75241820000000004</v>
      </c>
      <c r="D125" s="88">
        <v>1.865413</v>
      </c>
      <c r="E125" s="87">
        <v>0.73063206999999997</v>
      </c>
      <c r="F125" s="88">
        <v>2.0411581999999999</v>
      </c>
      <c r="G125" s="87">
        <v>0.80741490000000005</v>
      </c>
      <c r="I125" s="86">
        <v>2.2919770000000002</v>
      </c>
      <c r="J125" s="94">
        <v>7.5013810776836003</v>
      </c>
      <c r="K125" s="86">
        <v>1.865413</v>
      </c>
      <c r="L125" s="94">
        <v>8.5760184023563006</v>
      </c>
      <c r="M125" s="86">
        <v>2.0411581999999999</v>
      </c>
      <c r="N125" s="94">
        <v>7.9973258342400007</v>
      </c>
    </row>
    <row r="126" spans="2:14">
      <c r="B126" s="88">
        <v>2.3070083000000001</v>
      </c>
      <c r="C126" s="87">
        <v>0.75554390000000005</v>
      </c>
      <c r="D126" s="88">
        <v>1.8787522000000001</v>
      </c>
      <c r="E126" s="87">
        <v>0.7335798</v>
      </c>
      <c r="F126" s="88">
        <v>2.0618048</v>
      </c>
      <c r="G126" s="87">
        <v>0.80940480000000004</v>
      </c>
      <c r="I126" s="86">
        <v>2.3070083000000001</v>
      </c>
      <c r="J126" s="94">
        <v>7.4335548360840003</v>
      </c>
      <c r="K126" s="86">
        <v>1.8787522000000001</v>
      </c>
      <c r="L126" s="94">
        <v>8.5124377042510009</v>
      </c>
      <c r="M126" s="86">
        <v>2.0618048</v>
      </c>
      <c r="N126" s="94">
        <v>7.9511436041530006</v>
      </c>
    </row>
    <row r="127" spans="2:14">
      <c r="B127" s="88">
        <v>2.3225787000000002</v>
      </c>
      <c r="C127" s="87">
        <v>0.75866960000000006</v>
      </c>
      <c r="D127" s="88">
        <v>1.8925141999999999</v>
      </c>
      <c r="E127" s="87">
        <v>0.73652759999999995</v>
      </c>
      <c r="F127" s="88">
        <v>2.0834820000000001</v>
      </c>
      <c r="G127" s="87">
        <v>0.81139470000000002</v>
      </c>
      <c r="I127" s="86">
        <v>2.3225787000000002</v>
      </c>
      <c r="J127" s="94">
        <v>7.3657280944843997</v>
      </c>
      <c r="K127" s="86">
        <v>1.8925141999999999</v>
      </c>
      <c r="L127" s="94">
        <v>8.4488571061459012</v>
      </c>
      <c r="M127" s="86">
        <v>2.0834820000000001</v>
      </c>
      <c r="N127" s="94">
        <v>7.9049621740650009</v>
      </c>
    </row>
    <row r="128" spans="2:14">
      <c r="B128" s="88">
        <v>2.3354032</v>
      </c>
      <c r="C128" s="87">
        <v>0.76161444</v>
      </c>
      <c r="D128" s="88">
        <v>1.9067266</v>
      </c>
      <c r="E128" s="87">
        <v>0.73947536999999997</v>
      </c>
      <c r="F128" s="88">
        <v>2.1043023999999999</v>
      </c>
      <c r="G128" s="87">
        <v>0.81333160000000004</v>
      </c>
      <c r="I128" s="86">
        <v>2.3354032</v>
      </c>
      <c r="J128" s="94">
        <v>7.3011613748330992</v>
      </c>
      <c r="K128" s="86">
        <v>1.9067266</v>
      </c>
      <c r="L128" s="94">
        <v>8.3852767080404007</v>
      </c>
      <c r="M128" s="86">
        <v>2.1043023999999999</v>
      </c>
      <c r="N128" s="94">
        <v>7.8596481599360004</v>
      </c>
    </row>
    <row r="129" spans="2:14">
      <c r="B129" s="88">
        <v>2.3471440000000001</v>
      </c>
      <c r="C129" s="87">
        <v>0.76448099999999997</v>
      </c>
      <c r="D129" s="88">
        <v>1.9214199000000001</v>
      </c>
      <c r="E129" s="87">
        <v>0.7424231</v>
      </c>
      <c r="F129" s="88">
        <v>2.1230492999999999</v>
      </c>
      <c r="G129" s="87">
        <v>0.81518935999999997</v>
      </c>
      <c r="I129" s="86">
        <v>2.3471440000000001</v>
      </c>
      <c r="J129" s="94">
        <v>7.2380040646741994</v>
      </c>
      <c r="K129" s="86">
        <v>1.9214199000000001</v>
      </c>
      <c r="L129" s="94">
        <v>8.3216961099352016</v>
      </c>
      <c r="M129" s="86">
        <v>2.1230492999999999</v>
      </c>
      <c r="N129" s="94">
        <v>7.8156350185650005</v>
      </c>
    </row>
    <row r="130" spans="2:14">
      <c r="B130" s="88">
        <v>2.3592105000000001</v>
      </c>
      <c r="C130" s="87">
        <v>0.76734762999999995</v>
      </c>
      <c r="D130" s="88">
        <v>1.9354141</v>
      </c>
      <c r="E130" s="87">
        <v>0.74529946000000002</v>
      </c>
      <c r="F130" s="88">
        <v>2.1426419999999999</v>
      </c>
      <c r="G130" s="87">
        <v>0.81704706000000005</v>
      </c>
      <c r="I130" s="86">
        <v>2.3592105000000001</v>
      </c>
      <c r="J130" s="94">
        <v>7.1748471545151995</v>
      </c>
      <c r="K130" s="86">
        <v>1.9354141</v>
      </c>
      <c r="L130" s="94">
        <v>8.2593576280888001</v>
      </c>
      <c r="M130" s="86">
        <v>2.1426419999999999</v>
      </c>
      <c r="N130" s="94">
        <v>7.77162177719</v>
      </c>
    </row>
    <row r="131" spans="2:14">
      <c r="B131" s="88">
        <v>2.3716219999999999</v>
      </c>
      <c r="C131" s="87">
        <v>0.77021426000000004</v>
      </c>
      <c r="D131" s="88">
        <v>1.9465319999999999</v>
      </c>
      <c r="E131" s="87">
        <v>0.74798476999999997</v>
      </c>
      <c r="F131" s="88">
        <v>2.1631605999999999</v>
      </c>
      <c r="G131" s="87">
        <v>0.81890479999999999</v>
      </c>
      <c r="I131" s="86">
        <v>2.3716219999999999</v>
      </c>
      <c r="J131" s="94">
        <v>7.1116900443561999</v>
      </c>
      <c r="K131" s="86">
        <v>1.9465319999999999</v>
      </c>
      <c r="L131" s="94">
        <v>8.2003481897842008</v>
      </c>
      <c r="M131" s="86">
        <v>2.1631605999999999</v>
      </c>
      <c r="N131" s="94">
        <v>7.7276081358200006</v>
      </c>
    </row>
    <row r="132" spans="2:14">
      <c r="B132" s="88">
        <v>2.3843990000000002</v>
      </c>
      <c r="C132" s="87">
        <v>0.77308080000000001</v>
      </c>
      <c r="D132" s="88">
        <v>1.9579419</v>
      </c>
      <c r="E132" s="87">
        <v>0.75066999999999995</v>
      </c>
      <c r="F132" s="88">
        <v>2.1846966999999999</v>
      </c>
      <c r="G132" s="87">
        <v>0.82076249999999995</v>
      </c>
      <c r="I132" s="86">
        <v>2.3843990000000002</v>
      </c>
      <c r="J132" s="94">
        <v>7.0485330341971997</v>
      </c>
      <c r="K132" s="86">
        <v>1.9579419</v>
      </c>
      <c r="L132" s="94">
        <v>8.1413385514796985</v>
      </c>
      <c r="M132" s="86">
        <v>2.1846966999999999</v>
      </c>
      <c r="N132" s="94">
        <v>7.6835947944500003</v>
      </c>
    </row>
    <row r="133" spans="2:14">
      <c r="B133" s="88">
        <v>2.3975632</v>
      </c>
      <c r="C133" s="87">
        <v>0.77594744999999998</v>
      </c>
      <c r="D133" s="88">
        <v>1.9696598000000001</v>
      </c>
      <c r="E133" s="87">
        <v>0.75335529999999995</v>
      </c>
      <c r="F133" s="88">
        <v>2.207357</v>
      </c>
      <c r="G133" s="87">
        <v>0.82262029999999997</v>
      </c>
      <c r="I133" s="86">
        <v>2.3975632</v>
      </c>
      <c r="J133" s="94">
        <v>6.9853759240384994</v>
      </c>
      <c r="K133" s="86">
        <v>1.9696598000000001</v>
      </c>
      <c r="L133" s="94">
        <v>8.0823289131750009</v>
      </c>
      <c r="M133" s="86">
        <v>2.207357</v>
      </c>
      <c r="N133" s="94">
        <v>7.6395815530800002</v>
      </c>
    </row>
    <row r="134" spans="2:14">
      <c r="B134" s="88">
        <v>2.4111387999999998</v>
      </c>
      <c r="C134" s="87">
        <v>0.77881400000000001</v>
      </c>
      <c r="D134" s="88">
        <v>1.9817026</v>
      </c>
      <c r="E134" s="87">
        <v>0.75604059999999995</v>
      </c>
      <c r="F134" s="88">
        <v>2.2312647999999999</v>
      </c>
      <c r="G134" s="87">
        <v>0.82447802999999997</v>
      </c>
      <c r="I134" s="86">
        <v>2.4111387999999998</v>
      </c>
      <c r="J134" s="94">
        <v>6.9222192138795</v>
      </c>
      <c r="K134" s="86">
        <v>1.9817026</v>
      </c>
      <c r="L134" s="94">
        <v>8.0233187748704999</v>
      </c>
      <c r="M134" s="86">
        <v>2.2312647999999999</v>
      </c>
      <c r="N134" s="94">
        <v>7.5955676117060005</v>
      </c>
    </row>
    <row r="135" spans="2:14">
      <c r="B135" s="88">
        <v>2.4251524999999998</v>
      </c>
      <c r="C135" s="87">
        <v>0.78168064000000004</v>
      </c>
      <c r="D135" s="88">
        <v>1.9940888999999999</v>
      </c>
      <c r="E135" s="87">
        <v>0.75872580000000001</v>
      </c>
      <c r="F135" s="88">
        <v>2.2565659999999998</v>
      </c>
      <c r="G135" s="87">
        <v>0.82633570000000001</v>
      </c>
      <c r="I135" s="86">
        <v>2.4251524999999998</v>
      </c>
      <c r="J135" s="94">
        <v>6.8590618037205004</v>
      </c>
      <c r="K135" s="86">
        <v>1.9940888999999999</v>
      </c>
      <c r="L135" s="94">
        <v>7.9643091365660004</v>
      </c>
      <c r="M135" s="86">
        <v>2.2565659999999998</v>
      </c>
      <c r="N135" s="94">
        <v>7.5515540703359996</v>
      </c>
    </row>
    <row r="136" spans="2:14">
      <c r="B136" s="88">
        <v>2.4396336000000001</v>
      </c>
      <c r="C136" s="87">
        <v>0.7845472</v>
      </c>
      <c r="D136" s="88">
        <v>2.0068388000000001</v>
      </c>
      <c r="E136" s="87">
        <v>0.76141113000000005</v>
      </c>
      <c r="F136" s="88">
        <v>2.2806422999999998</v>
      </c>
      <c r="G136" s="87">
        <v>0.82813685999999997</v>
      </c>
      <c r="I136" s="86">
        <v>2.4396336000000001</v>
      </c>
      <c r="J136" s="94">
        <v>6.7959050935616006</v>
      </c>
      <c r="K136" s="86">
        <v>2.0068388000000001</v>
      </c>
      <c r="L136" s="94">
        <v>7.9052993982619997</v>
      </c>
      <c r="M136" s="86">
        <v>2.2806422999999998</v>
      </c>
      <c r="N136" s="94">
        <v>7.5086179622099998</v>
      </c>
    </row>
    <row r="137" spans="2:14">
      <c r="B137" s="88">
        <v>2.4546142</v>
      </c>
      <c r="C137" s="87">
        <v>0.78741384000000003</v>
      </c>
      <c r="D137" s="88">
        <v>2.0199745</v>
      </c>
      <c r="E137" s="87">
        <v>0.76409640000000001</v>
      </c>
      <c r="F137" s="88">
        <v>2.3037271000000001</v>
      </c>
      <c r="G137" s="87">
        <v>0.82989173999999999</v>
      </c>
      <c r="I137" s="86">
        <v>2.4546142</v>
      </c>
      <c r="J137" s="94">
        <v>6.7327481834025997</v>
      </c>
      <c r="K137" s="86">
        <v>2.0199745</v>
      </c>
      <c r="L137" s="94">
        <v>7.8462898599572002</v>
      </c>
      <c r="M137" s="86">
        <v>2.3037271000000001</v>
      </c>
      <c r="N137" s="94">
        <v>7.4665637170419998</v>
      </c>
    </row>
    <row r="138" spans="2:14">
      <c r="B138" s="88">
        <v>2.4701301999999998</v>
      </c>
      <c r="C138" s="87">
        <v>0.79028045999999996</v>
      </c>
      <c r="D138" s="88">
        <v>2.0335196999999998</v>
      </c>
      <c r="E138" s="87">
        <v>0.76678159999999995</v>
      </c>
      <c r="F138" s="88">
        <v>2.3281082999999998</v>
      </c>
      <c r="G138" s="87">
        <v>0.83164656000000003</v>
      </c>
      <c r="I138" s="86">
        <v>2.4701301999999998</v>
      </c>
      <c r="J138" s="94">
        <v>6.6695909732436007</v>
      </c>
      <c r="K138" s="86">
        <v>2.0335196999999998</v>
      </c>
      <c r="L138" s="94">
        <v>7.7872803216526991</v>
      </c>
      <c r="M138" s="86">
        <v>2.3281082999999998</v>
      </c>
      <c r="N138" s="94">
        <v>7.4245088718760002</v>
      </c>
    </row>
    <row r="139" spans="2:14">
      <c r="B139" s="88">
        <v>2.4862207999999999</v>
      </c>
      <c r="C139" s="87">
        <v>0.79314700000000005</v>
      </c>
      <c r="D139" s="88">
        <v>2.0475013</v>
      </c>
      <c r="E139" s="87">
        <v>0.76946694000000004</v>
      </c>
      <c r="F139" s="88">
        <v>2.3539400000000001</v>
      </c>
      <c r="G139" s="87">
        <v>0.83340144000000005</v>
      </c>
      <c r="I139" s="86">
        <v>2.4862207999999999</v>
      </c>
      <c r="J139" s="94">
        <v>6.6064339630845996</v>
      </c>
      <c r="K139" s="86">
        <v>2.0475013</v>
      </c>
      <c r="L139" s="94">
        <v>7.7282702833479995</v>
      </c>
      <c r="M139" s="86">
        <v>2.3539400000000001</v>
      </c>
      <c r="N139" s="94">
        <v>7.3824539267060008</v>
      </c>
    </row>
    <row r="140" spans="2:14">
      <c r="B140" s="88">
        <v>2.5029309</v>
      </c>
      <c r="C140" s="87">
        <v>0.79601365000000002</v>
      </c>
      <c r="D140" s="88">
        <v>2.0619478</v>
      </c>
      <c r="E140" s="87">
        <v>0.77215219999999996</v>
      </c>
      <c r="F140" s="88">
        <v>2.3814060000000001</v>
      </c>
      <c r="G140" s="87">
        <v>0.83515629999999996</v>
      </c>
      <c r="I140" s="86">
        <v>2.5029309</v>
      </c>
      <c r="J140" s="94">
        <v>6.5432767529256006</v>
      </c>
      <c r="K140" s="86">
        <v>2.0619478</v>
      </c>
      <c r="L140" s="94">
        <v>7.6692605450435005</v>
      </c>
      <c r="M140" s="86">
        <v>2.3814060000000001</v>
      </c>
      <c r="N140" s="94">
        <v>7.3403991815399996</v>
      </c>
    </row>
    <row r="141" spans="2:14">
      <c r="B141" s="88">
        <v>2.5203096999999999</v>
      </c>
      <c r="C141" s="87">
        <v>0.79888020000000004</v>
      </c>
      <c r="D141" s="88">
        <v>2.0768917</v>
      </c>
      <c r="E141" s="87">
        <v>0.77483749999999996</v>
      </c>
      <c r="F141" s="88">
        <v>2.4107270000000001</v>
      </c>
      <c r="G141" s="87">
        <v>0.83691119999999997</v>
      </c>
      <c r="I141" s="86">
        <v>2.5203096999999999</v>
      </c>
      <c r="J141" s="94">
        <v>6.4801198427667002</v>
      </c>
      <c r="K141" s="86">
        <v>2.0768917</v>
      </c>
      <c r="L141" s="94">
        <v>7.6102509067390001</v>
      </c>
      <c r="M141" s="86">
        <v>2.4107270000000001</v>
      </c>
      <c r="N141" s="94">
        <v>7.2983440363699996</v>
      </c>
    </row>
    <row r="142" spans="2:14">
      <c r="B142" s="88">
        <v>2.5384129999999998</v>
      </c>
      <c r="C142" s="87">
        <v>0.80174685000000001</v>
      </c>
      <c r="D142" s="88">
        <v>2.092368</v>
      </c>
      <c r="E142" s="87">
        <v>0.77752273999999999</v>
      </c>
      <c r="F142" s="88">
        <v>2.4421718000000001</v>
      </c>
      <c r="G142" s="87">
        <v>0.83866600000000002</v>
      </c>
      <c r="I142" s="86">
        <v>2.5384129999999998</v>
      </c>
      <c r="J142" s="94">
        <v>6.4169626326076994</v>
      </c>
      <c r="K142" s="86">
        <v>2.092368</v>
      </c>
      <c r="L142" s="94">
        <v>7.5512411684343999</v>
      </c>
      <c r="M142" s="86">
        <v>2.4421718000000001</v>
      </c>
      <c r="N142" s="94">
        <v>7.2562893912100002</v>
      </c>
    </row>
    <row r="143" spans="2:14">
      <c r="B143" s="88">
        <v>2.5573039999999998</v>
      </c>
      <c r="C143" s="87">
        <v>0.80461340000000003</v>
      </c>
      <c r="D143" s="88">
        <v>2.1084160000000001</v>
      </c>
      <c r="E143" s="87">
        <v>0.78020800000000001</v>
      </c>
      <c r="F143" s="88">
        <v>2.4760722999999998</v>
      </c>
      <c r="G143" s="87">
        <v>0.84042090000000003</v>
      </c>
      <c r="I143" s="86">
        <v>2.5573039999999998</v>
      </c>
      <c r="J143" s="94">
        <v>6.3538056224487001</v>
      </c>
      <c r="K143" s="86">
        <v>2.1084160000000001</v>
      </c>
      <c r="L143" s="94">
        <v>7.4922311301299995</v>
      </c>
      <c r="M143" s="86">
        <v>2.4760722999999998</v>
      </c>
      <c r="N143" s="94">
        <v>7.2142345460400001</v>
      </c>
    </row>
    <row r="144" spans="2:14">
      <c r="B144" s="88">
        <v>2.5719069999999999</v>
      </c>
      <c r="C144" s="87">
        <v>0.80724686000000001</v>
      </c>
      <c r="D144" s="88">
        <v>2.1250800000000001</v>
      </c>
      <c r="E144" s="87">
        <v>0.78289330000000001</v>
      </c>
      <c r="F144" s="88">
        <v>2.5090906999999998</v>
      </c>
      <c r="G144" s="87">
        <v>0.84213066000000003</v>
      </c>
      <c r="I144" s="86">
        <v>2.5719069999999999</v>
      </c>
      <c r="J144" s="94">
        <v>6.2944696492927994</v>
      </c>
      <c r="K144" s="86">
        <v>2.1250800000000001</v>
      </c>
      <c r="L144" s="94">
        <v>7.4332214918249999</v>
      </c>
      <c r="M144" s="86">
        <v>2.5090906999999998</v>
      </c>
      <c r="N144" s="94">
        <v>7.1732546645599999</v>
      </c>
    </row>
    <row r="145" spans="2:14">
      <c r="B145" s="88">
        <v>2.5844855</v>
      </c>
      <c r="C145" s="87">
        <v>0.8097685</v>
      </c>
      <c r="D145" s="88">
        <v>2.1424093000000002</v>
      </c>
      <c r="E145" s="87">
        <v>0.78557854999999999</v>
      </c>
      <c r="F145" s="88">
        <v>2.5430899999999999</v>
      </c>
      <c r="G145" s="87">
        <v>0.84382109999999999</v>
      </c>
      <c r="I145" s="86">
        <v>2.5844855</v>
      </c>
      <c r="J145" s="94">
        <v>6.2369662938789991</v>
      </c>
      <c r="K145" s="86">
        <v>2.1424093000000002</v>
      </c>
      <c r="L145" s="94">
        <v>7.3742118535205998</v>
      </c>
      <c r="M145" s="86">
        <v>2.5430899999999999</v>
      </c>
      <c r="N145" s="94">
        <v>7.1327356141599996</v>
      </c>
    </row>
    <row r="146" spans="2:14">
      <c r="B146" s="88">
        <v>2.5974390000000001</v>
      </c>
      <c r="C146" s="87">
        <v>0.81229013000000005</v>
      </c>
      <c r="D146" s="88">
        <v>2.1604587999999998</v>
      </c>
      <c r="E146" s="87">
        <v>0.78826386000000004</v>
      </c>
      <c r="F146" s="88">
        <v>2.5799786999999998</v>
      </c>
      <c r="G146" s="87">
        <v>0.84551160000000003</v>
      </c>
      <c r="I146" s="86">
        <v>2.5974390000000001</v>
      </c>
      <c r="J146" s="94">
        <v>6.1794621384649995</v>
      </c>
      <c r="K146" s="86">
        <v>2.1604587999999998</v>
      </c>
      <c r="L146" s="94">
        <v>7.3152018152164997</v>
      </c>
      <c r="M146" s="86">
        <v>2.5799786999999998</v>
      </c>
      <c r="N146" s="94">
        <v>7.0922165837740003</v>
      </c>
    </row>
    <row r="147" spans="2:14">
      <c r="B147" s="88">
        <v>2.6107912</v>
      </c>
      <c r="C147" s="87">
        <v>0.81481170000000003</v>
      </c>
      <c r="D147" s="88">
        <v>2.1780225999999998</v>
      </c>
      <c r="E147" s="87">
        <v>0.79088974000000001</v>
      </c>
      <c r="F147" s="88">
        <v>2.6202939999999999</v>
      </c>
      <c r="G147" s="87">
        <v>0.84720205999999998</v>
      </c>
      <c r="I147" s="86">
        <v>2.6107912</v>
      </c>
      <c r="J147" s="94">
        <v>6.1219584830512002</v>
      </c>
      <c r="K147" s="86">
        <v>2.1780225999999998</v>
      </c>
      <c r="L147" s="94">
        <v>7.2571442870487006</v>
      </c>
      <c r="M147" s="86">
        <v>2.6202939999999999</v>
      </c>
      <c r="N147" s="94">
        <v>7.0516980333800001</v>
      </c>
    </row>
    <row r="148" spans="2:14">
      <c r="B148" s="88">
        <v>2.6245666000000001</v>
      </c>
      <c r="C148" s="87">
        <v>0.81733334000000002</v>
      </c>
      <c r="D148" s="88">
        <v>2.1900594</v>
      </c>
      <c r="E148" s="87">
        <v>0.79323200000000005</v>
      </c>
      <c r="F148" s="88">
        <v>2.6616843000000001</v>
      </c>
      <c r="G148" s="87">
        <v>0.84886680000000003</v>
      </c>
      <c r="I148" s="86">
        <v>2.6245666000000001</v>
      </c>
      <c r="J148" s="94">
        <v>6.0644545276372996</v>
      </c>
      <c r="K148" s="86">
        <v>2.1900594</v>
      </c>
      <c r="L148" s="94">
        <v>7.2036366073291989</v>
      </c>
      <c r="M148" s="86">
        <v>2.6616843000000001</v>
      </c>
      <c r="N148" s="94">
        <v>7.0120355813140005</v>
      </c>
    </row>
    <row r="149" spans="2:14">
      <c r="B149" s="88">
        <v>2.6387934999999998</v>
      </c>
      <c r="C149" s="87">
        <v>0.819855</v>
      </c>
      <c r="D149" s="88">
        <v>2.2024395000000001</v>
      </c>
      <c r="E149" s="87">
        <v>0.79557425000000004</v>
      </c>
      <c r="F149" s="88">
        <v>2.7064555000000001</v>
      </c>
      <c r="G149" s="87">
        <v>0.85052419999999995</v>
      </c>
      <c r="I149" s="86">
        <v>2.6387934999999998</v>
      </c>
      <c r="J149" s="94">
        <v>6.0069510722236998</v>
      </c>
      <c r="K149" s="86">
        <v>2.2024395000000001</v>
      </c>
      <c r="L149" s="94">
        <v>7.1501288276100006</v>
      </c>
      <c r="M149" s="86">
        <v>2.7064555000000001</v>
      </c>
      <c r="N149" s="94">
        <v>6.9726229429900002</v>
      </c>
    </row>
    <row r="150" spans="2:14">
      <c r="B150" s="88">
        <v>2.6535022000000001</v>
      </c>
      <c r="C150" s="87">
        <v>0.82237660000000001</v>
      </c>
      <c r="D150" s="88">
        <v>2.2151828</v>
      </c>
      <c r="E150" s="87">
        <v>0.79791650000000003</v>
      </c>
      <c r="F150" s="88">
        <v>2.7563784</v>
      </c>
      <c r="G150" s="87">
        <v>0.85218154999999995</v>
      </c>
      <c r="I150" s="86">
        <v>2.6535022000000001</v>
      </c>
      <c r="J150" s="94">
        <v>5.9494469168096993</v>
      </c>
      <c r="K150" s="86">
        <v>2.2151828</v>
      </c>
      <c r="L150" s="94">
        <v>7.0966211478907004</v>
      </c>
      <c r="M150" s="86">
        <v>2.7563784</v>
      </c>
      <c r="N150" s="94">
        <v>6.93320960467</v>
      </c>
    </row>
    <row r="151" spans="2:14">
      <c r="B151" s="88">
        <v>2.6687264000000002</v>
      </c>
      <c r="C151" s="87">
        <v>0.82489824</v>
      </c>
      <c r="D151" s="88">
        <v>2.2283110000000002</v>
      </c>
      <c r="E151" s="87">
        <v>0.80025875999999996</v>
      </c>
      <c r="F151" s="88">
        <v>2.8127944</v>
      </c>
      <c r="G151" s="87">
        <v>0.85383885999999998</v>
      </c>
      <c r="I151" s="86">
        <v>2.6687264000000002</v>
      </c>
      <c r="J151" s="94">
        <v>5.8919433613956995</v>
      </c>
      <c r="K151" s="86">
        <v>2.2283110000000002</v>
      </c>
      <c r="L151" s="94">
        <v>7.0431132681713002</v>
      </c>
      <c r="M151" s="86">
        <v>2.8127944</v>
      </c>
      <c r="N151" s="94">
        <v>6.8937970663400003</v>
      </c>
    </row>
    <row r="152" spans="2:14">
      <c r="B152" s="88">
        <v>2.684504</v>
      </c>
      <c r="C152" s="87">
        <v>0.82741989999999999</v>
      </c>
      <c r="D152" s="88">
        <v>2.2418490000000002</v>
      </c>
      <c r="E152" s="87">
        <v>0.80260100000000001</v>
      </c>
      <c r="F152" s="88">
        <v>2.874234</v>
      </c>
      <c r="G152" s="87">
        <v>0.85548042999999996</v>
      </c>
      <c r="I152" s="86">
        <v>2.684504</v>
      </c>
      <c r="J152" s="94">
        <v>5.8344393059818005</v>
      </c>
      <c r="K152" s="86">
        <v>2.2418490000000002</v>
      </c>
      <c r="L152" s="94">
        <v>6.9896057884523</v>
      </c>
      <c r="M152" s="86">
        <v>2.874234</v>
      </c>
      <c r="N152" s="94">
        <v>6.8551517191000011</v>
      </c>
    </row>
    <row r="153" spans="2:14">
      <c r="B153" s="88">
        <v>2.7008765000000001</v>
      </c>
      <c r="C153" s="87">
        <v>0.8299415</v>
      </c>
      <c r="D153" s="88">
        <v>2.2558221999999999</v>
      </c>
      <c r="E153" s="87">
        <v>0.80494319999999997</v>
      </c>
      <c r="F153" s="88">
        <v>2.9451100000000001</v>
      </c>
      <c r="G153" s="87">
        <v>0.85711926000000005</v>
      </c>
      <c r="I153" s="86">
        <v>2.7008765000000001</v>
      </c>
      <c r="J153" s="94">
        <v>5.7769358505680009</v>
      </c>
      <c r="K153" s="86">
        <v>2.2558221999999999</v>
      </c>
      <c r="L153" s="94">
        <v>6.9360979087329993</v>
      </c>
      <c r="M153" s="86">
        <v>2.9451100000000001</v>
      </c>
      <c r="N153" s="94">
        <v>6.8166428673200006</v>
      </c>
    </row>
    <row r="154" spans="2:14">
      <c r="B154" s="88">
        <v>2.7178903000000001</v>
      </c>
      <c r="C154" s="87">
        <v>0.83246310000000001</v>
      </c>
      <c r="D154" s="88">
        <v>2.2702599999999999</v>
      </c>
      <c r="E154" s="87">
        <v>0.80728549999999999</v>
      </c>
      <c r="F154" s="88">
        <v>3.0268438</v>
      </c>
      <c r="G154" s="87">
        <v>0.85875080000000004</v>
      </c>
      <c r="I154" s="86">
        <v>2.7178903000000001</v>
      </c>
      <c r="J154" s="94">
        <v>5.7194316951542001</v>
      </c>
      <c r="K154" s="86">
        <v>2.2702599999999999</v>
      </c>
      <c r="L154" s="94">
        <v>6.8825904290130007</v>
      </c>
      <c r="M154" s="86">
        <v>3.0268438</v>
      </c>
      <c r="N154" s="94">
        <v>6.7787350367799997</v>
      </c>
    </row>
    <row r="155" spans="2:14">
      <c r="B155" s="88">
        <v>2.7355977999999999</v>
      </c>
      <c r="C155" s="87">
        <v>0.83498470000000002</v>
      </c>
      <c r="D155" s="88">
        <v>2.2851946000000001</v>
      </c>
      <c r="E155" s="87">
        <v>0.80962769999999995</v>
      </c>
      <c r="F155" s="88">
        <v>3.1271284000000001</v>
      </c>
      <c r="G155" s="87">
        <v>0.86038154</v>
      </c>
      <c r="I155" s="86">
        <v>2.7355977999999999</v>
      </c>
      <c r="J155" s="94">
        <v>5.6619279397402007</v>
      </c>
      <c r="K155" s="86">
        <v>2.2851946000000001</v>
      </c>
      <c r="L155" s="94">
        <v>6.8290826492939996</v>
      </c>
      <c r="M155" s="86">
        <v>3.1271284000000001</v>
      </c>
      <c r="N155" s="94">
        <v>6.7409037579399991</v>
      </c>
    </row>
    <row r="156" spans="2:14">
      <c r="B156" s="88">
        <v>2.7540583999999999</v>
      </c>
      <c r="C156" s="87">
        <v>0.83750634999999996</v>
      </c>
      <c r="D156" s="88">
        <v>2.3006609999999998</v>
      </c>
      <c r="E156" s="87">
        <v>0.81196999999999997</v>
      </c>
      <c r="F156" s="88">
        <v>3.2545101999999999</v>
      </c>
      <c r="G156" s="87">
        <v>0.86200829999999995</v>
      </c>
      <c r="I156" s="86">
        <v>2.7540583999999999</v>
      </c>
      <c r="J156" s="94">
        <v>5.6044241843267004</v>
      </c>
      <c r="K156" s="86">
        <v>2.3006609999999998</v>
      </c>
      <c r="L156" s="94">
        <v>6.775574769574999</v>
      </c>
      <c r="M156" s="86">
        <v>3.2545101999999999</v>
      </c>
      <c r="N156" s="94">
        <v>6.7036210566600003</v>
      </c>
    </row>
    <row r="157" spans="2:14">
      <c r="B157" s="88">
        <v>2.7733386000000002</v>
      </c>
      <c r="C157" s="87">
        <v>0.840028</v>
      </c>
      <c r="D157" s="88">
        <v>2.3166986000000001</v>
      </c>
      <c r="E157" s="87">
        <v>0.81431220000000004</v>
      </c>
      <c r="F157" s="88">
        <v>3.4319033999999999</v>
      </c>
      <c r="G157" s="87">
        <v>0.86363219999999996</v>
      </c>
      <c r="I157" s="86">
        <v>2.7733386000000002</v>
      </c>
      <c r="J157" s="94">
        <v>5.5469203289127007</v>
      </c>
      <c r="K157" s="86">
        <v>2.3166986000000001</v>
      </c>
      <c r="L157" s="94">
        <v>6.722067089856</v>
      </c>
      <c r="M157" s="86">
        <v>3.4319033999999999</v>
      </c>
      <c r="N157" s="94">
        <v>6.6668815751699997</v>
      </c>
    </row>
    <row r="158" spans="2:14">
      <c r="B158" s="88">
        <v>2.7935145000000001</v>
      </c>
      <c r="C158" s="87">
        <v>0.84254960000000001</v>
      </c>
      <c r="D158" s="88">
        <v>2.3333510999999998</v>
      </c>
      <c r="E158" s="87">
        <v>0.81665443999999998</v>
      </c>
      <c r="F158" s="88">
        <v>3.7285593000000001</v>
      </c>
      <c r="G158" s="87">
        <v>0.86524670000000004</v>
      </c>
      <c r="I158" s="86">
        <v>2.7935145000000001</v>
      </c>
      <c r="J158" s="94">
        <v>5.4894165734986995</v>
      </c>
      <c r="K158" s="86">
        <v>2.3333510999999998</v>
      </c>
      <c r="L158" s="94">
        <v>6.6685593101359997</v>
      </c>
      <c r="M158" s="86">
        <v>3.7285593000000001</v>
      </c>
      <c r="N158" s="94">
        <v>6.6313073559999998</v>
      </c>
    </row>
    <row r="159" spans="2:14">
      <c r="B159" s="88">
        <v>2.8146737000000002</v>
      </c>
      <c r="C159" s="87">
        <v>0.84507125999999999</v>
      </c>
      <c r="D159" s="88">
        <v>2.3506680000000002</v>
      </c>
      <c r="E159" s="87">
        <v>0.81899670000000002</v>
      </c>
      <c r="F159" s="88">
        <v>4.6062006999999996</v>
      </c>
      <c r="G159" s="87">
        <v>0.86669879999999999</v>
      </c>
      <c r="I159" s="86">
        <v>2.8146737000000002</v>
      </c>
      <c r="J159" s="94">
        <v>5.4319129180850005</v>
      </c>
      <c r="K159" s="86">
        <v>2.3506680000000002</v>
      </c>
      <c r="L159" s="94">
        <v>6.6150515304170003</v>
      </c>
      <c r="M159" s="86">
        <v>4.6062006999999996</v>
      </c>
      <c r="N159" s="94">
        <v>6.6078194080000001</v>
      </c>
    </row>
    <row r="160" spans="2:14">
      <c r="B160" s="88">
        <v>2.832087</v>
      </c>
      <c r="C160" s="87">
        <v>0.84741860000000002</v>
      </c>
      <c r="D160" s="88">
        <v>2.3687038</v>
      </c>
      <c r="E160" s="87">
        <v>0.82133895000000001</v>
      </c>
      <c r="F160" s="88">
        <v>4.6094160000000004</v>
      </c>
      <c r="G160" s="87">
        <v>0.86669859999999999</v>
      </c>
      <c r="I160" s="86">
        <v>2.832087</v>
      </c>
      <c r="J160" s="94">
        <v>5.3770758639124994</v>
      </c>
      <c r="K160" s="86">
        <v>2.3687038</v>
      </c>
      <c r="L160" s="94">
        <v>6.561543750697</v>
      </c>
      <c r="M160" s="86">
        <v>4.6094160000000004</v>
      </c>
      <c r="N160" s="94">
        <v>6.607780517000001</v>
      </c>
    </row>
    <row r="161" spans="2:14">
      <c r="B161" s="88">
        <v>2.8475838000000002</v>
      </c>
      <c r="C161" s="87">
        <v>0.84967375000000001</v>
      </c>
      <c r="D161" s="88">
        <v>2.3875213</v>
      </c>
      <c r="E161" s="87">
        <v>0.8236812</v>
      </c>
      <c r="F161" s="88">
        <v>5.4924134999999996</v>
      </c>
      <c r="G161" s="87">
        <v>0.86496954999999998</v>
      </c>
      <c r="I161" s="86">
        <v>2.8475838000000002</v>
      </c>
      <c r="J161" s="94">
        <v>5.3236512633637005</v>
      </c>
      <c r="K161" s="86">
        <v>2.3875213</v>
      </c>
      <c r="L161" s="94">
        <v>6.5080358709789996</v>
      </c>
      <c r="M161" s="86">
        <v>5.4924134999999996</v>
      </c>
      <c r="N161" s="94">
        <v>6.5925568349999999</v>
      </c>
    </row>
    <row r="162" spans="2:14">
      <c r="B162" s="88">
        <v>2.8636537</v>
      </c>
      <c r="C162" s="87">
        <v>0.85192882999999997</v>
      </c>
      <c r="D162" s="88">
        <v>2.4071913</v>
      </c>
      <c r="E162" s="87">
        <v>0.82602346000000004</v>
      </c>
      <c r="F162" s="88">
        <v>5.7969679999999997</v>
      </c>
      <c r="G162" s="87">
        <v>0.86305516999999998</v>
      </c>
      <c r="I162" s="86">
        <v>2.8636537</v>
      </c>
      <c r="J162" s="94">
        <v>5.2702267628149997</v>
      </c>
      <c r="K162" s="86">
        <v>2.4071913</v>
      </c>
      <c r="L162" s="94">
        <v>6.4545281912589996</v>
      </c>
      <c r="M162" s="86">
        <v>5.7969679999999997</v>
      </c>
      <c r="N162" s="94">
        <v>6.5898062328999991</v>
      </c>
    </row>
    <row r="163" spans="2:14">
      <c r="B163" s="88">
        <v>2.8803413</v>
      </c>
      <c r="C163" s="87">
        <v>0.85418400000000005</v>
      </c>
      <c r="D163" s="88">
        <v>2.4277945000000001</v>
      </c>
      <c r="E163" s="87">
        <v>0.82836569999999998</v>
      </c>
      <c r="F163" s="88">
        <v>5.9798169999999997</v>
      </c>
      <c r="G163" s="87">
        <v>0.86111336999999999</v>
      </c>
      <c r="I163" s="86">
        <v>2.8803413</v>
      </c>
      <c r="J163" s="94">
        <v>5.2168024622655</v>
      </c>
      <c r="K163" s="86">
        <v>2.4277945000000001</v>
      </c>
      <c r="L163" s="94">
        <v>6.4010204115400002</v>
      </c>
      <c r="M163" s="86">
        <v>5.9798169999999997</v>
      </c>
      <c r="N163" s="94">
        <v>6.5881954231000002</v>
      </c>
    </row>
    <row r="164" spans="2:14">
      <c r="B164" s="88">
        <v>2.8976958000000002</v>
      </c>
      <c r="C164" s="87">
        <v>0.85643904999999998</v>
      </c>
      <c r="D164" s="88">
        <v>2.4488818999999999</v>
      </c>
      <c r="E164" s="87">
        <v>0.8306886</v>
      </c>
      <c r="F164" s="88">
        <v>6.1155486000000003</v>
      </c>
      <c r="G164" s="87">
        <v>0.85915149999999996</v>
      </c>
      <c r="I164" s="86">
        <v>2.8976958000000002</v>
      </c>
      <c r="J164" s="94">
        <v>5.1633778617165991</v>
      </c>
      <c r="K164" s="86">
        <v>2.4488818999999999</v>
      </c>
      <c r="L164" s="94">
        <v>6.3478126668449999</v>
      </c>
      <c r="M164" s="86">
        <v>6.1155486000000003</v>
      </c>
      <c r="N164" s="94">
        <v>6.58721719446</v>
      </c>
    </row>
    <row r="165" spans="2:14">
      <c r="B165" s="88">
        <v>2.9157730000000002</v>
      </c>
      <c r="C165" s="87">
        <v>0.85869413999999999</v>
      </c>
      <c r="D165" s="88">
        <v>2.4639861999999999</v>
      </c>
      <c r="E165" s="87">
        <v>0.8327698</v>
      </c>
      <c r="F165" s="88">
        <v>6.2183109999999999</v>
      </c>
      <c r="G165" s="87">
        <v>0.85716826000000002</v>
      </c>
      <c r="I165" s="86">
        <v>2.9157730000000002</v>
      </c>
      <c r="J165" s="94">
        <v>5.1099533611677002</v>
      </c>
      <c r="K165" s="86">
        <v>2.4639861999999999</v>
      </c>
      <c r="L165" s="94">
        <v>6.2983438593340004</v>
      </c>
      <c r="M165" s="86">
        <v>6.2183109999999999</v>
      </c>
      <c r="N165" s="94">
        <v>6.5868473241500007</v>
      </c>
    </row>
    <row r="166" spans="2:14">
      <c r="B166" s="88">
        <v>2.9346352000000002</v>
      </c>
      <c r="C166" s="87">
        <v>0.86094930000000003</v>
      </c>
      <c r="D166" s="88">
        <v>2.4796345</v>
      </c>
      <c r="E166" s="87">
        <v>0.83485109999999996</v>
      </c>
      <c r="F166" s="88">
        <v>6.3084707</v>
      </c>
      <c r="G166" s="87">
        <v>0.85516760000000003</v>
      </c>
      <c r="I166" s="86">
        <v>2.9346352000000002</v>
      </c>
      <c r="J166" s="94">
        <v>5.056529160618001</v>
      </c>
      <c r="K166" s="86">
        <v>2.4796345</v>
      </c>
      <c r="L166" s="94">
        <v>6.2488746518239999</v>
      </c>
      <c r="M166" s="86">
        <v>6.3084707</v>
      </c>
      <c r="N166" s="94">
        <v>6.5869521499200001</v>
      </c>
    </row>
    <row r="167" spans="2:14">
      <c r="B167" s="88">
        <v>2.9543539999999999</v>
      </c>
      <c r="C167" s="87">
        <v>0.86320436</v>
      </c>
      <c r="D167" s="88">
        <v>2.4958680000000002</v>
      </c>
      <c r="E167" s="87">
        <v>0.83693236000000004</v>
      </c>
      <c r="F167" s="88">
        <v>6.385993</v>
      </c>
      <c r="G167" s="87">
        <v>0.85314809999999996</v>
      </c>
      <c r="I167" s="86">
        <v>2.9543539999999999</v>
      </c>
      <c r="J167" s="94">
        <v>5.0031044600695003</v>
      </c>
      <c r="K167" s="86">
        <v>2.4958680000000002</v>
      </c>
      <c r="L167" s="94">
        <v>6.1994060443130001</v>
      </c>
      <c r="M167" s="86">
        <v>6.385993</v>
      </c>
      <c r="N167" s="94">
        <v>6.5875663861099989</v>
      </c>
    </row>
    <row r="168" spans="2:14">
      <c r="B168" s="88">
        <v>2.9750109</v>
      </c>
      <c r="C168" s="87">
        <v>0.86545950000000005</v>
      </c>
      <c r="D168" s="88">
        <v>2.5127320000000002</v>
      </c>
      <c r="E168" s="87">
        <v>0.83901360000000003</v>
      </c>
      <c r="F168" s="88">
        <v>6.4542865999999997</v>
      </c>
      <c r="G168" s="87">
        <v>0.85110956000000004</v>
      </c>
      <c r="I168" s="86">
        <v>2.9750109</v>
      </c>
      <c r="J168" s="94">
        <v>4.9496799595209993</v>
      </c>
      <c r="K168" s="86">
        <v>2.5127320000000002</v>
      </c>
      <c r="L168" s="94">
        <v>6.1499372368019998</v>
      </c>
      <c r="M168" s="86">
        <v>6.4542865999999997</v>
      </c>
      <c r="N168" s="94">
        <v>6.5886862641500006</v>
      </c>
    </row>
    <row r="169" spans="2:14">
      <c r="B169" s="88">
        <v>2.9943252</v>
      </c>
      <c r="C169" s="87">
        <v>0.86763555000000003</v>
      </c>
      <c r="D169" s="88">
        <v>2.5302772999999998</v>
      </c>
      <c r="E169" s="87">
        <v>0.84109484999999995</v>
      </c>
      <c r="F169" s="88">
        <v>6.5135699999999996</v>
      </c>
      <c r="G169" s="87">
        <v>0.84904813999999995</v>
      </c>
      <c r="I169" s="86">
        <v>2.9943252</v>
      </c>
      <c r="J169" s="94">
        <v>4.8974431057370005</v>
      </c>
      <c r="K169" s="86">
        <v>2.5302772999999998</v>
      </c>
      <c r="L169" s="94">
        <v>6.1004688292899996</v>
      </c>
      <c r="M169" s="86">
        <v>6.5135699999999996</v>
      </c>
      <c r="N169" s="94">
        <v>6.5904078483399999</v>
      </c>
    </row>
    <row r="170" spans="2:14">
      <c r="B170" s="88">
        <v>3.0111309999999998</v>
      </c>
      <c r="C170" s="87">
        <v>0.86970259999999999</v>
      </c>
      <c r="D170" s="88">
        <v>2.5485612999999998</v>
      </c>
      <c r="E170" s="87">
        <v>0.84317609999999998</v>
      </c>
      <c r="F170" s="88">
        <v>6.5661936000000001</v>
      </c>
      <c r="G170" s="87">
        <v>0.84696614999999997</v>
      </c>
      <c r="I170" s="86">
        <v>3.0111309999999998</v>
      </c>
      <c r="J170" s="94">
        <v>4.8468436164469999</v>
      </c>
      <c r="K170" s="86">
        <v>2.5485612999999998</v>
      </c>
      <c r="L170" s="94">
        <v>6.050999921779999</v>
      </c>
      <c r="M170" s="86">
        <v>6.5661936000000001</v>
      </c>
      <c r="N170" s="94">
        <v>6.5926679749799995</v>
      </c>
    </row>
    <row r="171" spans="2:14">
      <c r="B171" s="88">
        <v>3.0286133</v>
      </c>
      <c r="C171" s="87">
        <v>0.87176960000000003</v>
      </c>
      <c r="D171" s="88">
        <v>2.5676489999999998</v>
      </c>
      <c r="E171" s="87">
        <v>0.84525733999999997</v>
      </c>
      <c r="F171" s="88">
        <v>6.6221743000000002</v>
      </c>
      <c r="G171" s="87">
        <v>0.84487646999999999</v>
      </c>
      <c r="I171" s="86">
        <v>3.0286133</v>
      </c>
      <c r="J171" s="94">
        <v>4.7962443271569999</v>
      </c>
      <c r="K171" s="86">
        <v>2.5676489999999998</v>
      </c>
      <c r="L171" s="94">
        <v>6.0015311142689995</v>
      </c>
      <c r="M171" s="86">
        <v>6.6221743000000002</v>
      </c>
      <c r="N171" s="94">
        <v>6.59512878493</v>
      </c>
    </row>
    <row r="172" spans="2:14">
      <c r="B172" s="88">
        <v>3.0468289999999998</v>
      </c>
      <c r="C172" s="87">
        <v>0.87383664000000005</v>
      </c>
      <c r="D172" s="88">
        <v>2.5876142999999998</v>
      </c>
      <c r="E172" s="87">
        <v>0.84733860000000005</v>
      </c>
      <c r="F172" s="88">
        <v>6.6664070000000004</v>
      </c>
      <c r="G172" s="87">
        <v>0.84275169999999999</v>
      </c>
      <c r="I172" s="86">
        <v>3.0468289999999998</v>
      </c>
      <c r="J172" s="94">
        <v>4.7456449378679997</v>
      </c>
      <c r="K172" s="86">
        <v>2.5876142999999998</v>
      </c>
      <c r="L172" s="94">
        <v>5.9520624067570003</v>
      </c>
      <c r="M172" s="86">
        <v>6.6664070000000004</v>
      </c>
      <c r="N172" s="94">
        <v>6.5985035695549996</v>
      </c>
    </row>
    <row r="173" spans="2:14">
      <c r="B173" s="88">
        <v>3.0658422000000001</v>
      </c>
      <c r="C173" s="87">
        <v>0.87590367000000002</v>
      </c>
      <c r="D173" s="88">
        <v>2.6085422</v>
      </c>
      <c r="E173" s="87">
        <v>0.84941990000000001</v>
      </c>
      <c r="F173" s="88">
        <v>6.7155060000000004</v>
      </c>
      <c r="G173" s="87">
        <v>0.84062650000000005</v>
      </c>
      <c r="I173" s="86">
        <v>3.0658422000000001</v>
      </c>
      <c r="J173" s="94">
        <v>4.6950455485770002</v>
      </c>
      <c r="K173" s="86">
        <v>2.6085422</v>
      </c>
      <c r="L173" s="94">
        <v>5.902593599247</v>
      </c>
      <c r="M173" s="86">
        <v>6.7155060000000004</v>
      </c>
      <c r="N173" s="94">
        <v>6.6018890773100001</v>
      </c>
    </row>
    <row r="174" spans="2:14">
      <c r="B174" s="88">
        <v>3.0857263000000001</v>
      </c>
      <c r="C174" s="87">
        <v>0.87797069999999999</v>
      </c>
      <c r="D174" s="88">
        <v>2.6305293999999999</v>
      </c>
      <c r="E174" s="87">
        <v>0.85150110000000001</v>
      </c>
      <c r="F174" s="88">
        <v>6.7537374000000003</v>
      </c>
      <c r="G174" s="87">
        <v>0.83845809999999998</v>
      </c>
      <c r="I174" s="86">
        <v>3.0857263000000001</v>
      </c>
      <c r="J174" s="94">
        <v>4.6444460592879997</v>
      </c>
      <c r="K174" s="86">
        <v>2.6305293999999999</v>
      </c>
      <c r="L174" s="94">
        <v>5.8531250917359996</v>
      </c>
      <c r="M174" s="86">
        <v>6.7537374000000003</v>
      </c>
      <c r="N174" s="94">
        <v>6.6063904788199999</v>
      </c>
    </row>
    <row r="175" spans="2:14">
      <c r="B175" s="88">
        <v>3.1065643000000001</v>
      </c>
      <c r="C175" s="87">
        <v>0.88003770000000003</v>
      </c>
      <c r="D175" s="88">
        <v>2.6487916</v>
      </c>
      <c r="E175" s="87">
        <v>0.85343899999999995</v>
      </c>
      <c r="F175" s="88">
        <v>6.7956624000000003</v>
      </c>
      <c r="G175" s="87">
        <v>0.83628975999999999</v>
      </c>
      <c r="I175" s="86">
        <v>3.1065643000000001</v>
      </c>
      <c r="J175" s="94">
        <v>4.5938470699979996</v>
      </c>
      <c r="K175" s="86">
        <v>2.6487916</v>
      </c>
      <c r="L175" s="94">
        <v>5.8059751087700002</v>
      </c>
      <c r="M175" s="86">
        <v>6.7956624000000003</v>
      </c>
      <c r="N175" s="94">
        <v>6.6108924803229989</v>
      </c>
    </row>
    <row r="176" spans="2:14">
      <c r="B176" s="88">
        <v>3.1284529999999999</v>
      </c>
      <c r="C176" s="87">
        <v>0.88210474999999999</v>
      </c>
      <c r="D176" s="88">
        <v>2.6665523000000002</v>
      </c>
      <c r="E176" s="87">
        <v>0.85534005999999996</v>
      </c>
      <c r="F176" s="88">
        <v>6.8316635999999997</v>
      </c>
      <c r="G176" s="87">
        <v>0.8340843</v>
      </c>
      <c r="I176" s="86">
        <v>3.1284529999999999</v>
      </c>
      <c r="J176" s="94">
        <v>4.5432473807090004</v>
      </c>
      <c r="K176" s="86">
        <v>2.6665523000000002</v>
      </c>
      <c r="L176" s="94">
        <v>5.7594204833779994</v>
      </c>
      <c r="M176" s="86">
        <v>6.8316635999999997</v>
      </c>
      <c r="N176" s="94">
        <v>6.616353515386999</v>
      </c>
    </row>
    <row r="177" spans="2:14">
      <c r="B177" s="88">
        <v>3.1515038</v>
      </c>
      <c r="C177" s="87">
        <v>0.88417179999999995</v>
      </c>
      <c r="D177" s="88">
        <v>2.6850705000000001</v>
      </c>
      <c r="E177" s="87">
        <v>0.85724115000000001</v>
      </c>
      <c r="F177" s="88">
        <v>6.8687763000000004</v>
      </c>
      <c r="G177" s="87">
        <v>0.83187169999999999</v>
      </c>
      <c r="I177" s="86">
        <v>3.1515038</v>
      </c>
      <c r="J177" s="94">
        <v>4.4926478914189998</v>
      </c>
      <c r="K177" s="86">
        <v>2.6850705000000001</v>
      </c>
      <c r="L177" s="94">
        <v>5.7128652579850003</v>
      </c>
      <c r="M177" s="86">
        <v>6.8687763000000004</v>
      </c>
      <c r="N177" s="94">
        <v>6.6219976860029997</v>
      </c>
    </row>
    <row r="178" spans="2:14">
      <c r="B178" s="88">
        <v>3.1749094000000002</v>
      </c>
      <c r="C178" s="87">
        <v>0.88621353999999997</v>
      </c>
      <c r="D178" s="88">
        <v>2.7044139999999999</v>
      </c>
      <c r="E178" s="87">
        <v>0.85914223999999995</v>
      </c>
      <c r="F178" s="88">
        <v>6.9040793999999996</v>
      </c>
      <c r="G178" s="87">
        <v>0.82963659999999995</v>
      </c>
      <c r="I178" s="86">
        <v>3.1749094000000002</v>
      </c>
      <c r="J178" s="94">
        <v>4.4424378347390006</v>
      </c>
      <c r="K178" s="86">
        <v>2.7044139999999999</v>
      </c>
      <c r="L178" s="94">
        <v>5.6663103325919995</v>
      </c>
      <c r="M178" s="86">
        <v>6.9040793999999996</v>
      </c>
      <c r="N178" s="94">
        <v>6.6282223846399999</v>
      </c>
    </row>
    <row r="179" spans="2:14">
      <c r="B179" s="88">
        <v>3.1953583000000001</v>
      </c>
      <c r="C179" s="87">
        <v>0.88814499999999996</v>
      </c>
      <c r="D179" s="88">
        <v>2.7246589999999999</v>
      </c>
      <c r="E179" s="87">
        <v>0.86104333</v>
      </c>
      <c r="F179" s="88">
        <v>6.9371767000000002</v>
      </c>
      <c r="G179" s="87">
        <v>0.82737700000000003</v>
      </c>
      <c r="I179" s="86">
        <v>3.1953583000000001</v>
      </c>
      <c r="J179" s="94">
        <v>4.3939209199159999</v>
      </c>
      <c r="K179" s="86">
        <v>2.7246589999999999</v>
      </c>
      <c r="L179" s="94">
        <v>5.6197554072000004</v>
      </c>
      <c r="M179" s="86">
        <v>6.9371767000000002</v>
      </c>
      <c r="N179" s="94">
        <v>6.6350746804369996</v>
      </c>
    </row>
    <row r="180" spans="2:14">
      <c r="B180" s="88">
        <v>3.2168179000000001</v>
      </c>
      <c r="C180" s="87">
        <v>0.8900766</v>
      </c>
      <c r="D180" s="88">
        <v>2.7458939999999998</v>
      </c>
      <c r="E180" s="87">
        <v>0.86294439999999994</v>
      </c>
      <c r="F180" s="88">
        <v>6.9682836999999997</v>
      </c>
      <c r="G180" s="87">
        <v>0.82509089999999996</v>
      </c>
      <c r="I180" s="86">
        <v>3.2168179000000001</v>
      </c>
      <c r="J180" s="94">
        <v>4.3454038050930004</v>
      </c>
      <c r="K180" s="86">
        <v>2.7458939999999998</v>
      </c>
      <c r="L180" s="94">
        <v>5.5732003818070002</v>
      </c>
      <c r="M180" s="86">
        <v>6.9682836999999997</v>
      </c>
      <c r="N180" s="94">
        <v>6.642610289936</v>
      </c>
    </row>
    <row r="181" spans="2:14">
      <c r="B181" s="88">
        <v>3.2393930000000002</v>
      </c>
      <c r="C181" s="87">
        <v>0.89200809999999997</v>
      </c>
      <c r="D181" s="88">
        <v>2.7682210999999999</v>
      </c>
      <c r="E181" s="87">
        <v>0.86484550000000004</v>
      </c>
      <c r="F181" s="88">
        <v>6.9987830000000004</v>
      </c>
      <c r="G181" s="87">
        <v>0.82278764000000004</v>
      </c>
      <c r="I181" s="86">
        <v>3.2393930000000002</v>
      </c>
      <c r="J181" s="94">
        <v>4.2968868902699997</v>
      </c>
      <c r="K181" s="86">
        <v>2.7682210999999999</v>
      </c>
      <c r="L181" s="94">
        <v>5.5266454564140002</v>
      </c>
      <c r="M181" s="86">
        <v>6.9987830000000004</v>
      </c>
      <c r="N181" s="94">
        <v>6.6505881458800005</v>
      </c>
    </row>
    <row r="182" spans="2:14">
      <c r="B182" s="88">
        <v>3.2632061999999999</v>
      </c>
      <c r="C182" s="87">
        <v>0.8939397</v>
      </c>
      <c r="D182" s="88">
        <v>2.7917584999999998</v>
      </c>
      <c r="E182" s="87">
        <v>0.86674660000000003</v>
      </c>
      <c r="F182" s="88">
        <v>7.0294129999999999</v>
      </c>
      <c r="G182" s="87">
        <v>0.82046920000000001</v>
      </c>
      <c r="I182" s="86">
        <v>3.2632061999999999</v>
      </c>
      <c r="J182" s="94">
        <v>4.2483700754470002</v>
      </c>
      <c r="K182" s="86">
        <v>2.7917584999999998</v>
      </c>
      <c r="L182" s="94">
        <v>5.4800903310209996</v>
      </c>
      <c r="M182" s="86">
        <v>7.0294129999999999</v>
      </c>
      <c r="N182" s="94">
        <v>6.6589575693600001</v>
      </c>
    </row>
    <row r="183" spans="2:14">
      <c r="B183" s="88">
        <v>3.2863853000000001</v>
      </c>
      <c r="C183" s="87">
        <v>0.89582220000000001</v>
      </c>
      <c r="D183" s="88">
        <v>2.8166449999999998</v>
      </c>
      <c r="E183" s="87">
        <v>0.86864770000000002</v>
      </c>
      <c r="F183" s="88">
        <v>7.0576160000000003</v>
      </c>
      <c r="G183" s="87">
        <v>0.81811975999999997</v>
      </c>
      <c r="I183" s="86">
        <v>3.2863853000000001</v>
      </c>
      <c r="J183" s="94">
        <v>4.2006489726899998</v>
      </c>
      <c r="K183" s="86">
        <v>2.8166449999999998</v>
      </c>
      <c r="L183" s="94">
        <v>5.4335353056280002</v>
      </c>
      <c r="M183" s="86">
        <v>7.0576160000000003</v>
      </c>
      <c r="N183" s="94">
        <v>6.6681269349999992</v>
      </c>
    </row>
    <row r="184" spans="2:14">
      <c r="B184" s="88">
        <v>3.3092703999999999</v>
      </c>
      <c r="C184" s="87">
        <v>0.89766794000000005</v>
      </c>
      <c r="D184" s="88">
        <v>2.8430447999999999</v>
      </c>
      <c r="E184" s="87">
        <v>0.87054880000000001</v>
      </c>
      <c r="F184" s="88">
        <v>7.0868869999999999</v>
      </c>
      <c r="G184" s="87">
        <v>0.81576289999999996</v>
      </c>
      <c r="I184" s="86">
        <v>3.3092703999999999</v>
      </c>
      <c r="J184" s="94">
        <v>4.1535276544030006</v>
      </c>
      <c r="K184" s="86">
        <v>2.8430447999999999</v>
      </c>
      <c r="L184" s="94">
        <v>5.386980280235</v>
      </c>
      <c r="M184" s="86">
        <v>7.0868869999999999</v>
      </c>
      <c r="N184" s="94">
        <v>6.6774880612319993</v>
      </c>
    </row>
    <row r="185" spans="2:14">
      <c r="B185" s="88">
        <v>3.3334286</v>
      </c>
      <c r="C185" s="87">
        <v>0.89951365999999999</v>
      </c>
      <c r="D185" s="88">
        <v>2.8681326</v>
      </c>
      <c r="E185" s="87">
        <v>0.87238689999999997</v>
      </c>
      <c r="F185" s="88">
        <v>7.1132150000000003</v>
      </c>
      <c r="G185" s="87">
        <v>0.81336660000000005</v>
      </c>
      <c r="I185" s="86">
        <v>3.3334286</v>
      </c>
      <c r="J185" s="94">
        <v>4.1064066361170006</v>
      </c>
      <c r="K185" s="86">
        <v>2.8681326</v>
      </c>
      <c r="L185" s="94">
        <v>5.3415668709090003</v>
      </c>
      <c r="M185" s="86">
        <v>7.1132150000000003</v>
      </c>
      <c r="N185" s="94">
        <v>6.6878659094510002</v>
      </c>
    </row>
    <row r="186" spans="2:14">
      <c r="B186" s="88">
        <v>3.3590105000000001</v>
      </c>
      <c r="C186" s="87">
        <v>0.90135940000000003</v>
      </c>
      <c r="D186" s="88">
        <v>2.8917869999999999</v>
      </c>
      <c r="E186" s="87">
        <v>0.87416629999999995</v>
      </c>
      <c r="F186" s="88">
        <v>7.1412424999999997</v>
      </c>
      <c r="G186" s="87">
        <v>0.81097030000000003</v>
      </c>
      <c r="I186" s="86">
        <v>3.3590105000000001</v>
      </c>
      <c r="J186" s="94">
        <v>4.0592854178320001</v>
      </c>
      <c r="K186" s="86">
        <v>2.8917869999999999</v>
      </c>
      <c r="L186" s="94">
        <v>5.29721735606</v>
      </c>
      <c r="M186" s="86">
        <v>7.1412424999999997</v>
      </c>
      <c r="N186" s="94">
        <v>6.6982437576709994</v>
      </c>
    </row>
    <row r="187" spans="2:14">
      <c r="B187" s="88">
        <v>3.3861940000000001</v>
      </c>
      <c r="C187" s="87">
        <v>0.90320515999999995</v>
      </c>
      <c r="D187" s="88">
        <v>2.9168042999999999</v>
      </c>
      <c r="E187" s="87">
        <v>0.87594574999999997</v>
      </c>
      <c r="F187" s="88">
        <v>7.1660656999999999</v>
      </c>
      <c r="G187" s="87">
        <v>0.8085272</v>
      </c>
      <c r="I187" s="86">
        <v>3.3861940000000001</v>
      </c>
      <c r="J187" s="94">
        <v>4.0121642995439997</v>
      </c>
      <c r="K187" s="86">
        <v>2.9168042999999999</v>
      </c>
      <c r="L187" s="94">
        <v>5.2528676412099999</v>
      </c>
      <c r="M187" s="86">
        <v>7.1660656999999999</v>
      </c>
      <c r="N187" s="94">
        <v>6.7098323986440001</v>
      </c>
    </row>
    <row r="188" spans="2:14">
      <c r="B188" s="88">
        <v>3.4099917</v>
      </c>
      <c r="C188" s="87">
        <v>0.90493964999999998</v>
      </c>
      <c r="D188" s="88">
        <v>2.9433512999999998</v>
      </c>
      <c r="E188" s="87">
        <v>0.87772519999999998</v>
      </c>
      <c r="F188" s="88">
        <v>7.1923294000000002</v>
      </c>
      <c r="G188" s="87">
        <v>0.80608356000000003</v>
      </c>
      <c r="I188" s="86">
        <v>3.4099917</v>
      </c>
      <c r="J188" s="94">
        <v>3.9671293988780003</v>
      </c>
      <c r="K188" s="86">
        <v>2.9433512999999998</v>
      </c>
      <c r="L188" s="94">
        <v>5.2085180263600002</v>
      </c>
      <c r="M188" s="86">
        <v>7.1923294000000002</v>
      </c>
      <c r="N188" s="94">
        <v>6.7214356431540008</v>
      </c>
    </row>
    <row r="189" spans="2:14">
      <c r="B189" s="88">
        <v>3.4349021999999998</v>
      </c>
      <c r="C189" s="87">
        <v>0.90666869999999999</v>
      </c>
      <c r="D189" s="88">
        <v>2.9716271999999999</v>
      </c>
      <c r="E189" s="87">
        <v>0.87950459999999997</v>
      </c>
      <c r="F189" s="88">
        <v>7.215077</v>
      </c>
      <c r="G189" s="87">
        <v>0.8035812</v>
      </c>
      <c r="I189" s="86">
        <v>3.4349021999999998</v>
      </c>
      <c r="J189" s="94">
        <v>3.9221959283349999</v>
      </c>
      <c r="K189" s="86">
        <v>2.9716271999999999</v>
      </c>
      <c r="L189" s="94">
        <v>5.1641685115159994</v>
      </c>
      <c r="M189" s="86">
        <v>7.215077</v>
      </c>
      <c r="N189" s="94">
        <v>6.7345691560179999</v>
      </c>
    </row>
    <row r="190" spans="2:14">
      <c r="B190" s="88">
        <v>3.4613290000000001</v>
      </c>
      <c r="C190" s="87">
        <v>0.90839784999999995</v>
      </c>
      <c r="D190" s="88">
        <v>3.0005495999999998</v>
      </c>
      <c r="E190" s="87">
        <v>0.88125779999999998</v>
      </c>
      <c r="F190" s="88">
        <v>7.2378644999999997</v>
      </c>
      <c r="G190" s="87">
        <v>0.80106569999999999</v>
      </c>
      <c r="I190" s="86">
        <v>3.4613290000000001</v>
      </c>
      <c r="J190" s="94">
        <v>3.8772623577910004</v>
      </c>
      <c r="K190" s="86">
        <v>3.0005495999999998</v>
      </c>
      <c r="L190" s="94">
        <v>5.120403870873</v>
      </c>
      <c r="M190" s="86">
        <v>7.2378644999999997</v>
      </c>
      <c r="N190" s="94">
        <v>6.7480441286949997</v>
      </c>
    </row>
    <row r="191" spans="2:14">
      <c r="B191" s="88">
        <v>3.4894688</v>
      </c>
      <c r="C191" s="87">
        <v>0.91012689999999996</v>
      </c>
      <c r="D191" s="88">
        <v>3.0292124999999999</v>
      </c>
      <c r="E191" s="87">
        <v>0.88296779999999997</v>
      </c>
      <c r="F191" s="88">
        <v>7.2619147000000002</v>
      </c>
      <c r="G191" s="87">
        <v>0.79855025000000002</v>
      </c>
      <c r="I191" s="86">
        <v>3.4894688</v>
      </c>
      <c r="J191" s="94">
        <v>3.8323289872479998</v>
      </c>
      <c r="K191" s="86">
        <v>3.0292124999999999</v>
      </c>
      <c r="L191" s="94">
        <v>5.0776000445360001</v>
      </c>
      <c r="M191" s="86">
        <v>7.2619147000000002</v>
      </c>
      <c r="N191" s="94">
        <v>6.7615189013709998</v>
      </c>
    </row>
    <row r="192" spans="2:14">
      <c r="B192" s="88">
        <v>3.5195590000000001</v>
      </c>
      <c r="C192" s="87">
        <v>0.911856</v>
      </c>
      <c r="D192" s="88">
        <v>3.0599015000000001</v>
      </c>
      <c r="E192" s="87">
        <v>0.88467790000000002</v>
      </c>
      <c r="F192" s="88">
        <v>7.2873749999999999</v>
      </c>
      <c r="G192" s="87">
        <v>0.79603480000000004</v>
      </c>
      <c r="I192" s="86">
        <v>3.5195590000000001</v>
      </c>
      <c r="J192" s="94">
        <v>3.7873959167039999</v>
      </c>
      <c r="K192" s="86">
        <v>3.0599015000000001</v>
      </c>
      <c r="L192" s="94">
        <v>5.0347960882019995</v>
      </c>
      <c r="M192" s="86">
        <v>7.2873749999999999</v>
      </c>
      <c r="N192" s="94">
        <v>6.7749943740490002</v>
      </c>
    </row>
    <row r="193" spans="2:14">
      <c r="B193" s="88">
        <v>3.5518900000000002</v>
      </c>
      <c r="C193" s="87">
        <v>0.91358510000000004</v>
      </c>
      <c r="D193" s="88">
        <v>3.0929250000000001</v>
      </c>
      <c r="E193" s="87">
        <v>0.88638793999999999</v>
      </c>
      <c r="F193" s="88">
        <v>7.310899</v>
      </c>
      <c r="G193" s="87">
        <v>0.79347305999999995</v>
      </c>
      <c r="I193" s="86">
        <v>3.5518900000000002</v>
      </c>
      <c r="J193" s="94">
        <v>3.7424624461600002</v>
      </c>
      <c r="K193" s="86">
        <v>3.0929250000000001</v>
      </c>
      <c r="L193" s="94">
        <v>4.9919921918650001</v>
      </c>
      <c r="M193" s="86">
        <v>7.310899</v>
      </c>
      <c r="N193" s="94">
        <v>6.7896860936260008</v>
      </c>
    </row>
    <row r="194" spans="2:14">
      <c r="B194" s="88">
        <v>3.5868229999999999</v>
      </c>
      <c r="C194" s="87">
        <v>0.91531419999999997</v>
      </c>
      <c r="D194" s="88">
        <v>3.1286679999999998</v>
      </c>
      <c r="E194" s="87">
        <v>0.88809800000000005</v>
      </c>
      <c r="F194" s="88">
        <v>7.3317174999999999</v>
      </c>
      <c r="G194" s="87">
        <v>0.79086065000000005</v>
      </c>
      <c r="I194" s="86">
        <v>3.5868229999999999</v>
      </c>
      <c r="J194" s="94">
        <v>3.6975290756169996</v>
      </c>
      <c r="K194" s="86">
        <v>3.1286679999999998</v>
      </c>
      <c r="L194" s="94">
        <v>4.9491881955299988</v>
      </c>
      <c r="M194" s="86">
        <v>7.3317174999999999</v>
      </c>
      <c r="N194" s="94">
        <v>6.8057133742100007</v>
      </c>
    </row>
    <row r="195" spans="2:14">
      <c r="B195" s="88">
        <v>3.6248136</v>
      </c>
      <c r="C195" s="87">
        <v>0.91704326999999997</v>
      </c>
      <c r="D195" s="88">
        <v>3.1662338000000001</v>
      </c>
      <c r="E195" s="87">
        <v>0.88979775000000005</v>
      </c>
      <c r="F195" s="88">
        <v>7.3535849999999998</v>
      </c>
      <c r="G195" s="87">
        <v>0.78824819999999995</v>
      </c>
      <c r="I195" s="86">
        <v>3.6248136</v>
      </c>
      <c r="J195" s="94">
        <v>3.6525957050730002</v>
      </c>
      <c r="K195" s="86">
        <v>3.1662338000000001</v>
      </c>
      <c r="L195" s="94">
        <v>4.9066816048839996</v>
      </c>
      <c r="M195" s="86">
        <v>7.3535849999999998</v>
      </c>
      <c r="N195" s="94">
        <v>6.8217396547920002</v>
      </c>
    </row>
    <row r="196" spans="2:14">
      <c r="B196" s="88">
        <v>3.6664488</v>
      </c>
      <c r="C196" s="87">
        <v>0.91877240000000004</v>
      </c>
      <c r="D196" s="88">
        <v>3.2025565999999999</v>
      </c>
      <c r="E196" s="87">
        <v>0.89146464999999997</v>
      </c>
      <c r="F196" s="88">
        <v>7.3766116999999998</v>
      </c>
      <c r="G196" s="87">
        <v>0.78563576999999996</v>
      </c>
      <c r="I196" s="86">
        <v>3.6664488</v>
      </c>
      <c r="J196" s="94">
        <v>3.6076623345300001</v>
      </c>
      <c r="K196" s="86">
        <v>3.2025565999999999</v>
      </c>
      <c r="L196" s="94">
        <v>4.8651184358830006</v>
      </c>
      <c r="M196" s="86">
        <v>7.3766116999999998</v>
      </c>
      <c r="N196" s="94">
        <v>6.8377663353760001</v>
      </c>
    </row>
    <row r="197" spans="2:14">
      <c r="B197" s="88">
        <v>3.7072090000000002</v>
      </c>
      <c r="C197" s="87">
        <v>0.92044263999999998</v>
      </c>
      <c r="D197" s="88">
        <v>3.242197</v>
      </c>
      <c r="E197" s="87">
        <v>0.89313149999999997</v>
      </c>
      <c r="F197" s="88">
        <v>7.4000959999999996</v>
      </c>
      <c r="G197" s="87">
        <v>0.78300994999999995</v>
      </c>
      <c r="I197" s="86">
        <v>3.7072090000000002</v>
      </c>
      <c r="J197" s="94">
        <v>3.5641619424259998</v>
      </c>
      <c r="K197" s="86">
        <v>3.242197</v>
      </c>
      <c r="L197" s="94">
        <v>4.8235552068780008</v>
      </c>
      <c r="M197" s="86">
        <v>7.4000959999999996</v>
      </c>
      <c r="N197" s="94">
        <v>6.8541506446189997</v>
      </c>
    </row>
    <row r="198" spans="2:14">
      <c r="B198" s="88">
        <v>3.7499319999999998</v>
      </c>
      <c r="C198" s="87">
        <v>0.92209004999999999</v>
      </c>
      <c r="D198" s="88">
        <v>3.285066</v>
      </c>
      <c r="E198" s="87">
        <v>0.89478385000000005</v>
      </c>
      <c r="F198" s="88">
        <v>7.4193850000000001</v>
      </c>
      <c r="G198" s="87">
        <v>0.78029959999999998</v>
      </c>
      <c r="I198" s="86">
        <v>3.7499319999999998</v>
      </c>
      <c r="J198" s="94">
        <v>3.5212187190100002</v>
      </c>
      <c r="K198" s="86">
        <v>3.285066</v>
      </c>
      <c r="L198" s="94">
        <v>4.7825994318499996</v>
      </c>
      <c r="M198" s="86">
        <v>7.4193850000000001</v>
      </c>
      <c r="N198" s="94">
        <v>6.8727964352389996</v>
      </c>
    </row>
    <row r="199" spans="2:14">
      <c r="B199" s="88">
        <v>3.796281</v>
      </c>
      <c r="C199" s="87">
        <v>0.92372810000000005</v>
      </c>
      <c r="D199" s="88">
        <v>3.3322191000000001</v>
      </c>
      <c r="E199" s="87">
        <v>0.89642909999999998</v>
      </c>
      <c r="F199" s="88">
        <v>7.4395704</v>
      </c>
      <c r="G199" s="87">
        <v>0.77758930000000004</v>
      </c>
      <c r="I199" s="86">
        <v>3.796281</v>
      </c>
      <c r="J199" s="94">
        <v>3.4786542701940002</v>
      </c>
      <c r="K199" s="86">
        <v>3.3322191000000001</v>
      </c>
      <c r="L199" s="94">
        <v>4.7419424330900002</v>
      </c>
      <c r="M199" s="86">
        <v>7.4395704</v>
      </c>
      <c r="N199" s="94">
        <v>6.8914423258580007</v>
      </c>
    </row>
    <row r="200" spans="2:14">
      <c r="B200" s="88">
        <v>3.8465042</v>
      </c>
      <c r="C200" s="87">
        <v>0.92535270000000003</v>
      </c>
      <c r="D200" s="88">
        <v>3.3851464</v>
      </c>
      <c r="E200" s="87">
        <v>0.89807320000000002</v>
      </c>
      <c r="F200" s="88">
        <v>7.4607406000000003</v>
      </c>
      <c r="G200" s="87">
        <v>0.77487899999999998</v>
      </c>
      <c r="I200" s="86">
        <v>3.8465042</v>
      </c>
      <c r="J200" s="94">
        <v>3.4366306609400001</v>
      </c>
      <c r="K200" s="86">
        <v>3.3851464</v>
      </c>
      <c r="L200" s="94">
        <v>4.7013600034200005</v>
      </c>
      <c r="M200" s="86">
        <v>7.4607406000000003</v>
      </c>
      <c r="N200" s="94">
        <v>6.9100879164779991</v>
      </c>
    </row>
    <row r="201" spans="2:14">
      <c r="B201" s="88">
        <v>3.9034578999999998</v>
      </c>
      <c r="C201" s="87">
        <v>0.92697613999999995</v>
      </c>
      <c r="D201" s="88">
        <v>3.4456763000000001</v>
      </c>
      <c r="E201" s="87">
        <v>0.89970700000000003</v>
      </c>
      <c r="F201" s="88">
        <v>7.4829955000000004</v>
      </c>
      <c r="G201" s="87">
        <v>0.77216863999999996</v>
      </c>
      <c r="I201" s="86">
        <v>3.9034578999999998</v>
      </c>
      <c r="J201" s="94">
        <v>3.394686296443</v>
      </c>
      <c r="K201" s="86">
        <v>3.4456763000000001</v>
      </c>
      <c r="L201" s="94">
        <v>4.6614423558800002</v>
      </c>
      <c r="M201" s="86">
        <v>7.4829955000000004</v>
      </c>
      <c r="N201" s="94">
        <v>6.9287338070970002</v>
      </c>
    </row>
    <row r="202" spans="2:14">
      <c r="B202" s="88">
        <v>3.9705740999999999</v>
      </c>
      <c r="C202" s="87">
        <v>0.92858929999999995</v>
      </c>
      <c r="D202" s="88">
        <v>3.5139382000000001</v>
      </c>
      <c r="E202" s="87">
        <v>0.90133739999999996</v>
      </c>
      <c r="F202" s="88">
        <v>7.5021186000000002</v>
      </c>
      <c r="G202" s="87">
        <v>0.76938015000000004</v>
      </c>
      <c r="I202" s="86">
        <v>3.9705740999999999</v>
      </c>
      <c r="J202" s="94">
        <v>3.3534292346600001</v>
      </c>
      <c r="K202" s="86">
        <v>3.5139382000000001</v>
      </c>
      <c r="L202" s="94">
        <v>4.6219633154300004</v>
      </c>
      <c r="M202" s="86">
        <v>7.5021186000000002</v>
      </c>
      <c r="N202" s="94">
        <v>6.9495158156579997</v>
      </c>
    </row>
    <row r="203" spans="2:14">
      <c r="B203" s="88">
        <v>4.047517</v>
      </c>
      <c r="C203" s="87">
        <v>0.93019949999999996</v>
      </c>
      <c r="D203" s="88">
        <v>3.5931687000000001</v>
      </c>
      <c r="E203" s="87">
        <v>0.90296750000000003</v>
      </c>
      <c r="F203" s="88">
        <v>7.5209656000000003</v>
      </c>
      <c r="G203" s="87">
        <v>0.76657160000000002</v>
      </c>
      <c r="I203" s="86">
        <v>4.047517</v>
      </c>
      <c r="J203" s="94">
        <v>3.31271576916</v>
      </c>
      <c r="K203" s="86">
        <v>3.5931687000000001</v>
      </c>
      <c r="L203" s="94">
        <v>4.5830726398500001</v>
      </c>
      <c r="M203" s="86">
        <v>7.5209656000000003</v>
      </c>
      <c r="N203" s="94">
        <v>6.9708465544809997</v>
      </c>
    </row>
    <row r="204" spans="2:14">
      <c r="B204" s="88">
        <v>4.1405177000000002</v>
      </c>
      <c r="C204" s="87">
        <v>0.93181396000000005</v>
      </c>
      <c r="D204" s="88">
        <v>3.6887975000000002</v>
      </c>
      <c r="E204" s="87">
        <v>0.90459809999999996</v>
      </c>
      <c r="F204" s="88">
        <v>7.5406674999999996</v>
      </c>
      <c r="G204" s="87">
        <v>0.76376299999999997</v>
      </c>
      <c r="I204" s="86">
        <v>4.1405177000000002</v>
      </c>
      <c r="J204" s="94">
        <v>3.2728410082800004</v>
      </c>
      <c r="K204" s="86">
        <v>3.6887975000000002</v>
      </c>
      <c r="L204" s="94">
        <v>4.5446135957499996</v>
      </c>
      <c r="M204" s="86">
        <v>7.5406674999999996</v>
      </c>
      <c r="N204" s="94">
        <v>6.992177193302</v>
      </c>
    </row>
    <row r="205" spans="2:14">
      <c r="B205" s="88">
        <v>4.2588800000000004</v>
      </c>
      <c r="C205" s="87">
        <v>0.93342954</v>
      </c>
      <c r="D205" s="88">
        <v>3.8116089999999998</v>
      </c>
      <c r="E205" s="87">
        <v>0.9062287</v>
      </c>
      <c r="F205" s="88">
        <v>7.5613060000000001</v>
      </c>
      <c r="G205" s="87">
        <v>0.76095444000000001</v>
      </c>
      <c r="I205" s="86">
        <v>4.2588800000000004</v>
      </c>
      <c r="J205" s="94">
        <v>3.2331749040600002</v>
      </c>
      <c r="K205" s="86">
        <v>3.8116089999999998</v>
      </c>
      <c r="L205" s="94">
        <v>4.5061550616700004</v>
      </c>
      <c r="M205" s="86">
        <v>7.5613060000000001</v>
      </c>
      <c r="N205" s="94">
        <v>7.0135073321250001</v>
      </c>
    </row>
    <row r="206" spans="2:14">
      <c r="B206" s="88">
        <v>4.4249689999999999</v>
      </c>
      <c r="C206" s="87">
        <v>0.93505340000000003</v>
      </c>
      <c r="D206" s="88">
        <v>3.9847958000000001</v>
      </c>
      <c r="E206" s="87">
        <v>0.90786827000000003</v>
      </c>
      <c r="F206" s="88">
        <v>7.5812819999999999</v>
      </c>
      <c r="G206" s="87">
        <v>0.75811229999999996</v>
      </c>
      <c r="I206" s="86">
        <v>4.4249689999999999</v>
      </c>
      <c r="J206" s="94">
        <v>3.1940438556999995</v>
      </c>
      <c r="K206" s="86">
        <v>3.9847958000000001</v>
      </c>
      <c r="L206" s="94">
        <v>4.4687285106800001</v>
      </c>
      <c r="M206" s="86">
        <v>7.5812819999999999</v>
      </c>
      <c r="N206" s="94">
        <v>7.0357732094400003</v>
      </c>
    </row>
    <row r="207" spans="2:14">
      <c r="B207" s="88">
        <v>4.7123020000000002</v>
      </c>
      <c r="C207" s="87">
        <v>0.93669880000000005</v>
      </c>
      <c r="D207" s="88">
        <v>4.2788459999999997</v>
      </c>
      <c r="E207" s="87">
        <v>0.90951519999999997</v>
      </c>
      <c r="F207" s="88">
        <v>7.6001053000000001</v>
      </c>
      <c r="G207" s="87">
        <v>0.75523010000000002</v>
      </c>
      <c r="I207" s="86">
        <v>4.7123020000000002</v>
      </c>
      <c r="J207" s="94">
        <v>3.1561053799000001</v>
      </c>
      <c r="K207" s="86">
        <v>4.2788459999999997</v>
      </c>
      <c r="L207" s="94">
        <v>4.4321305872499996</v>
      </c>
      <c r="M207" s="86">
        <v>7.6001053000000001</v>
      </c>
      <c r="N207" s="94">
        <v>7.0591576328303001</v>
      </c>
    </row>
    <row r="208" spans="2:14">
      <c r="B208" s="88">
        <v>5.8703938000000004</v>
      </c>
      <c r="C208" s="87">
        <v>0.93827945000000001</v>
      </c>
      <c r="D208" s="88">
        <v>5.3268713999999999</v>
      </c>
      <c r="E208" s="87">
        <v>0.91105639999999999</v>
      </c>
      <c r="F208" s="88">
        <v>7.619154</v>
      </c>
      <c r="G208" s="87">
        <v>0.75233399999999995</v>
      </c>
      <c r="I208" s="86">
        <v>5.8703938000000004</v>
      </c>
      <c r="J208" s="94">
        <v>3.124972493</v>
      </c>
      <c r="K208" s="86">
        <v>5.3268713999999999</v>
      </c>
      <c r="L208" s="94">
        <v>4.4044492213000002</v>
      </c>
      <c r="M208" s="86">
        <v>7.619154</v>
      </c>
      <c r="N208" s="94">
        <v>7.0829382692606995</v>
      </c>
    </row>
    <row r="209" spans="2:14">
      <c r="B209" s="88">
        <v>5.9402565999999997</v>
      </c>
      <c r="C209" s="87">
        <v>0.93827700000000003</v>
      </c>
      <c r="D209" s="88">
        <v>5.3317747000000004</v>
      </c>
      <c r="E209" s="87">
        <v>0.91105619999999998</v>
      </c>
      <c r="F209" s="88">
        <v>7.6374329999999997</v>
      </c>
      <c r="G209" s="87">
        <v>0.74940289999999998</v>
      </c>
      <c r="I209" s="86">
        <v>5.9402565999999997</v>
      </c>
      <c r="J209" s="94">
        <v>3.1247155757999998</v>
      </c>
      <c r="K209" s="86">
        <v>5.3317747000000004</v>
      </c>
      <c r="L209" s="94">
        <v>4.4044176222000004</v>
      </c>
      <c r="M209" s="86">
        <v>7.6374329999999997</v>
      </c>
      <c r="N209" s="94">
        <v>7.1077132384309998</v>
      </c>
    </row>
    <row r="210" spans="2:14">
      <c r="B210" s="88">
        <v>7.1302856999999999</v>
      </c>
      <c r="C210" s="87">
        <v>0.93648589999999998</v>
      </c>
      <c r="D210" s="88">
        <v>6.3950719999999999</v>
      </c>
      <c r="E210" s="87">
        <v>0.90929009999999999</v>
      </c>
      <c r="F210" s="88">
        <v>7.656174</v>
      </c>
      <c r="G210" s="87">
        <v>0.7464634</v>
      </c>
      <c r="I210" s="86">
        <v>7.1302856999999999</v>
      </c>
      <c r="J210" s="94">
        <v>3.1304356553300003</v>
      </c>
      <c r="K210" s="86">
        <v>6.3950719999999999</v>
      </c>
      <c r="L210" s="94">
        <v>4.4008577350999998</v>
      </c>
      <c r="M210" s="86">
        <v>7.656174</v>
      </c>
      <c r="N210" s="94">
        <v>7.1327309140910007</v>
      </c>
    </row>
    <row r="211" spans="2:14">
      <c r="B211" s="88">
        <v>7.4402819999999998</v>
      </c>
      <c r="C211" s="87">
        <v>0.93457460000000003</v>
      </c>
      <c r="D211" s="88">
        <v>6.7019013999999997</v>
      </c>
      <c r="E211" s="87">
        <v>0.90737385000000004</v>
      </c>
      <c r="F211" s="88">
        <v>7.6730119999999999</v>
      </c>
      <c r="G211" s="87">
        <v>0.7434596</v>
      </c>
      <c r="I211" s="86">
        <v>7.4402819999999998</v>
      </c>
      <c r="J211" s="94">
        <v>3.1421801186399998</v>
      </c>
      <c r="K211" s="86">
        <v>6.7019013999999997</v>
      </c>
      <c r="L211" s="94">
        <v>4.4060521172200007</v>
      </c>
      <c r="M211" s="86">
        <v>7.6730119999999999</v>
      </c>
      <c r="N211" s="94">
        <v>7.1596215399263006</v>
      </c>
    </row>
    <row r="212" spans="2:14">
      <c r="B212" s="88">
        <v>7.6275333999999999</v>
      </c>
      <c r="C212" s="87">
        <v>0.93262730000000005</v>
      </c>
      <c r="D212" s="88">
        <v>6.8908586999999999</v>
      </c>
      <c r="E212" s="87">
        <v>0.90542789999999995</v>
      </c>
      <c r="F212" s="88">
        <v>7.6905289999999997</v>
      </c>
      <c r="G212" s="87">
        <v>0.74045570000000005</v>
      </c>
      <c r="I212" s="86">
        <v>7.6275333999999999</v>
      </c>
      <c r="J212" s="94">
        <v>3.1546699898199999</v>
      </c>
      <c r="K212" s="86">
        <v>6.8908586999999999</v>
      </c>
      <c r="L212" s="94">
        <v>4.4120589839799997</v>
      </c>
      <c r="M212" s="86">
        <v>7.6905289999999997</v>
      </c>
      <c r="N212" s="94">
        <v>7.1865125657610003</v>
      </c>
    </row>
    <row r="213" spans="2:14">
      <c r="B213" s="88">
        <v>7.7624836000000004</v>
      </c>
      <c r="C213" s="87">
        <v>0.93064415</v>
      </c>
      <c r="D213" s="88">
        <v>7.0275230000000004</v>
      </c>
      <c r="E213" s="87">
        <v>0.90345450000000005</v>
      </c>
      <c r="F213" s="88">
        <v>7.7087820000000002</v>
      </c>
      <c r="G213" s="87">
        <v>0.73745185000000002</v>
      </c>
      <c r="I213" s="86">
        <v>7.7624836000000004</v>
      </c>
      <c r="J213" s="94">
        <v>3.1678285165399998</v>
      </c>
      <c r="K213" s="86">
        <v>7.0275230000000004</v>
      </c>
      <c r="L213" s="94">
        <v>4.4186916378699994</v>
      </c>
      <c r="M213" s="86">
        <v>7.7087820000000002</v>
      </c>
      <c r="N213" s="94">
        <v>7.2134036915954995</v>
      </c>
    </row>
    <row r="214" spans="2:14">
      <c r="B214" s="88">
        <v>7.8718966999999997</v>
      </c>
      <c r="C214" s="87">
        <v>0.92862719999999999</v>
      </c>
      <c r="D214" s="88">
        <v>7.1330546999999997</v>
      </c>
      <c r="E214" s="87">
        <v>0.90145209999999998</v>
      </c>
      <c r="F214" s="88">
        <v>7.7278365999999998</v>
      </c>
      <c r="G214" s="87">
        <v>0.73444799999999999</v>
      </c>
      <c r="I214" s="86">
        <v>7.8718966999999997</v>
      </c>
      <c r="J214" s="94">
        <v>3.1816021716599998</v>
      </c>
      <c r="K214" s="86">
        <v>7.1330546999999997</v>
      </c>
      <c r="L214" s="94">
        <v>4.4259527460000001</v>
      </c>
      <c r="M214" s="86">
        <v>7.7278365999999998</v>
      </c>
      <c r="N214" s="94">
        <v>7.2402944174306008</v>
      </c>
    </row>
    <row r="215" spans="2:14">
      <c r="B215" s="88">
        <v>7.9609832999999997</v>
      </c>
      <c r="C215" s="87">
        <v>0.92657250000000002</v>
      </c>
      <c r="D215" s="88">
        <v>7.2242569999999997</v>
      </c>
      <c r="E215" s="87">
        <v>0.89942469999999997</v>
      </c>
      <c r="F215" s="88">
        <v>7.7447439999999999</v>
      </c>
      <c r="G215" s="87">
        <v>0.73137010000000002</v>
      </c>
      <c r="I215" s="86">
        <v>7.9609832999999997</v>
      </c>
      <c r="J215" s="94">
        <v>3.1960536788039997</v>
      </c>
      <c r="K215" s="86">
        <v>7.2242569999999997</v>
      </c>
      <c r="L215" s="94">
        <v>4.43374554673</v>
      </c>
      <c r="M215" s="86">
        <v>7.7447439999999999</v>
      </c>
      <c r="N215" s="94">
        <v>7.2694073895290003</v>
      </c>
    </row>
    <row r="216" spans="2:14">
      <c r="B216" s="88">
        <v>8.0406680000000001</v>
      </c>
      <c r="C216" s="87">
        <v>0.924485</v>
      </c>
      <c r="D216" s="88">
        <v>7.2979783999999999</v>
      </c>
      <c r="E216" s="87">
        <v>0.89736369999999999</v>
      </c>
      <c r="F216" s="88">
        <v>7.7614210000000003</v>
      </c>
      <c r="G216" s="87">
        <v>0.72827052999999997</v>
      </c>
      <c r="I216" s="86">
        <v>8.0406680000000001</v>
      </c>
      <c r="J216" s="94">
        <v>3.2110899691100001</v>
      </c>
      <c r="K216" s="86">
        <v>7.2979783999999999</v>
      </c>
      <c r="L216" s="94">
        <v>4.4422423273959994</v>
      </c>
      <c r="M216" s="86">
        <v>7.7614210000000003</v>
      </c>
      <c r="N216" s="94">
        <v>7.2991686751447</v>
      </c>
    </row>
    <row r="217" spans="2:14">
      <c r="B217" s="88">
        <v>8.1111419999999992</v>
      </c>
      <c r="C217" s="87">
        <v>0.92236200000000002</v>
      </c>
      <c r="D217" s="88">
        <v>7.3690667000000003</v>
      </c>
      <c r="E217" s="87">
        <v>0.89528180000000002</v>
      </c>
      <c r="F217" s="88">
        <v>7.7787642000000004</v>
      </c>
      <c r="G217" s="87">
        <v>0.72517096999999997</v>
      </c>
      <c r="I217" s="86">
        <v>8.1111419999999992</v>
      </c>
      <c r="J217" s="94">
        <v>3.2267584070469999</v>
      </c>
      <c r="K217" s="86">
        <v>7.3690667000000003</v>
      </c>
      <c r="L217" s="94">
        <v>4.4511781702600004</v>
      </c>
      <c r="M217" s="86">
        <v>7.7787642000000004</v>
      </c>
      <c r="N217" s="94">
        <v>7.3289304607604997</v>
      </c>
    </row>
    <row r="218" spans="2:14">
      <c r="B218" s="88">
        <v>8.1746230000000004</v>
      </c>
      <c r="C218" s="87">
        <v>0.92020314999999997</v>
      </c>
      <c r="D218" s="88">
        <v>7.4343804999999996</v>
      </c>
      <c r="E218" s="87">
        <v>0.89317690000000005</v>
      </c>
      <c r="F218" s="88">
        <v>7.7968286999999998</v>
      </c>
      <c r="G218" s="87">
        <v>0.72207135</v>
      </c>
      <c r="I218" s="86">
        <v>8.1746230000000004</v>
      </c>
      <c r="J218" s="94">
        <v>3.2430612279649997</v>
      </c>
      <c r="K218" s="86">
        <v>7.4343804999999996</v>
      </c>
      <c r="L218" s="94">
        <v>4.4605910873570007</v>
      </c>
      <c r="M218" s="86">
        <v>7.7968286999999998</v>
      </c>
      <c r="N218" s="94">
        <v>7.3586920463760004</v>
      </c>
    </row>
    <row r="219" spans="2:14">
      <c r="B219" s="88">
        <v>8.2336349999999996</v>
      </c>
      <c r="C219" s="87">
        <v>0.91801129999999997</v>
      </c>
      <c r="D219" s="88">
        <v>7.4886173999999999</v>
      </c>
      <c r="E219" s="87">
        <v>0.89103239999999995</v>
      </c>
      <c r="F219" s="88">
        <v>7.8141455999999998</v>
      </c>
      <c r="G219" s="87">
        <v>0.71893125999999996</v>
      </c>
      <c r="I219" s="86">
        <v>8.2336349999999996</v>
      </c>
      <c r="J219" s="94">
        <v>3.2599464425939999</v>
      </c>
      <c r="K219" s="86">
        <v>7.4886173999999999</v>
      </c>
      <c r="L219" s="94">
        <v>4.4708268114829997</v>
      </c>
      <c r="M219" s="86">
        <v>7.8141455999999998</v>
      </c>
      <c r="N219" s="94">
        <v>7.3897217517231999</v>
      </c>
    </row>
    <row r="220" spans="2:14">
      <c r="B220" s="88">
        <v>8.2861639999999994</v>
      </c>
      <c r="C220" s="87">
        <v>0.91577697000000002</v>
      </c>
      <c r="D220" s="88">
        <v>7.5412929999999996</v>
      </c>
      <c r="E220" s="87">
        <v>0.88886476000000003</v>
      </c>
      <c r="F220" s="88">
        <v>7.8300840000000003</v>
      </c>
      <c r="G220" s="87">
        <v>0.71574134</v>
      </c>
      <c r="I220" s="86">
        <v>8.2861639999999994</v>
      </c>
      <c r="J220" s="94">
        <v>3.2775803417339997</v>
      </c>
      <c r="K220" s="86">
        <v>7.5412929999999996</v>
      </c>
      <c r="L220" s="94">
        <v>4.4815386858849999</v>
      </c>
      <c r="M220" s="86">
        <v>7.8300840000000003</v>
      </c>
      <c r="N220" s="94">
        <v>7.4223778830505998</v>
      </c>
    </row>
    <row r="221" spans="2:14">
      <c r="B221" s="88">
        <v>8.3360629999999993</v>
      </c>
      <c r="C221" s="87">
        <v>0.91350920000000002</v>
      </c>
      <c r="D221" s="88">
        <v>7.5919784999999997</v>
      </c>
      <c r="E221" s="87">
        <v>0.8866754</v>
      </c>
      <c r="F221" s="88">
        <v>7.8316555000000001</v>
      </c>
      <c r="G221" s="87">
        <v>0.71578569999999997</v>
      </c>
      <c r="I221" s="86">
        <v>8.3360629999999993</v>
      </c>
      <c r="J221" s="94">
        <v>3.2958019018620002</v>
      </c>
      <c r="K221" s="86">
        <v>7.5919784999999997</v>
      </c>
      <c r="L221" s="94">
        <v>4.4926997104439996</v>
      </c>
      <c r="M221" s="86">
        <v>7.8316555000000001</v>
      </c>
      <c r="N221" s="94">
        <v>7.4209618637485999</v>
      </c>
    </row>
    <row r="222" spans="2:14">
      <c r="B222" s="88">
        <v>8.3828929999999993</v>
      </c>
      <c r="C222" s="87">
        <v>0.91120464000000001</v>
      </c>
      <c r="D222" s="88">
        <v>7.6375412999999996</v>
      </c>
      <c r="E222" s="87">
        <v>0.88445090000000004</v>
      </c>
      <c r="F222" s="88">
        <v>7.8484062999999997</v>
      </c>
      <c r="G222" s="87">
        <v>0.71259680000000003</v>
      </c>
      <c r="I222" s="86">
        <v>8.3828929999999993</v>
      </c>
      <c r="J222" s="94">
        <v>3.314668644543</v>
      </c>
      <c r="K222" s="86">
        <v>7.6375412999999996</v>
      </c>
      <c r="L222" s="94">
        <v>4.5045846031980004</v>
      </c>
      <c r="M222" s="86">
        <v>7.8484062999999997</v>
      </c>
      <c r="N222" s="94">
        <v>7.4535102934360005</v>
      </c>
    </row>
    <row r="223" spans="2:14">
      <c r="B223" s="88">
        <v>8.427111</v>
      </c>
      <c r="C223" s="87">
        <v>0.90886299999999998</v>
      </c>
      <c r="D223" s="88">
        <v>7.6795125000000004</v>
      </c>
      <c r="E223" s="87">
        <v>0.88219259999999999</v>
      </c>
      <c r="F223" s="88">
        <v>7.8648290000000003</v>
      </c>
      <c r="G223" s="87">
        <v>0.70938029999999996</v>
      </c>
      <c r="I223" s="86">
        <v>8.427111</v>
      </c>
      <c r="J223" s="94">
        <v>3.3341830513744997</v>
      </c>
      <c r="K223" s="86">
        <v>7.6795125000000004</v>
      </c>
      <c r="L223" s="94">
        <v>4.517163101815</v>
      </c>
      <c r="M223" s="86">
        <v>7.8648290000000003</v>
      </c>
      <c r="N223" s="94">
        <v>7.4869505344278</v>
      </c>
    </row>
    <row r="224" spans="2:14">
      <c r="B224" s="88">
        <v>8.4673890000000007</v>
      </c>
      <c r="C224" s="87">
        <v>0.90647244000000005</v>
      </c>
      <c r="D224" s="88">
        <v>7.7211869999999996</v>
      </c>
      <c r="E224" s="87">
        <v>0.87991375000000005</v>
      </c>
      <c r="F224" s="88">
        <v>7.8802346999999999</v>
      </c>
      <c r="G224" s="87">
        <v>0.70611679999999999</v>
      </c>
      <c r="I224" s="86">
        <v>8.4673890000000007</v>
      </c>
      <c r="J224" s="94">
        <v>3.3545542030869999</v>
      </c>
      <c r="K224" s="86">
        <v>7.7211869999999996</v>
      </c>
      <c r="L224" s="94">
        <v>4.5301638496840004</v>
      </c>
      <c r="M224" s="86">
        <v>7.8802346999999999</v>
      </c>
      <c r="N224" s="94">
        <v>7.5219395934147997</v>
      </c>
    </row>
    <row r="225" spans="2:14">
      <c r="B225" s="88">
        <v>8.5079049999999992</v>
      </c>
      <c r="C225" s="87">
        <v>0.90406059999999999</v>
      </c>
      <c r="D225" s="88">
        <v>7.7604300000000004</v>
      </c>
      <c r="E225" s="87">
        <v>0.87760450000000001</v>
      </c>
      <c r="F225" s="88">
        <v>7.8962073000000004</v>
      </c>
      <c r="G225" s="87">
        <v>0.70285326000000004</v>
      </c>
      <c r="I225" s="86">
        <v>8.5079049999999992</v>
      </c>
      <c r="J225" s="94">
        <v>3.3752976847729999</v>
      </c>
      <c r="K225" s="86">
        <v>7.7604300000000004</v>
      </c>
      <c r="L225" s="94">
        <v>4.5437885244059997</v>
      </c>
      <c r="M225" s="86">
        <v>7.8962073000000004</v>
      </c>
      <c r="N225" s="94">
        <v>7.5569282524017005</v>
      </c>
    </row>
    <row r="226" spans="2:14">
      <c r="B226" s="88">
        <v>8.5460189999999994</v>
      </c>
      <c r="C226" s="87">
        <v>0.90160289999999998</v>
      </c>
      <c r="D226" s="88">
        <v>7.7970804999999999</v>
      </c>
      <c r="E226" s="87">
        <v>0.87525989999999998</v>
      </c>
      <c r="F226" s="88">
        <v>7.9127900000000002</v>
      </c>
      <c r="G226" s="87">
        <v>0.69958969999999998</v>
      </c>
      <c r="I226" s="86">
        <v>8.5460189999999994</v>
      </c>
      <c r="J226" s="94">
        <v>3.3968423090090001</v>
      </c>
      <c r="K226" s="86">
        <v>7.7970804999999999</v>
      </c>
      <c r="L226" s="94">
        <v>4.5581382886980002</v>
      </c>
      <c r="M226" s="86">
        <v>7.9127900000000002</v>
      </c>
      <c r="N226" s="94">
        <v>7.5919174113886001</v>
      </c>
    </row>
    <row r="227" spans="2:14">
      <c r="B227" s="88">
        <v>8.5831060000000008</v>
      </c>
      <c r="C227" s="87">
        <v>0.89911514999999997</v>
      </c>
      <c r="D227" s="88">
        <v>7.8331274999999998</v>
      </c>
      <c r="E227" s="87">
        <v>0.87289110000000003</v>
      </c>
      <c r="F227" s="88">
        <v>7.9300309999999996</v>
      </c>
      <c r="G227" s="87">
        <v>0.69632625999999997</v>
      </c>
      <c r="I227" s="86">
        <v>8.5831060000000008</v>
      </c>
      <c r="J227" s="94">
        <v>3.4189132268839999</v>
      </c>
      <c r="K227" s="86">
        <v>7.8331274999999998</v>
      </c>
      <c r="L227" s="94">
        <v>4.5729822175999999</v>
      </c>
      <c r="M227" s="86">
        <v>7.9300309999999996</v>
      </c>
      <c r="N227" s="94">
        <v>7.626905970375601</v>
      </c>
    </row>
    <row r="228" spans="2:14">
      <c r="B228" s="88">
        <v>8.6184069999999995</v>
      </c>
      <c r="C228" s="87">
        <v>0.89658269999999995</v>
      </c>
      <c r="D228" s="88">
        <v>7.8683075999999996</v>
      </c>
      <c r="E228" s="87">
        <v>0.87049734999999995</v>
      </c>
      <c r="F228" s="88">
        <v>7.9459020000000002</v>
      </c>
      <c r="G228" s="87">
        <v>0.69300419999999996</v>
      </c>
      <c r="I228" s="86">
        <v>8.6184069999999995</v>
      </c>
      <c r="J228" s="94">
        <v>3.4417654440729999</v>
      </c>
      <c r="K228" s="86">
        <v>7.8683075999999996</v>
      </c>
      <c r="L228" s="94">
        <v>4.588339304172</v>
      </c>
      <c r="M228" s="86">
        <v>7.9459020000000002</v>
      </c>
      <c r="N228" s="94">
        <v>7.6639028485012002</v>
      </c>
    </row>
    <row r="229" spans="2:14">
      <c r="B229" s="88">
        <v>8.652787</v>
      </c>
      <c r="C229" s="87">
        <v>0.89401839999999999</v>
      </c>
      <c r="D229" s="88">
        <v>7.8984230000000002</v>
      </c>
      <c r="E229" s="87">
        <v>0.8680407</v>
      </c>
      <c r="F229" s="88">
        <v>7.9611435000000004</v>
      </c>
      <c r="G229" s="87">
        <v>0.68964875000000003</v>
      </c>
      <c r="I229" s="86">
        <v>8.652787</v>
      </c>
      <c r="J229" s="94">
        <v>3.4651741320580003</v>
      </c>
      <c r="K229" s="86">
        <v>7.8984230000000002</v>
      </c>
      <c r="L229" s="94">
        <v>4.6049872864100001</v>
      </c>
      <c r="M229" s="86">
        <v>7.9611435000000004</v>
      </c>
      <c r="N229" s="94">
        <v>7.7020459375624002</v>
      </c>
    </row>
    <row r="230" spans="2:14">
      <c r="B230" s="88">
        <v>8.6858199999999997</v>
      </c>
      <c r="C230" s="87">
        <v>0.89141064999999997</v>
      </c>
      <c r="D230" s="88">
        <v>7.9306039999999998</v>
      </c>
      <c r="E230" s="87">
        <v>0.86558270000000004</v>
      </c>
      <c r="F230" s="88">
        <v>7.9769399999999999</v>
      </c>
      <c r="G230" s="87">
        <v>0.6862933</v>
      </c>
      <c r="I230" s="86">
        <v>8.6858199999999997</v>
      </c>
      <c r="J230" s="94">
        <v>3.4893437922535</v>
      </c>
      <c r="K230" s="86">
        <v>7.9306039999999998</v>
      </c>
      <c r="L230" s="94">
        <v>4.6216617747440001</v>
      </c>
      <c r="M230" s="86">
        <v>7.9769399999999999</v>
      </c>
      <c r="N230" s="94">
        <v>7.7401893266236002</v>
      </c>
    </row>
    <row r="231" spans="2:14">
      <c r="B231" s="88">
        <v>8.7179920000000006</v>
      </c>
      <c r="C231" s="87">
        <v>0.88876940000000004</v>
      </c>
      <c r="D231" s="88">
        <v>7.9642790000000003</v>
      </c>
      <c r="E231" s="87">
        <v>0.86311439999999995</v>
      </c>
      <c r="F231" s="88">
        <v>7.9933329999999998</v>
      </c>
      <c r="G231" s="87">
        <v>0.68293786000000001</v>
      </c>
      <c r="I231" s="86">
        <v>8.7179920000000006</v>
      </c>
      <c r="J231" s="94">
        <v>3.5141012082509997</v>
      </c>
      <c r="K231" s="86">
        <v>7.9642790000000003</v>
      </c>
      <c r="L231" s="94">
        <v>4.6385486977659998</v>
      </c>
      <c r="M231" s="86">
        <v>7.9933329999999998</v>
      </c>
      <c r="N231" s="94">
        <v>7.7783327156848001</v>
      </c>
    </row>
    <row r="232" spans="2:14">
      <c r="B232" s="88">
        <v>8.7499269999999996</v>
      </c>
      <c r="C232" s="87">
        <v>0.88609654000000004</v>
      </c>
      <c r="D232" s="88">
        <v>7.9921870000000004</v>
      </c>
      <c r="E232" s="87">
        <v>0.86056982999999998</v>
      </c>
      <c r="F232" s="88">
        <v>8.0101340000000008</v>
      </c>
      <c r="G232" s="87">
        <v>0.67957579999999995</v>
      </c>
      <c r="I232" s="86">
        <v>8.7499269999999996</v>
      </c>
      <c r="J232" s="94">
        <v>3.5394122659576004</v>
      </c>
      <c r="K232" s="86">
        <v>7.9921870000000004</v>
      </c>
      <c r="L232" s="94">
        <v>4.657003177</v>
      </c>
      <c r="M232" s="86">
        <v>8.0101340000000008</v>
      </c>
      <c r="N232" s="94">
        <v>7.8167169065069997</v>
      </c>
    </row>
    <row r="233" spans="2:14">
      <c r="B233" s="88">
        <v>8.7802229999999994</v>
      </c>
      <c r="C233" s="87">
        <v>0.88337653999999999</v>
      </c>
      <c r="D233" s="88">
        <v>8.0220129999999994</v>
      </c>
      <c r="E233" s="87">
        <v>0.85802520000000004</v>
      </c>
      <c r="F233" s="88">
        <v>8.0254329999999996</v>
      </c>
      <c r="G233" s="87">
        <v>0.67615413999999996</v>
      </c>
      <c r="I233" s="86">
        <v>8.7802229999999994</v>
      </c>
      <c r="J233" s="94">
        <v>3.5655510818443998</v>
      </c>
      <c r="K233" s="86">
        <v>8.0220129999999994</v>
      </c>
      <c r="L233" s="94">
        <v>4.6754577562329995</v>
      </c>
      <c r="M233" s="86">
        <v>8.0254329999999996</v>
      </c>
      <c r="N233" s="94">
        <v>7.8572577130887993</v>
      </c>
    </row>
    <row r="234" spans="2:14">
      <c r="B234" s="88">
        <v>8.8090799999999998</v>
      </c>
      <c r="C234" s="87">
        <v>0.8806081</v>
      </c>
      <c r="D234" s="88">
        <v>8.0520739999999993</v>
      </c>
      <c r="E234" s="87">
        <v>0.85545795999999996</v>
      </c>
      <c r="F234" s="88">
        <v>8.04129</v>
      </c>
      <c r="G234" s="87">
        <v>0.67273240000000001</v>
      </c>
      <c r="I234" s="86">
        <v>8.8090799999999998</v>
      </c>
      <c r="J234" s="94">
        <v>3.5925458472849998</v>
      </c>
      <c r="K234" s="86">
        <v>8.0520739999999993</v>
      </c>
      <c r="L234" s="94">
        <v>4.6943797878879998</v>
      </c>
      <c r="M234" s="86">
        <v>8.04129</v>
      </c>
      <c r="N234" s="94">
        <v>7.8977979196705004</v>
      </c>
    </row>
    <row r="235" spans="2:14">
      <c r="B235" s="88">
        <v>8.8378840000000007</v>
      </c>
      <c r="C235" s="87">
        <v>0.87781197</v>
      </c>
      <c r="D235" s="88">
        <v>8.0783620000000003</v>
      </c>
      <c r="E235" s="87">
        <v>0.85282594</v>
      </c>
      <c r="F235" s="88">
        <v>8.0565060000000006</v>
      </c>
      <c r="G235" s="87">
        <v>0.66927539999999996</v>
      </c>
      <c r="I235" s="86">
        <v>8.8378840000000007</v>
      </c>
      <c r="J235" s="94">
        <v>3.6200284392613002</v>
      </c>
      <c r="K235" s="86">
        <v>8.0783620000000003</v>
      </c>
      <c r="L235" s="94">
        <v>4.7146409697590004</v>
      </c>
      <c r="M235" s="86">
        <v>8.0565060000000006</v>
      </c>
      <c r="N235" s="94">
        <v>7.9396815349522996</v>
      </c>
    </row>
    <row r="236" spans="2:14">
      <c r="B236" s="88">
        <v>8.8661270000000005</v>
      </c>
      <c r="C236" s="87">
        <v>0.87497663000000003</v>
      </c>
      <c r="D236" s="88">
        <v>8.1063460000000003</v>
      </c>
      <c r="E236" s="87">
        <v>0.85019389999999995</v>
      </c>
      <c r="F236" s="88">
        <v>8.0720159999999996</v>
      </c>
      <c r="G236" s="87">
        <v>0.66581124000000003</v>
      </c>
      <c r="I236" s="86">
        <v>8.8661270000000005</v>
      </c>
      <c r="J236" s="94">
        <v>3.6482059626310002</v>
      </c>
      <c r="K236" s="86">
        <v>8.1063460000000003</v>
      </c>
      <c r="L236" s="94">
        <v>4.7349020516299998</v>
      </c>
      <c r="M236" s="86">
        <v>8.0720159999999996</v>
      </c>
      <c r="N236" s="94">
        <v>7.9818359519840003</v>
      </c>
    </row>
    <row r="237" spans="2:14">
      <c r="B237" s="88">
        <v>8.8936119999999992</v>
      </c>
      <c r="C237" s="87">
        <v>0.87210286000000004</v>
      </c>
      <c r="D237" s="88">
        <v>8.1336539999999999</v>
      </c>
      <c r="E237" s="87">
        <v>0.84752685000000005</v>
      </c>
      <c r="F237" s="88">
        <v>8.0869260000000001</v>
      </c>
      <c r="G237" s="87">
        <v>0.66231269999999998</v>
      </c>
      <c r="I237" s="86">
        <v>8.8936119999999992</v>
      </c>
      <c r="J237" s="94">
        <v>3.6770646167795999</v>
      </c>
      <c r="K237" s="86">
        <v>8.1336539999999999</v>
      </c>
      <c r="L237" s="94">
        <v>4.755892892706</v>
      </c>
      <c r="M237" s="86">
        <v>8.0869260000000001</v>
      </c>
      <c r="N237" s="94">
        <v>8.0253688762898996</v>
      </c>
    </row>
    <row r="238" spans="2:14">
      <c r="B238" s="88">
        <v>8.9206939999999992</v>
      </c>
      <c r="C238" s="87">
        <v>0.86919146999999997</v>
      </c>
      <c r="D238" s="88">
        <v>8.1586200000000009</v>
      </c>
      <c r="E238" s="87">
        <v>0.84480672999999995</v>
      </c>
      <c r="F238" s="88">
        <v>8.1014330000000001</v>
      </c>
      <c r="G238" s="87">
        <v>0.65878749999999997</v>
      </c>
      <c r="I238" s="86">
        <v>8.9206939999999992</v>
      </c>
      <c r="J238" s="94">
        <v>3.7065944956698003</v>
      </c>
      <c r="K238" s="86">
        <v>8.1586200000000009</v>
      </c>
      <c r="L238" s="94">
        <v>4.7779864232799998</v>
      </c>
      <c r="M238" s="86">
        <v>8.1014330000000001</v>
      </c>
      <c r="N238" s="94">
        <v>8.0699644062051998</v>
      </c>
    </row>
    <row r="239" spans="2:14">
      <c r="B239" s="88">
        <v>8.9470320000000001</v>
      </c>
      <c r="C239" s="87">
        <v>0.86624014000000005</v>
      </c>
      <c r="D239" s="88">
        <v>8.1851079999999996</v>
      </c>
      <c r="E239" s="87">
        <v>0.84208660000000002</v>
      </c>
      <c r="F239" s="88">
        <v>8.1164400000000008</v>
      </c>
      <c r="G239" s="87">
        <v>0.65526234999999999</v>
      </c>
      <c r="I239" s="86">
        <v>8.9470320000000001</v>
      </c>
      <c r="J239" s="94">
        <v>3.7368369008093003</v>
      </c>
      <c r="K239" s="86">
        <v>8.1851079999999996</v>
      </c>
      <c r="L239" s="94">
        <v>4.8000799538544996</v>
      </c>
      <c r="M239" s="86">
        <v>8.1164400000000008</v>
      </c>
      <c r="N239" s="94">
        <v>8.1145601361205006</v>
      </c>
    </row>
    <row r="240" spans="2:14">
      <c r="B240" s="88">
        <v>8.9731030000000001</v>
      </c>
      <c r="C240" s="87">
        <v>0.86325280000000004</v>
      </c>
      <c r="D240" s="88">
        <v>8.2090689999999995</v>
      </c>
      <c r="E240" s="87">
        <v>0.83929514999999999</v>
      </c>
      <c r="F240" s="88">
        <v>8.1319839999999992</v>
      </c>
      <c r="G240" s="87">
        <v>0.65173714999999999</v>
      </c>
      <c r="I240" s="86">
        <v>8.9731030000000001</v>
      </c>
      <c r="J240" s="94">
        <v>3.7677263253230002</v>
      </c>
      <c r="K240" s="86">
        <v>8.2090689999999995</v>
      </c>
      <c r="L240" s="94">
        <v>4.8236780675170001</v>
      </c>
      <c r="M240" s="86">
        <v>8.1319839999999992</v>
      </c>
      <c r="N240" s="94">
        <v>8.1591556660359004</v>
      </c>
    </row>
    <row r="241" spans="2:14">
      <c r="B241" s="88">
        <v>8.9984400000000004</v>
      </c>
      <c r="C241" s="87">
        <v>0.86022419999999999</v>
      </c>
      <c r="D241" s="88">
        <v>8.2305919999999997</v>
      </c>
      <c r="E241" s="87">
        <v>0.83644229999999997</v>
      </c>
      <c r="F241" s="88">
        <v>8.148028</v>
      </c>
      <c r="G241" s="87">
        <v>0.64820979999999995</v>
      </c>
      <c r="I241" s="86">
        <v>8.9984400000000004</v>
      </c>
      <c r="J241" s="94">
        <v>3.7993592720840001</v>
      </c>
      <c r="K241" s="86">
        <v>8.2305919999999997</v>
      </c>
      <c r="L241" s="94">
        <v>4.8485700526494</v>
      </c>
      <c r="M241" s="86">
        <v>8.148028</v>
      </c>
      <c r="N241" s="94">
        <v>8.2038459963551986</v>
      </c>
    </row>
    <row r="242" spans="2:14">
      <c r="B242" s="88">
        <v>9.0229060000000008</v>
      </c>
      <c r="C242" s="87">
        <v>0.85714420000000002</v>
      </c>
      <c r="D242" s="88">
        <v>8.2532359999999994</v>
      </c>
      <c r="E242" s="87">
        <v>0.83358942999999996</v>
      </c>
      <c r="F242" s="88">
        <v>8.1619949999999992</v>
      </c>
      <c r="G242" s="87">
        <v>0.64460826000000004</v>
      </c>
      <c r="I242" s="86">
        <v>9.0229060000000008</v>
      </c>
      <c r="J242" s="94">
        <v>3.8319271409091997</v>
      </c>
      <c r="K242" s="86">
        <v>8.2532359999999994</v>
      </c>
      <c r="L242" s="94">
        <v>4.8734617377816001</v>
      </c>
      <c r="M242" s="86">
        <v>8.1619949999999992</v>
      </c>
      <c r="N242" s="94">
        <v>8.2517306403288995</v>
      </c>
    </row>
    <row r="243" spans="2:14">
      <c r="B243" s="88">
        <v>9.0456310000000002</v>
      </c>
      <c r="C243" s="87">
        <v>0.85400039999999999</v>
      </c>
      <c r="D243" s="88">
        <v>8.2771249999999998</v>
      </c>
      <c r="E243" s="87">
        <v>0.83073664000000003</v>
      </c>
      <c r="F243" s="88">
        <v>8.1764259999999993</v>
      </c>
      <c r="G243" s="87">
        <v>0.64100670000000004</v>
      </c>
      <c r="I243" s="86">
        <v>9.0456310000000002</v>
      </c>
      <c r="J243" s="94">
        <v>3.8656576371674003</v>
      </c>
      <c r="K243" s="86">
        <v>8.2771249999999998</v>
      </c>
      <c r="L243" s="94">
        <v>4.8983540229140008</v>
      </c>
      <c r="M243" s="86">
        <v>8.1764259999999993</v>
      </c>
      <c r="N243" s="94">
        <v>8.2996149843026998</v>
      </c>
    </row>
    <row r="244" spans="2:14">
      <c r="B244" s="88">
        <v>9.0696119999999993</v>
      </c>
      <c r="C244" s="87">
        <v>0.85085653999999999</v>
      </c>
      <c r="D244" s="88">
        <v>8.3024070000000005</v>
      </c>
      <c r="E244" s="87">
        <v>0.82788379999999995</v>
      </c>
      <c r="F244" s="88">
        <v>8.1913529999999994</v>
      </c>
      <c r="G244" s="87">
        <v>0.63740516000000003</v>
      </c>
      <c r="I244" s="86">
        <v>9.0696119999999993</v>
      </c>
      <c r="J244" s="94">
        <v>3.8993884334252997</v>
      </c>
      <c r="K244" s="86">
        <v>8.3024070000000005</v>
      </c>
      <c r="L244" s="94">
        <v>4.9232459080464004</v>
      </c>
      <c r="M244" s="86">
        <v>8.1913529999999994</v>
      </c>
      <c r="N244" s="94">
        <v>8.3474989282765009</v>
      </c>
    </row>
    <row r="245" spans="2:14">
      <c r="B245" s="88">
        <v>9.0949939999999998</v>
      </c>
      <c r="C245" s="87">
        <v>0.84771269999999999</v>
      </c>
      <c r="D245" s="88">
        <v>8.3292509999999993</v>
      </c>
      <c r="E245" s="87">
        <v>0.82503090000000001</v>
      </c>
      <c r="F245" s="88">
        <v>8.2068110000000001</v>
      </c>
      <c r="G245" s="87">
        <v>0.63380360000000002</v>
      </c>
      <c r="I245" s="86">
        <v>9.0949939999999998</v>
      </c>
      <c r="J245" s="94">
        <v>3.9331190296835006</v>
      </c>
      <c r="K245" s="86">
        <v>8.3292509999999993</v>
      </c>
      <c r="L245" s="94">
        <v>4.9481376931785004</v>
      </c>
      <c r="M245" s="86">
        <v>8.2068110000000001</v>
      </c>
      <c r="N245" s="94">
        <v>8.3953831722503001</v>
      </c>
    </row>
    <row r="246" spans="2:14">
      <c r="B246" s="88">
        <v>9.119218</v>
      </c>
      <c r="C246" s="87">
        <v>0.84450729999999996</v>
      </c>
      <c r="D246" s="88">
        <v>8.3524600000000007</v>
      </c>
      <c r="E246" s="87">
        <v>0.82208769999999998</v>
      </c>
      <c r="F246" s="88">
        <v>8.2215640000000008</v>
      </c>
      <c r="G246" s="87">
        <v>0.63016760000000005</v>
      </c>
      <c r="I246" s="86">
        <v>9.119218</v>
      </c>
      <c r="J246" s="94">
        <v>3.9679921461857002</v>
      </c>
      <c r="K246" s="86">
        <v>8.3524600000000007</v>
      </c>
      <c r="L246" s="94">
        <v>4.9749616577550002</v>
      </c>
      <c r="M246" s="86">
        <v>8.2215640000000008</v>
      </c>
      <c r="N246" s="94">
        <v>8.4449055216187006</v>
      </c>
    </row>
    <row r="247" spans="2:14">
      <c r="B247" s="88">
        <v>9.1406720000000004</v>
      </c>
      <c r="C247" s="87">
        <v>0.84121190000000001</v>
      </c>
      <c r="D247" s="88">
        <v>8.3748780000000007</v>
      </c>
      <c r="E247" s="87">
        <v>0.81910720000000004</v>
      </c>
      <c r="F247" s="88">
        <v>8.2354810000000001</v>
      </c>
      <c r="G247" s="87">
        <v>0.62649613999999998</v>
      </c>
      <c r="I247" s="86">
        <v>9.1406720000000004</v>
      </c>
      <c r="J247" s="94">
        <v>4.0045348922669994</v>
      </c>
      <c r="K247" s="86">
        <v>8.3748780000000007</v>
      </c>
      <c r="L247" s="94">
        <v>5.0025892508355998</v>
      </c>
      <c r="M247" s="86">
        <v>8.2354810000000001</v>
      </c>
      <c r="N247" s="94">
        <v>8.4961135765380007</v>
      </c>
    </row>
    <row r="248" spans="2:14">
      <c r="B248" s="88">
        <v>9.1632394999999995</v>
      </c>
      <c r="C248" s="87">
        <v>0.83791654999999998</v>
      </c>
      <c r="D248" s="88">
        <v>8.3971350000000005</v>
      </c>
      <c r="E248" s="87">
        <v>0.81609960000000004</v>
      </c>
      <c r="F248" s="88">
        <v>8.2498590000000007</v>
      </c>
      <c r="G248" s="87">
        <v>0.62282470000000001</v>
      </c>
      <c r="I248" s="86">
        <v>9.1632394999999995</v>
      </c>
      <c r="J248" s="94">
        <v>4.0410777383483003</v>
      </c>
      <c r="K248" s="86">
        <v>8.3971350000000005</v>
      </c>
      <c r="L248" s="94">
        <v>5.0308048608386997</v>
      </c>
      <c r="M248" s="86">
        <v>8.2498590000000007</v>
      </c>
      <c r="N248" s="94">
        <v>8.5473216314573008</v>
      </c>
    </row>
    <row r="249" spans="2:14">
      <c r="B249" s="88">
        <v>9.1870460000000005</v>
      </c>
      <c r="C249" s="87">
        <v>0.83462119999999995</v>
      </c>
      <c r="D249" s="88">
        <v>8.4176979999999997</v>
      </c>
      <c r="E249" s="87">
        <v>0.813029</v>
      </c>
      <c r="F249" s="88">
        <v>8.2647290000000009</v>
      </c>
      <c r="G249" s="87">
        <v>0.61915330000000002</v>
      </c>
      <c r="I249" s="86">
        <v>9.1870460000000005</v>
      </c>
      <c r="J249" s="94">
        <v>4.0776202844295</v>
      </c>
      <c r="K249" s="86">
        <v>8.4176979999999997</v>
      </c>
      <c r="L249" s="94">
        <v>5.0604028073584004</v>
      </c>
      <c r="M249" s="86">
        <v>8.2647290000000009</v>
      </c>
      <c r="N249" s="94">
        <v>8.5985293863764003</v>
      </c>
    </row>
    <row r="250" spans="2:14">
      <c r="B250" s="88">
        <v>9.2100725000000008</v>
      </c>
      <c r="C250" s="87">
        <v>0.83127147000000001</v>
      </c>
      <c r="D250" s="88">
        <v>8.4391429999999996</v>
      </c>
      <c r="E250" s="87">
        <v>0.80995554000000003</v>
      </c>
      <c r="F250" s="88">
        <v>8.2801259999999992</v>
      </c>
      <c r="G250" s="87">
        <v>0.61548190000000003</v>
      </c>
      <c r="I250" s="86">
        <v>9.2100725000000008</v>
      </c>
      <c r="J250" s="94">
        <v>4.1151989437934997</v>
      </c>
      <c r="K250" s="86">
        <v>8.4391429999999996</v>
      </c>
      <c r="L250" s="94">
        <v>5.0900648555619998</v>
      </c>
      <c r="M250" s="86">
        <v>8.2801259999999992</v>
      </c>
      <c r="N250" s="94">
        <v>8.6497373412957508</v>
      </c>
    </row>
    <row r="251" spans="2:14">
      <c r="B251" s="88">
        <v>9.2304739999999992</v>
      </c>
      <c r="C251" s="87">
        <v>0.82782805000000004</v>
      </c>
      <c r="D251" s="88">
        <v>8.4613510000000005</v>
      </c>
      <c r="E251" s="87">
        <v>0.80687374000000001</v>
      </c>
      <c r="F251" s="88">
        <v>8.2936840000000007</v>
      </c>
      <c r="G251" s="87">
        <v>0.61175036000000005</v>
      </c>
      <c r="I251" s="86">
        <v>9.2304739999999992</v>
      </c>
      <c r="J251" s="94">
        <v>4.1545654260795999</v>
      </c>
      <c r="K251" s="86">
        <v>8.4613510000000005</v>
      </c>
      <c r="L251" s="94">
        <v>5.119912407808501</v>
      </c>
      <c r="M251" s="86">
        <v>8.2936840000000007</v>
      </c>
      <c r="N251" s="94">
        <v>8.7041559045451997</v>
      </c>
    </row>
    <row r="252" spans="2:14">
      <c r="B252" s="88">
        <v>9.2518820000000002</v>
      </c>
      <c r="C252" s="87">
        <v>0.82438456999999998</v>
      </c>
      <c r="D252" s="88">
        <v>8.4812419999999999</v>
      </c>
      <c r="E252" s="87">
        <v>0.80371309999999996</v>
      </c>
      <c r="F252" s="88">
        <v>8.3075690000000009</v>
      </c>
      <c r="G252" s="87">
        <v>0.60801612999999999</v>
      </c>
      <c r="I252" s="86">
        <v>9.2518820000000002</v>
      </c>
      <c r="J252" s="94">
        <v>4.1939319083655002</v>
      </c>
      <c r="K252" s="86">
        <v>8.4812419999999999</v>
      </c>
      <c r="L252" s="94">
        <v>5.1515187984023001</v>
      </c>
      <c r="M252" s="86">
        <v>8.3075690000000009</v>
      </c>
      <c r="N252" s="94">
        <v>8.7587185681689999</v>
      </c>
    </row>
    <row r="253" spans="2:14">
      <c r="B253" s="88">
        <v>9.2744</v>
      </c>
      <c r="C253" s="87">
        <v>0.82094115000000001</v>
      </c>
      <c r="D253" s="88">
        <v>8.5020889999999998</v>
      </c>
      <c r="E253" s="87">
        <v>0.80055240000000005</v>
      </c>
      <c r="F253" s="88">
        <v>8.3219119999999993</v>
      </c>
      <c r="G253" s="87">
        <v>0.60428190000000004</v>
      </c>
      <c r="I253" s="86">
        <v>9.2744</v>
      </c>
      <c r="J253" s="94">
        <v>4.2332982906516001</v>
      </c>
      <c r="K253" s="86">
        <v>8.5020889999999998</v>
      </c>
      <c r="L253" s="94">
        <v>5.1831251889964003</v>
      </c>
      <c r="M253" s="86">
        <v>8.3219119999999993</v>
      </c>
      <c r="N253" s="94">
        <v>8.8132814317929302</v>
      </c>
    </row>
    <row r="254" spans="2:14">
      <c r="B254" s="88">
        <v>9.2964319999999994</v>
      </c>
      <c r="C254" s="87">
        <v>0.81745076000000005</v>
      </c>
      <c r="D254" s="88">
        <v>8.5231779999999997</v>
      </c>
      <c r="E254" s="87">
        <v>0.79737150000000001</v>
      </c>
      <c r="F254" s="88">
        <v>8.3367439999999995</v>
      </c>
      <c r="G254" s="87">
        <v>0.60054770000000002</v>
      </c>
      <c r="I254" s="86">
        <v>9.2964319999999994</v>
      </c>
      <c r="J254" s="94">
        <v>4.2735903817278995</v>
      </c>
      <c r="K254" s="86">
        <v>8.5231779999999997</v>
      </c>
      <c r="L254" s="94">
        <v>5.2151925877686001</v>
      </c>
      <c r="M254" s="86">
        <v>8.3367439999999995</v>
      </c>
      <c r="N254" s="94">
        <v>8.8678444954168008</v>
      </c>
    </row>
    <row r="255" spans="2:14">
      <c r="B255" s="88">
        <v>9.3159430000000008</v>
      </c>
      <c r="C255" s="87">
        <v>0.81386393000000001</v>
      </c>
      <c r="D255" s="88">
        <v>8.5425839999999997</v>
      </c>
      <c r="E255" s="87">
        <v>0.79412470000000002</v>
      </c>
      <c r="F255" s="88">
        <v>8.3513300000000008</v>
      </c>
      <c r="G255" s="87">
        <v>0.59679556</v>
      </c>
      <c r="I255" s="86">
        <v>9.3159430000000008</v>
      </c>
      <c r="J255" s="94">
        <v>4.3157843908595996</v>
      </c>
      <c r="K255" s="86">
        <v>8.5425839999999997</v>
      </c>
      <c r="L255" s="94">
        <v>5.2487618131901996</v>
      </c>
      <c r="M255" s="86">
        <v>8.3513300000000008</v>
      </c>
      <c r="N255" s="94">
        <v>8.9234741613501996</v>
      </c>
    </row>
    <row r="256" spans="2:14">
      <c r="B256" s="88">
        <v>9.336373</v>
      </c>
      <c r="C256" s="87">
        <v>0.81027709999999997</v>
      </c>
      <c r="D256" s="88">
        <v>8.5628989999999998</v>
      </c>
      <c r="E256" s="87">
        <v>0.79087794</v>
      </c>
      <c r="F256" s="88">
        <v>8.3653259999999996</v>
      </c>
      <c r="G256" s="87">
        <v>0.59301895000000004</v>
      </c>
      <c r="I256" s="86">
        <v>9.336373</v>
      </c>
      <c r="J256" s="94">
        <v>4.3579779999913004</v>
      </c>
      <c r="K256" s="86">
        <v>8.5628989999999998</v>
      </c>
      <c r="L256" s="94">
        <v>5.2823307386118001</v>
      </c>
      <c r="M256" s="86">
        <v>8.3653259999999996</v>
      </c>
      <c r="N256" s="94">
        <v>8.9805708304585714</v>
      </c>
    </row>
    <row r="257" spans="2:14">
      <c r="B257" s="88">
        <v>9.3578119999999991</v>
      </c>
      <c r="C257" s="87">
        <v>0.80669033999999995</v>
      </c>
      <c r="D257" s="88">
        <v>8.5830059999999992</v>
      </c>
      <c r="E257" s="87">
        <v>0.78759944000000004</v>
      </c>
      <c r="F257" s="88">
        <v>8.3796130000000009</v>
      </c>
      <c r="G257" s="87">
        <v>0.58923840000000005</v>
      </c>
      <c r="I257" s="86">
        <v>9.3578119999999991</v>
      </c>
      <c r="J257" s="94">
        <v>4.400171809123</v>
      </c>
      <c r="K257" s="86">
        <v>8.5830059999999992</v>
      </c>
      <c r="L257" s="94">
        <v>5.3166401744690006</v>
      </c>
      <c r="M257" s="86">
        <v>8.3796130000000009</v>
      </c>
      <c r="N257" s="94">
        <v>9.0379271000263</v>
      </c>
    </row>
    <row r="258" spans="2:14">
      <c r="B258" s="88">
        <v>9.3792969999999993</v>
      </c>
      <c r="C258" s="87">
        <v>0.80307360000000005</v>
      </c>
      <c r="D258" s="88">
        <v>8.6019850000000009</v>
      </c>
      <c r="E258" s="87">
        <v>0.78426795999999999</v>
      </c>
      <c r="F258" s="88">
        <v>8.3933850000000003</v>
      </c>
      <c r="G258" s="87">
        <v>0.58543617000000003</v>
      </c>
      <c r="I258" s="86">
        <v>9.3792969999999993</v>
      </c>
      <c r="J258" s="94">
        <v>4.4429756227719999</v>
      </c>
      <c r="K258" s="86">
        <v>8.6019850000000009</v>
      </c>
      <c r="L258" s="94">
        <v>5.3521875277720001</v>
      </c>
      <c r="M258" s="86">
        <v>8.3933850000000003</v>
      </c>
      <c r="N258" s="94">
        <v>9.0967206721342002</v>
      </c>
    </row>
    <row r="259" spans="2:14">
      <c r="B259" s="88">
        <v>9.3991369999999996</v>
      </c>
      <c r="C259" s="87">
        <v>0.79938279999999995</v>
      </c>
      <c r="D259" s="88">
        <v>8.6218319999999995</v>
      </c>
      <c r="E259" s="87">
        <v>0.78093650000000003</v>
      </c>
      <c r="F259" s="88">
        <v>8.4076079999999997</v>
      </c>
      <c r="G259" s="87">
        <v>0.58163390000000004</v>
      </c>
      <c r="I259" s="86">
        <v>9.3991369999999996</v>
      </c>
      <c r="J259" s="94">
        <v>4.4872880475891996</v>
      </c>
      <c r="K259" s="86">
        <v>8.6218319999999995</v>
      </c>
      <c r="L259" s="94">
        <v>5.3877342810749997</v>
      </c>
      <c r="M259" s="86">
        <v>8.4076079999999997</v>
      </c>
      <c r="N259" s="94">
        <v>9.1555146442420501</v>
      </c>
    </row>
    <row r="260" spans="2:14">
      <c r="B260" s="88">
        <v>9.4193219999999993</v>
      </c>
      <c r="C260" s="87">
        <v>0.79567399999999999</v>
      </c>
      <c r="D260" s="88">
        <v>8.6404270000000007</v>
      </c>
      <c r="E260" s="87">
        <v>0.77754146000000002</v>
      </c>
      <c r="F260" s="88">
        <v>8.4208280000000002</v>
      </c>
      <c r="G260" s="87">
        <v>0.57780120000000001</v>
      </c>
      <c r="I260" s="86">
        <v>9.4193219999999993</v>
      </c>
      <c r="J260" s="94">
        <v>4.5319785747561001</v>
      </c>
      <c r="K260" s="86">
        <v>8.6404270000000007</v>
      </c>
      <c r="L260" s="94">
        <v>5.4248197511987</v>
      </c>
      <c r="M260" s="86">
        <v>8.4208280000000002</v>
      </c>
      <c r="N260" s="94">
        <v>9.2165729198506998</v>
      </c>
    </row>
    <row r="261" spans="2:14">
      <c r="B261" s="88">
        <v>9.4387670000000004</v>
      </c>
      <c r="C261" s="87">
        <v>0.79191613000000005</v>
      </c>
      <c r="D261" s="88">
        <v>8.6576839999999997</v>
      </c>
      <c r="E261" s="87">
        <v>0.7740863</v>
      </c>
      <c r="F261" s="88">
        <v>8.4342649999999999</v>
      </c>
      <c r="G261" s="87">
        <v>0.57396453999999997</v>
      </c>
      <c r="I261" s="86">
        <v>9.4387670000000004</v>
      </c>
      <c r="J261" s="94">
        <v>4.577700308332</v>
      </c>
      <c r="K261" s="86">
        <v>8.6576839999999997</v>
      </c>
      <c r="L261" s="94">
        <v>5.4633615372440003</v>
      </c>
      <c r="M261" s="86">
        <v>8.4342649999999999</v>
      </c>
      <c r="N261" s="94">
        <v>9.27792469591326</v>
      </c>
    </row>
    <row r="262" spans="2:14">
      <c r="B262" s="88">
        <v>9.4583560000000002</v>
      </c>
      <c r="C262" s="87">
        <v>0.78813409999999995</v>
      </c>
      <c r="D262" s="88">
        <v>8.675656</v>
      </c>
      <c r="E262" s="87">
        <v>0.77063113000000005</v>
      </c>
      <c r="F262" s="88">
        <v>8.4354669999999992</v>
      </c>
      <c r="G262" s="87">
        <v>0.57398839999999995</v>
      </c>
      <c r="I262" s="86">
        <v>9.4583560000000002</v>
      </c>
      <c r="J262" s="94">
        <v>4.6239457446246996</v>
      </c>
      <c r="K262" s="86">
        <v>8.675656</v>
      </c>
      <c r="L262" s="94">
        <v>5.5019028232895995</v>
      </c>
      <c r="M262" s="86">
        <v>8.4354669999999992</v>
      </c>
      <c r="N262" s="94">
        <v>9.2760423931881313</v>
      </c>
    </row>
    <row r="263" spans="2:14">
      <c r="B263" s="88">
        <v>9.4764440000000008</v>
      </c>
      <c r="C263" s="87">
        <v>0.78427919999999995</v>
      </c>
      <c r="D263" s="88">
        <v>8.6944040000000005</v>
      </c>
      <c r="E263" s="87">
        <v>0.76717599999999997</v>
      </c>
      <c r="F263" s="88">
        <v>8.4492809999999992</v>
      </c>
      <c r="G263" s="87">
        <v>0.57014995999999996</v>
      </c>
      <c r="I263" s="86">
        <v>9.4764440000000008</v>
      </c>
      <c r="J263" s="94">
        <v>4.6717746891304994</v>
      </c>
      <c r="K263" s="86">
        <v>8.6944040000000005</v>
      </c>
      <c r="L263" s="94">
        <v>5.5404441093350005</v>
      </c>
      <c r="M263" s="86">
        <v>8.4492809999999992</v>
      </c>
      <c r="N263" s="94">
        <v>9.3375080694602701</v>
      </c>
    </row>
    <row r="264" spans="2:14">
      <c r="B264" s="88">
        <v>9.4953190000000003</v>
      </c>
      <c r="C264" s="87">
        <v>0.78042436000000004</v>
      </c>
      <c r="D264" s="88">
        <v>8.7139980000000001</v>
      </c>
      <c r="E264" s="87">
        <v>0.76372087</v>
      </c>
      <c r="F264" s="88">
        <v>8.462923</v>
      </c>
      <c r="G264" s="87">
        <v>0.56630000000000003</v>
      </c>
      <c r="I264" s="86">
        <v>9.4953190000000003</v>
      </c>
      <c r="J264" s="94">
        <v>4.7196036336363001</v>
      </c>
      <c r="K264" s="86">
        <v>8.7139980000000001</v>
      </c>
      <c r="L264" s="94">
        <v>5.5789854953803992</v>
      </c>
      <c r="M264" s="86">
        <v>8.462923</v>
      </c>
      <c r="N264" s="94">
        <v>9.3999447470397008</v>
      </c>
    </row>
    <row r="265" spans="2:14">
      <c r="B265" s="88">
        <v>9.5150509999999997</v>
      </c>
      <c r="C265" s="87">
        <v>0.77656950000000002</v>
      </c>
      <c r="D265" s="88">
        <v>8.7345170000000003</v>
      </c>
      <c r="E265" s="87">
        <v>0.76026570000000004</v>
      </c>
      <c r="F265" s="88">
        <v>8.4759810000000009</v>
      </c>
      <c r="G265" s="87">
        <v>0.56243175000000001</v>
      </c>
      <c r="I265" s="86">
        <v>9.5150509999999997</v>
      </c>
      <c r="J265" s="94">
        <v>4.7674324781420996</v>
      </c>
      <c r="K265" s="86">
        <v>8.7345170000000003</v>
      </c>
      <c r="L265" s="94">
        <v>5.6175269814259003</v>
      </c>
      <c r="M265" s="86">
        <v>8.4759810000000009</v>
      </c>
      <c r="N265" s="94">
        <v>9.4640142266760492</v>
      </c>
    </row>
    <row r="266" spans="2:14">
      <c r="B266" s="88">
        <v>9.534891</v>
      </c>
      <c r="C266" s="87">
        <v>0.77268899999999996</v>
      </c>
      <c r="D266" s="88">
        <v>8.7516960000000008</v>
      </c>
      <c r="E266" s="87">
        <v>0.75668572999999995</v>
      </c>
      <c r="F266" s="88">
        <v>8.4894429999999996</v>
      </c>
      <c r="G266" s="87">
        <v>0.55856353000000003</v>
      </c>
      <c r="I266" s="86">
        <v>9.534891</v>
      </c>
      <c r="J266" s="94">
        <v>4.8158457250790603</v>
      </c>
      <c r="K266" s="86">
        <v>8.7516960000000008</v>
      </c>
      <c r="L266" s="94">
        <v>5.6592600928534003</v>
      </c>
      <c r="M266" s="86">
        <v>8.4894429999999996</v>
      </c>
      <c r="N266" s="94">
        <v>9.5280838063124005</v>
      </c>
    </row>
    <row r="267" spans="2:14">
      <c r="B267" s="88">
        <v>9.5523969999999991</v>
      </c>
      <c r="C267" s="87">
        <v>0.76871149999999999</v>
      </c>
      <c r="D267" s="88">
        <v>8.7683999999999997</v>
      </c>
      <c r="E267" s="87">
        <v>0.75307316000000002</v>
      </c>
      <c r="F267" s="88">
        <v>8.5033359999999991</v>
      </c>
      <c r="G267" s="87">
        <v>0.5546953</v>
      </c>
      <c r="I267" s="86">
        <v>9.5523969999999991</v>
      </c>
      <c r="J267" s="94">
        <v>4.8664684812112995</v>
      </c>
      <c r="K267" s="86">
        <v>8.7683999999999997</v>
      </c>
      <c r="L267" s="94">
        <v>5.7018279109219998</v>
      </c>
      <c r="M267" s="86">
        <v>8.5033359999999991</v>
      </c>
      <c r="N267" s="94">
        <v>9.59215408594876</v>
      </c>
    </row>
    <row r="268" spans="2:14">
      <c r="B268" s="88">
        <v>9.5706380000000006</v>
      </c>
      <c r="C268" s="87">
        <v>0.76473400000000002</v>
      </c>
      <c r="D268" s="88">
        <v>8.7857730000000007</v>
      </c>
      <c r="E268" s="87">
        <v>0.74946060000000003</v>
      </c>
      <c r="F268" s="88">
        <v>8.5176879999999997</v>
      </c>
      <c r="G268" s="87">
        <v>0.55082710000000001</v>
      </c>
      <c r="I268" s="86">
        <v>9.5706380000000006</v>
      </c>
      <c r="J268" s="94">
        <v>4.9170913373436003</v>
      </c>
      <c r="K268" s="86">
        <v>8.7857730000000007</v>
      </c>
      <c r="L268" s="94">
        <v>5.7443959289907003</v>
      </c>
      <c r="M268" s="86">
        <v>8.5176879999999997</v>
      </c>
      <c r="N268" s="94">
        <v>9.6562236655851201</v>
      </c>
    </row>
    <row r="269" spans="2:14">
      <c r="B269" s="88">
        <v>9.5894840000000006</v>
      </c>
      <c r="C269" s="87">
        <v>0.76079637</v>
      </c>
      <c r="D269" s="88">
        <v>8.8038509999999999</v>
      </c>
      <c r="E269" s="87">
        <v>0.74585164000000004</v>
      </c>
      <c r="F269" s="88">
        <v>8.5307460000000006</v>
      </c>
      <c r="G269" s="87">
        <v>0.54693219999999998</v>
      </c>
      <c r="I269" s="86">
        <v>9.5894840000000006</v>
      </c>
      <c r="J269" s="94">
        <v>4.9672080939145005</v>
      </c>
      <c r="K269" s="86">
        <v>8.8038509999999999</v>
      </c>
      <c r="L269" s="94">
        <v>5.7869215471412998</v>
      </c>
      <c r="M269" s="86">
        <v>8.5307460000000006</v>
      </c>
      <c r="N269" s="94">
        <v>9.7231274482578502</v>
      </c>
    </row>
    <row r="270" spans="2:14">
      <c r="B270" s="88">
        <v>9.5907660000000003</v>
      </c>
      <c r="C270" s="87">
        <v>0.76083540000000005</v>
      </c>
      <c r="D270" s="88">
        <v>8.8070970000000006</v>
      </c>
      <c r="E270" s="87">
        <v>0.74594879999999997</v>
      </c>
      <c r="F270" s="88">
        <v>8.543927</v>
      </c>
      <c r="G270" s="87">
        <v>0.54303323999999997</v>
      </c>
      <c r="I270" s="86">
        <v>9.5907660000000003</v>
      </c>
      <c r="J270" s="94">
        <v>4.9662825908560002</v>
      </c>
      <c r="K270" s="86">
        <v>8.8070970000000006</v>
      </c>
      <c r="L270" s="94">
        <v>5.7843353306283003</v>
      </c>
      <c r="M270" s="86">
        <v>8.543927</v>
      </c>
      <c r="N270" s="94">
        <v>9.7904675313977503</v>
      </c>
    </row>
    <row r="271" spans="2:14">
      <c r="B271" s="88">
        <v>9.6090149999999994</v>
      </c>
      <c r="C271" s="87">
        <v>0.75680829999999999</v>
      </c>
      <c r="D271" s="88">
        <v>8.8247269999999993</v>
      </c>
      <c r="E271" s="87">
        <v>0.74229699999999998</v>
      </c>
      <c r="F271" s="88">
        <v>8.5575209999999995</v>
      </c>
      <c r="G271" s="87">
        <v>0.53913425999999998</v>
      </c>
      <c r="I271" s="86">
        <v>9.6090149999999994</v>
      </c>
      <c r="J271" s="94">
        <v>5.0180852512794996</v>
      </c>
      <c r="K271" s="86">
        <v>8.8247269999999993</v>
      </c>
      <c r="L271" s="94">
        <v>5.8279396555303</v>
      </c>
      <c r="M271" s="86">
        <v>8.5575209999999995</v>
      </c>
      <c r="N271" s="94">
        <v>9.8578075145376491</v>
      </c>
    </row>
    <row r="272" spans="2:14">
      <c r="B272" s="88">
        <v>9.6269829999999992</v>
      </c>
      <c r="C272" s="87">
        <v>0.75274825000000001</v>
      </c>
      <c r="D272" s="88">
        <v>8.8420559999999995</v>
      </c>
      <c r="E272" s="87">
        <v>0.73861370000000004</v>
      </c>
      <c r="F272" s="88">
        <v>8.5715529999999998</v>
      </c>
      <c r="G272" s="87">
        <v>0.53523529999999997</v>
      </c>
      <c r="I272" s="86">
        <v>9.6269829999999992</v>
      </c>
      <c r="J272" s="94">
        <v>5.0706958142413008</v>
      </c>
      <c r="K272" s="86">
        <v>8.8420559999999995</v>
      </c>
      <c r="L272" s="94">
        <v>5.8724111853038004</v>
      </c>
      <c r="M272" s="86">
        <v>8.5715529999999998</v>
      </c>
      <c r="N272" s="94">
        <v>9.9251479976775503</v>
      </c>
    </row>
    <row r="273" spans="2:14">
      <c r="B273" s="88">
        <v>9.6442560000000004</v>
      </c>
      <c r="C273" s="87">
        <v>0.74864350000000002</v>
      </c>
      <c r="D273" s="88">
        <v>8.8585609999999999</v>
      </c>
      <c r="E273" s="87">
        <v>0.73488306999999997</v>
      </c>
      <c r="F273" s="88">
        <v>8.5844719999999999</v>
      </c>
      <c r="G273" s="87">
        <v>0.53131919999999999</v>
      </c>
      <c r="I273" s="86">
        <v>9.6442560000000004</v>
      </c>
      <c r="J273" s="94">
        <v>5.1244282804942998</v>
      </c>
      <c r="K273" s="86">
        <v>8.8585609999999999</v>
      </c>
      <c r="L273" s="94">
        <v>5.9182063219565997</v>
      </c>
      <c r="M273" s="86">
        <v>8.5844719999999999</v>
      </c>
      <c r="N273" s="94">
        <v>9.9952610831004804</v>
      </c>
    </row>
    <row r="274" spans="2:14">
      <c r="B274" s="88">
        <v>9.6622430000000001</v>
      </c>
      <c r="C274" s="87">
        <v>0.74453879999999995</v>
      </c>
      <c r="D274" s="88">
        <v>8.8757160000000006</v>
      </c>
      <c r="E274" s="87">
        <v>0.73115240000000004</v>
      </c>
      <c r="F274" s="88">
        <v>8.5965140000000009</v>
      </c>
      <c r="G274" s="87">
        <v>0.52738976000000004</v>
      </c>
      <c r="I274" s="86">
        <v>9.6622430000000001</v>
      </c>
      <c r="J274" s="94">
        <v>5.1781611467472501</v>
      </c>
      <c r="K274" s="86">
        <v>8.8757160000000006</v>
      </c>
      <c r="L274" s="94">
        <v>5.9640013586093996</v>
      </c>
      <c r="M274" s="86">
        <v>8.5965140000000009</v>
      </c>
      <c r="N274" s="94">
        <v>10.06754377030958</v>
      </c>
    </row>
    <row r="275" spans="2:14">
      <c r="B275" s="88">
        <v>9.6807110000000005</v>
      </c>
      <c r="C275" s="87">
        <v>0.74042509999999995</v>
      </c>
      <c r="D275" s="88">
        <v>8.8935790000000008</v>
      </c>
      <c r="E275" s="87">
        <v>0.72742176000000003</v>
      </c>
      <c r="F275" s="88">
        <v>8.6088989999999992</v>
      </c>
      <c r="G275" s="87">
        <v>0.52346026999999995</v>
      </c>
      <c r="I275" s="86">
        <v>9.6807110000000005</v>
      </c>
      <c r="J275" s="94">
        <v>5.2321312136046396</v>
      </c>
      <c r="K275" s="86">
        <v>8.8935790000000008</v>
      </c>
      <c r="L275" s="94">
        <v>6.0097968952620997</v>
      </c>
      <c r="M275" s="86">
        <v>8.6088989999999992</v>
      </c>
      <c r="N275" s="94">
        <v>10.13982755751864</v>
      </c>
    </row>
    <row r="276" spans="2:14">
      <c r="B276" s="88">
        <v>9.6975949999999997</v>
      </c>
      <c r="C276" s="87">
        <v>0.73624149999999999</v>
      </c>
      <c r="D276" s="88">
        <v>8.9105410000000003</v>
      </c>
      <c r="E276" s="87">
        <v>0.72364086000000005</v>
      </c>
      <c r="F276" s="88">
        <v>8.6216489999999997</v>
      </c>
      <c r="G276" s="87">
        <v>0.51953083</v>
      </c>
      <c r="I276" s="86">
        <v>9.6975949999999997</v>
      </c>
      <c r="J276" s="94">
        <v>5.2879402851507598</v>
      </c>
      <c r="K276" s="86">
        <v>8.9105410000000003</v>
      </c>
      <c r="L276" s="94">
        <v>6.0570618383708998</v>
      </c>
      <c r="M276" s="86">
        <v>8.6216489999999997</v>
      </c>
      <c r="N276" s="94">
        <v>10.212110244727739</v>
      </c>
    </row>
    <row r="277" spans="2:14">
      <c r="B277" s="88">
        <v>9.7151619999999994</v>
      </c>
      <c r="C277" s="87">
        <v>0.73205799999999999</v>
      </c>
      <c r="D277" s="88">
        <v>8.9269149999999993</v>
      </c>
      <c r="E277" s="87">
        <v>0.71982290000000004</v>
      </c>
      <c r="F277" s="88">
        <v>8.6347830000000005</v>
      </c>
      <c r="G277" s="87">
        <v>0.51560139999999999</v>
      </c>
      <c r="I277" s="86">
        <v>9.7151619999999994</v>
      </c>
      <c r="J277" s="94">
        <v>5.3437493566968</v>
      </c>
      <c r="K277" s="86">
        <v>8.9269149999999993</v>
      </c>
      <c r="L277" s="94">
        <v>6.1054116862439001</v>
      </c>
      <c r="M277" s="86">
        <v>8.6347830000000005</v>
      </c>
      <c r="N277" s="94">
        <v>10.28439303193683</v>
      </c>
    </row>
    <row r="278" spans="2:14">
      <c r="B278" s="88">
        <v>9.7332730000000005</v>
      </c>
      <c r="C278" s="87">
        <v>0.72786850000000003</v>
      </c>
      <c r="D278" s="88">
        <v>8.9439329999999995</v>
      </c>
      <c r="E278" s="87">
        <v>0.71600490000000006</v>
      </c>
      <c r="F278" s="88">
        <v>8.6483270000000001</v>
      </c>
      <c r="G278" s="87">
        <v>0.51167189999999996</v>
      </c>
      <c r="I278" s="86">
        <v>9.7332730000000005</v>
      </c>
      <c r="J278" s="94">
        <v>5.3997320685941705</v>
      </c>
      <c r="K278" s="86">
        <v>8.9439329999999995</v>
      </c>
      <c r="L278" s="94">
        <v>6.1537616341170001</v>
      </c>
      <c r="M278" s="86">
        <v>8.6483270000000001</v>
      </c>
      <c r="N278" s="94">
        <v>10.35667561914593</v>
      </c>
    </row>
    <row r="279" spans="2:14">
      <c r="B279" s="88">
        <v>9.7487060000000003</v>
      </c>
      <c r="C279" s="87">
        <v>0.72357844999999998</v>
      </c>
      <c r="D279" s="88">
        <v>8.9616430000000005</v>
      </c>
      <c r="E279" s="87">
        <v>0.71218693</v>
      </c>
      <c r="F279" s="88">
        <v>8.6623079999999995</v>
      </c>
      <c r="G279" s="87">
        <v>0.50774246000000001</v>
      </c>
      <c r="I279" s="86">
        <v>9.7487060000000003</v>
      </c>
      <c r="J279" s="94">
        <v>5.4586205563998993</v>
      </c>
      <c r="K279" s="86">
        <v>8.9616430000000005</v>
      </c>
      <c r="L279" s="94">
        <v>6.2021110819900001</v>
      </c>
      <c r="M279" s="86">
        <v>8.6623079999999995</v>
      </c>
      <c r="N279" s="94">
        <v>10.428958306355019</v>
      </c>
    </row>
    <row r="280" spans="2:14">
      <c r="B280" s="88">
        <v>9.7647084999999993</v>
      </c>
      <c r="C280" s="87">
        <v>0.71928846999999996</v>
      </c>
      <c r="D280" s="88">
        <v>8.9762520000000006</v>
      </c>
      <c r="E280" s="87">
        <v>0.70825165999999995</v>
      </c>
      <c r="F280" s="88">
        <v>8.6767529999999997</v>
      </c>
      <c r="G280" s="87">
        <v>0.50381299999999996</v>
      </c>
      <c r="I280" s="86">
        <v>9.7647084999999993</v>
      </c>
      <c r="J280" s="94">
        <v>5.5175097842055401</v>
      </c>
      <c r="K280" s="86">
        <v>8.9762520000000006</v>
      </c>
      <c r="L280" s="94">
        <v>6.2542132424921402</v>
      </c>
      <c r="M280" s="86">
        <v>8.6767529999999997</v>
      </c>
      <c r="N280" s="94">
        <v>10.501242093564089</v>
      </c>
    </row>
    <row r="281" spans="2:14">
      <c r="B281" s="88">
        <v>9.7813224999999999</v>
      </c>
      <c r="C281" s="87">
        <v>0.71499840000000003</v>
      </c>
      <c r="D281" s="88">
        <v>8.9912799999999997</v>
      </c>
      <c r="E281" s="87">
        <v>0.70431376000000001</v>
      </c>
      <c r="F281" s="88">
        <v>8.6916949999999993</v>
      </c>
      <c r="G281" s="87">
        <v>0.49988356</v>
      </c>
      <c r="I281" s="86">
        <v>9.7813224999999999</v>
      </c>
      <c r="J281" s="94">
        <v>5.5763985620112297</v>
      </c>
      <c r="K281" s="86">
        <v>8.9912799999999997</v>
      </c>
      <c r="L281" s="94">
        <v>6.3063976032718001</v>
      </c>
      <c r="M281" s="86">
        <v>8.6916949999999993</v>
      </c>
      <c r="N281" s="94">
        <v>10.57352478077318</v>
      </c>
    </row>
    <row r="282" spans="2:14">
      <c r="B282" s="88">
        <v>9.7985969999999991</v>
      </c>
      <c r="C282" s="87">
        <v>0.71070844</v>
      </c>
      <c r="D282" s="88">
        <v>9.0068470000000005</v>
      </c>
      <c r="E282" s="87">
        <v>0.70037590000000005</v>
      </c>
      <c r="F282" s="88">
        <v>8.7047249999999998</v>
      </c>
      <c r="G282" s="87">
        <v>0.49594083</v>
      </c>
      <c r="I282" s="86">
        <v>9.7985969999999991</v>
      </c>
      <c r="J282" s="94">
        <v>5.6352877698169399</v>
      </c>
      <c r="K282" s="86">
        <v>9.0068470000000005</v>
      </c>
      <c r="L282" s="94">
        <v>6.3585824640516</v>
      </c>
      <c r="M282" s="86">
        <v>8.7047249999999998</v>
      </c>
      <c r="N282" s="94">
        <v>10.649747270500519</v>
      </c>
    </row>
    <row r="283" spans="2:14">
      <c r="B283" s="88">
        <v>9.8165879999999994</v>
      </c>
      <c r="C283" s="87">
        <v>0.7064184</v>
      </c>
      <c r="D283" s="88">
        <v>9.0229940000000006</v>
      </c>
      <c r="E283" s="87">
        <v>0.696438</v>
      </c>
      <c r="F283" s="88">
        <v>8.7180250000000008</v>
      </c>
      <c r="G283" s="87">
        <v>0.49199742000000002</v>
      </c>
      <c r="I283" s="86">
        <v>9.8165879999999994</v>
      </c>
      <c r="J283" s="94">
        <v>5.6941769576226298</v>
      </c>
      <c r="K283" s="86">
        <v>9.0229940000000006</v>
      </c>
      <c r="L283" s="94">
        <v>6.4107669248312602</v>
      </c>
      <c r="M283" s="86">
        <v>8.7180250000000008</v>
      </c>
      <c r="N283" s="94">
        <v>10.72617706036085</v>
      </c>
    </row>
    <row r="284" spans="2:14">
      <c r="B284" s="88">
        <v>9.8353570000000001</v>
      </c>
      <c r="C284" s="87">
        <v>0.70212839999999999</v>
      </c>
      <c r="D284" s="88">
        <v>9.0397639999999999</v>
      </c>
      <c r="E284" s="87">
        <v>0.69250020000000001</v>
      </c>
      <c r="F284" s="88">
        <v>8.7310029999999994</v>
      </c>
      <c r="G284" s="87">
        <v>0.48805267000000002</v>
      </c>
      <c r="I284" s="86">
        <v>9.8353570000000001</v>
      </c>
      <c r="J284" s="94">
        <v>5.7530656954283206</v>
      </c>
      <c r="K284" s="86">
        <v>9.0397639999999999</v>
      </c>
      <c r="L284" s="94">
        <v>6.4629511856109998</v>
      </c>
      <c r="M284" s="86">
        <v>8.7310029999999994</v>
      </c>
      <c r="N284" s="94">
        <v>10.80393875090904</v>
      </c>
    </row>
    <row r="285" spans="2:14">
      <c r="B285" s="88">
        <v>9.8505109999999991</v>
      </c>
      <c r="C285" s="87">
        <v>0.69772440000000002</v>
      </c>
      <c r="D285" s="88">
        <v>9.0572079999999993</v>
      </c>
      <c r="E285" s="87">
        <v>0.68856229999999996</v>
      </c>
      <c r="F285" s="88">
        <v>8.7441849999999999</v>
      </c>
      <c r="G285" s="87">
        <v>0.48410757999999998</v>
      </c>
      <c r="I285" s="86">
        <v>9.8505109999999991</v>
      </c>
      <c r="J285" s="94">
        <v>5.8157569490319005</v>
      </c>
      <c r="K285" s="86">
        <v>9.0572079999999993</v>
      </c>
      <c r="L285" s="94">
        <v>6.5151357463907509</v>
      </c>
      <c r="M285" s="86">
        <v>8.7441849999999999</v>
      </c>
      <c r="N285" s="94">
        <v>10.882037641632401</v>
      </c>
    </row>
    <row r="286" spans="2:14">
      <c r="B286" s="88">
        <v>9.8659189999999999</v>
      </c>
      <c r="C286" s="87">
        <v>0.69331310000000002</v>
      </c>
      <c r="D286" s="88">
        <v>9.0753819999999994</v>
      </c>
      <c r="E286" s="87">
        <v>0.68462442999999995</v>
      </c>
      <c r="F286" s="88">
        <v>8.7569169999999996</v>
      </c>
      <c r="G286" s="87">
        <v>0.48016336999999998</v>
      </c>
      <c r="I286" s="86">
        <v>9.8659189999999999</v>
      </c>
      <c r="J286" s="94">
        <v>5.8786906930057405</v>
      </c>
      <c r="K286" s="86">
        <v>9.0753819999999994</v>
      </c>
      <c r="L286" s="94">
        <v>6.5673202071704404</v>
      </c>
      <c r="M286" s="86">
        <v>8.7569169999999996</v>
      </c>
      <c r="N286" s="94">
        <v>10.96175823309126</v>
      </c>
    </row>
    <row r="287" spans="2:14">
      <c r="B287" s="88">
        <v>9.8818940000000008</v>
      </c>
      <c r="C287" s="87">
        <v>0.68890180000000001</v>
      </c>
      <c r="D287" s="88">
        <v>9.0903740000000006</v>
      </c>
      <c r="E287" s="87">
        <v>0.6805774</v>
      </c>
      <c r="F287" s="88">
        <v>8.7695430000000005</v>
      </c>
      <c r="G287" s="87">
        <v>0.47621960000000002</v>
      </c>
      <c r="I287" s="86">
        <v>9.8818940000000008</v>
      </c>
      <c r="J287" s="94">
        <v>5.9416244469796009</v>
      </c>
      <c r="K287" s="86">
        <v>9.0903740000000006</v>
      </c>
      <c r="L287" s="94">
        <v>6.6235091774746992</v>
      </c>
      <c r="M287" s="86">
        <v>8.7695430000000005</v>
      </c>
      <c r="N287" s="94">
        <v>11.04237362495628</v>
      </c>
    </row>
    <row r="288" spans="2:14">
      <c r="B288" s="88">
        <v>9.8984784999999995</v>
      </c>
      <c r="C288" s="87">
        <v>0.6844905</v>
      </c>
      <c r="D288" s="88">
        <v>9.1047790000000006</v>
      </c>
      <c r="E288" s="87">
        <v>0.6765004</v>
      </c>
      <c r="F288" s="88">
        <v>8.782546</v>
      </c>
      <c r="G288" s="87">
        <v>0.47227582000000001</v>
      </c>
      <c r="I288" s="86">
        <v>9.8984784999999995</v>
      </c>
      <c r="J288" s="94">
        <v>6.0045582009534693</v>
      </c>
      <c r="K288" s="86">
        <v>9.1047790000000006</v>
      </c>
      <c r="L288" s="94">
        <v>6.6807968503918005</v>
      </c>
      <c r="M288" s="86">
        <v>8.782546</v>
      </c>
      <c r="N288" s="94">
        <v>11.1229888168213</v>
      </c>
    </row>
    <row r="289" spans="2:14">
      <c r="B289" s="88">
        <v>9.9157229999999998</v>
      </c>
      <c r="C289" s="87">
        <v>0.68007919999999999</v>
      </c>
      <c r="D289" s="88">
        <v>9.1196784999999991</v>
      </c>
      <c r="E289" s="87">
        <v>0.67242336000000003</v>
      </c>
      <c r="F289" s="88">
        <v>8.7959510000000005</v>
      </c>
      <c r="G289" s="87">
        <v>0.46833205</v>
      </c>
      <c r="I289" s="86">
        <v>9.9157229999999998</v>
      </c>
      <c r="J289" s="94">
        <v>6.0674915449273206</v>
      </c>
      <c r="K289" s="86">
        <v>9.1196784999999991</v>
      </c>
      <c r="L289" s="94">
        <v>6.7380840233089003</v>
      </c>
      <c r="M289" s="86">
        <v>8.7959510000000005</v>
      </c>
      <c r="N289" s="94">
        <v>11.203604708686321</v>
      </c>
    </row>
    <row r="290" spans="2:14">
      <c r="B290" s="88">
        <v>9.9336789999999997</v>
      </c>
      <c r="C290" s="87">
        <v>0.67566789999999999</v>
      </c>
      <c r="D290" s="88">
        <v>9.1351069999999996</v>
      </c>
      <c r="E290" s="87">
        <v>0.66834634999999998</v>
      </c>
      <c r="F290" s="88">
        <v>8.8091799999999996</v>
      </c>
      <c r="G290" s="87">
        <v>0.46439101999999999</v>
      </c>
      <c r="I290" s="86">
        <v>9.9336789999999997</v>
      </c>
      <c r="J290" s="94">
        <v>6.1304252989011694</v>
      </c>
      <c r="K290" s="86">
        <v>9.1351069999999996</v>
      </c>
      <c r="L290" s="94">
        <v>6.7953718962260004</v>
      </c>
      <c r="M290" s="86">
        <v>8.8091799999999996</v>
      </c>
      <c r="N290" s="94">
        <v>11.28536370099002</v>
      </c>
    </row>
    <row r="291" spans="2:14">
      <c r="B291" s="88">
        <v>9.934075</v>
      </c>
      <c r="C291" s="87">
        <v>0.67567694</v>
      </c>
      <c r="D291" s="88">
        <v>9.139284</v>
      </c>
      <c r="E291" s="87">
        <v>0.66845909999999997</v>
      </c>
      <c r="F291" s="88">
        <v>8.8216129999999993</v>
      </c>
      <c r="G291" s="87">
        <v>0.46045535999999998</v>
      </c>
      <c r="I291" s="86">
        <v>9.934075</v>
      </c>
      <c r="J291" s="94">
        <v>6.1300833984957599</v>
      </c>
      <c r="K291" s="86">
        <v>9.139284</v>
      </c>
      <c r="L291" s="94">
        <v>6.7908057875078995</v>
      </c>
      <c r="M291" s="86">
        <v>8.8216129999999993</v>
      </c>
      <c r="N291" s="94">
        <v>11.369354894150471</v>
      </c>
    </row>
    <row r="292" spans="2:14">
      <c r="B292" s="88">
        <v>9.9501679999999997</v>
      </c>
      <c r="C292" s="87">
        <v>0.67120785000000005</v>
      </c>
      <c r="D292" s="88">
        <v>9.1548909999999992</v>
      </c>
      <c r="E292" s="87">
        <v>0.66436850000000003</v>
      </c>
      <c r="F292" s="88">
        <v>8.8344140000000007</v>
      </c>
      <c r="G292" s="87">
        <v>0.45651969999999997</v>
      </c>
      <c r="I292" s="86">
        <v>9.9501679999999997</v>
      </c>
      <c r="J292" s="94">
        <v>6.1952482851374704</v>
      </c>
      <c r="K292" s="86">
        <v>9.1548909999999992</v>
      </c>
      <c r="L292" s="94">
        <v>6.8486059615606001</v>
      </c>
      <c r="M292" s="86">
        <v>8.8344140000000007</v>
      </c>
      <c r="N292" s="94">
        <v>11.453346187310929</v>
      </c>
    </row>
    <row r="293" spans="2:14">
      <c r="B293" s="88">
        <v>9.9660609999999998</v>
      </c>
      <c r="C293" s="87">
        <v>0.66672140000000002</v>
      </c>
      <c r="D293" s="88">
        <v>9.1702899999999996</v>
      </c>
      <c r="E293" s="87">
        <v>0.6602576</v>
      </c>
      <c r="F293" s="88">
        <v>8.8476020000000002</v>
      </c>
      <c r="G293" s="87">
        <v>0.45258403000000003</v>
      </c>
      <c r="I293" s="86">
        <v>9.9660609999999998</v>
      </c>
      <c r="J293" s="94">
        <v>6.2611795725558999</v>
      </c>
      <c r="K293" s="86">
        <v>9.1702899999999996</v>
      </c>
      <c r="L293" s="94">
        <v>6.9072699371343997</v>
      </c>
      <c r="M293" s="86">
        <v>8.8476020000000002</v>
      </c>
      <c r="N293" s="94">
        <v>11.537336980471391</v>
      </c>
    </row>
    <row r="294" spans="2:14">
      <c r="B294" s="88">
        <v>9.9814209999999992</v>
      </c>
      <c r="C294" s="87">
        <v>0.66221140000000001</v>
      </c>
      <c r="D294" s="88">
        <v>9.1850830000000006</v>
      </c>
      <c r="E294" s="87">
        <v>0.65611699999999995</v>
      </c>
      <c r="F294" s="88">
        <v>8.8611470000000008</v>
      </c>
      <c r="G294" s="87">
        <v>0.44864886999999998</v>
      </c>
      <c r="I294" s="86">
        <v>9.9814209999999992</v>
      </c>
      <c r="J294" s="94">
        <v>6.3281899610018693</v>
      </c>
      <c r="K294" s="86">
        <v>9.1850830000000006</v>
      </c>
      <c r="L294" s="94">
        <v>6.9672418148620494</v>
      </c>
      <c r="M294" s="86">
        <v>8.8611470000000008</v>
      </c>
      <c r="N294" s="94">
        <v>11.62144057366762</v>
      </c>
    </row>
    <row r="295" spans="2:14">
      <c r="B295" s="88">
        <v>9.9973469999999995</v>
      </c>
      <c r="C295" s="87">
        <v>0.65770143000000003</v>
      </c>
      <c r="D295" s="88">
        <v>9.2003979999999999</v>
      </c>
      <c r="E295" s="87">
        <v>0.65197640000000001</v>
      </c>
      <c r="F295" s="88">
        <v>8.8734044999999995</v>
      </c>
      <c r="G295" s="87">
        <v>0.44472876</v>
      </c>
      <c r="I295" s="86">
        <v>9.9973469999999995</v>
      </c>
      <c r="J295" s="94">
        <v>6.3952007194478204</v>
      </c>
      <c r="K295" s="86">
        <v>9.2003979999999999</v>
      </c>
      <c r="L295" s="94">
        <v>7.0272133925897</v>
      </c>
      <c r="M295" s="86">
        <v>8.8734044999999995</v>
      </c>
      <c r="N295" s="94">
        <v>11.708835067911</v>
      </c>
    </row>
    <row r="296" spans="2:14">
      <c r="B296" s="88">
        <v>10.013795</v>
      </c>
      <c r="C296" s="87">
        <v>0.65318984000000002</v>
      </c>
      <c r="D296" s="88">
        <v>9.2162740000000003</v>
      </c>
      <c r="E296" s="87">
        <v>0.64783584999999999</v>
      </c>
      <c r="F296" s="88">
        <v>8.8860189999999992</v>
      </c>
      <c r="G296" s="87">
        <v>0.44080865000000002</v>
      </c>
      <c r="I296" s="86">
        <v>10.013795</v>
      </c>
      <c r="J296" s="94">
        <v>6.46229373796261</v>
      </c>
      <c r="K296" s="86">
        <v>9.2162740000000003</v>
      </c>
      <c r="L296" s="94">
        <v>7.0871852703173603</v>
      </c>
      <c r="M296" s="86">
        <v>8.8860189999999992</v>
      </c>
      <c r="N296" s="94">
        <v>11.796230562154401</v>
      </c>
    </row>
    <row r="297" spans="2:14">
      <c r="B297" s="88">
        <v>10.028860999999999</v>
      </c>
      <c r="C297" s="87">
        <v>0.64864129999999998</v>
      </c>
      <c r="D297" s="88">
        <v>9.2313989999999997</v>
      </c>
      <c r="E297" s="87">
        <v>0.64366369999999995</v>
      </c>
      <c r="F297" s="88">
        <v>8.8990100000000005</v>
      </c>
      <c r="G297" s="87">
        <v>0.43688852</v>
      </c>
      <c r="I297" s="86">
        <v>10.028860999999999</v>
      </c>
      <c r="J297" s="94">
        <v>6.5313115280905301</v>
      </c>
      <c r="K297" s="86">
        <v>9.2313989999999997</v>
      </c>
      <c r="L297" s="94">
        <v>7.1486896502294002</v>
      </c>
      <c r="M297" s="86">
        <v>8.8990100000000005</v>
      </c>
      <c r="N297" s="94">
        <v>11.883624956397771</v>
      </c>
    </row>
    <row r="298" spans="2:14">
      <c r="B298" s="88">
        <v>10.044468999999999</v>
      </c>
      <c r="C298" s="87">
        <v>0.64409269999999996</v>
      </c>
      <c r="D298" s="88">
        <v>9.2461769999999994</v>
      </c>
      <c r="E298" s="87">
        <v>0.63947149999999997</v>
      </c>
      <c r="F298" s="88">
        <v>8.9124009999999991</v>
      </c>
      <c r="G298" s="87">
        <v>0.43296839999999998</v>
      </c>
      <c r="I298" s="86">
        <v>10.044468999999999</v>
      </c>
      <c r="J298" s="94">
        <v>6.6003295182184498</v>
      </c>
      <c r="K298" s="86">
        <v>9.2461769999999994</v>
      </c>
      <c r="L298" s="94">
        <v>7.2111706315324398</v>
      </c>
      <c r="M298" s="86">
        <v>8.9124009999999991</v>
      </c>
      <c r="N298" s="94">
        <v>11.971019450641171</v>
      </c>
    </row>
    <row r="299" spans="2:14">
      <c r="B299" s="88">
        <v>10.060658</v>
      </c>
      <c r="C299" s="87">
        <v>0.63954407000000002</v>
      </c>
      <c r="D299" s="88">
        <v>9.261476</v>
      </c>
      <c r="E299" s="87">
        <v>0.63527924000000002</v>
      </c>
      <c r="F299" s="88">
        <v>8.9249589999999994</v>
      </c>
      <c r="G299" s="87">
        <v>0.42906484</v>
      </c>
      <c r="I299" s="86">
        <v>10.060658</v>
      </c>
      <c r="J299" s="94">
        <v>6.66934710834638</v>
      </c>
      <c r="K299" s="86">
        <v>9.261476</v>
      </c>
      <c r="L299" s="94">
        <v>7.2736513128354803</v>
      </c>
      <c r="M299" s="86">
        <v>8.9249589999999994</v>
      </c>
      <c r="N299" s="94">
        <v>12.060915045528329</v>
      </c>
    </row>
    <row r="300" spans="2:14">
      <c r="B300" s="88">
        <v>10.074826</v>
      </c>
      <c r="C300" s="87">
        <v>0.63495504999999997</v>
      </c>
      <c r="D300" s="88">
        <v>9.2771849999999993</v>
      </c>
      <c r="E300" s="87">
        <v>0.63108385</v>
      </c>
      <c r="F300" s="88">
        <v>8.9374059999999993</v>
      </c>
      <c r="G300" s="87">
        <v>0.42516746999999999</v>
      </c>
      <c r="I300" s="86">
        <v>10.074826</v>
      </c>
      <c r="J300" s="94">
        <v>6.7410751003118703</v>
      </c>
      <c r="K300" s="86">
        <v>9.2771849999999993</v>
      </c>
      <c r="L300" s="94">
        <v>7.3363177943473001</v>
      </c>
      <c r="M300" s="86">
        <v>8.9374059999999993</v>
      </c>
      <c r="N300" s="94">
        <v>12.15174634065672</v>
      </c>
    </row>
    <row r="301" spans="2:14">
      <c r="B301" s="88">
        <v>10.0892</v>
      </c>
      <c r="C301" s="87">
        <v>0.63036199999999998</v>
      </c>
      <c r="D301" s="88">
        <v>9.2905479999999994</v>
      </c>
      <c r="E301" s="87">
        <v>0.62682819999999995</v>
      </c>
      <c r="F301" s="88">
        <v>8.9502190000000006</v>
      </c>
      <c r="G301" s="87">
        <v>0.42127009999999998</v>
      </c>
      <c r="I301" s="86">
        <v>10.0892</v>
      </c>
      <c r="J301" s="94">
        <v>6.8130730924601002</v>
      </c>
      <c r="K301" s="86">
        <v>9.2905479999999994</v>
      </c>
      <c r="L301" s="94">
        <v>7.4025450798564307</v>
      </c>
      <c r="M301" s="86">
        <v>8.9502190000000006</v>
      </c>
      <c r="N301" s="94">
        <v>12.24257863578511</v>
      </c>
    </row>
    <row r="302" spans="2:14">
      <c r="B302" s="88">
        <v>10.104067000000001</v>
      </c>
      <c r="C302" s="87">
        <v>0.62576889999999996</v>
      </c>
      <c r="D302" s="88">
        <v>9.3043359999999993</v>
      </c>
      <c r="E302" s="87">
        <v>0.62257253999999995</v>
      </c>
      <c r="F302" s="88">
        <v>8.9634230000000006</v>
      </c>
      <c r="G302" s="87">
        <v>0.41737273000000003</v>
      </c>
      <c r="I302" s="86">
        <v>10.104067000000001</v>
      </c>
      <c r="J302" s="94">
        <v>6.8850713546083506</v>
      </c>
      <c r="K302" s="86">
        <v>9.3043359999999993</v>
      </c>
      <c r="L302" s="94">
        <v>7.4687719653655407</v>
      </c>
      <c r="M302" s="86">
        <v>8.9634230000000006</v>
      </c>
      <c r="N302" s="94">
        <v>12.3334109309135</v>
      </c>
    </row>
    <row r="303" spans="2:14">
      <c r="B303" s="88">
        <v>10.11946</v>
      </c>
      <c r="C303" s="87">
        <v>0.62117579999999994</v>
      </c>
      <c r="D303" s="88">
        <v>9.3185739999999999</v>
      </c>
      <c r="E303" s="87">
        <v>0.61831689999999995</v>
      </c>
      <c r="F303" s="88">
        <v>8.9638539999999995</v>
      </c>
      <c r="G303" s="87">
        <v>0.41736600000000001</v>
      </c>
      <c r="I303" s="86">
        <v>10.11946</v>
      </c>
      <c r="J303" s="94">
        <v>6.9570691267565898</v>
      </c>
      <c r="K303" s="86">
        <v>9.3185739999999999</v>
      </c>
      <c r="L303" s="94">
        <v>7.5349984508746699</v>
      </c>
      <c r="M303" s="86">
        <v>8.9638539999999995</v>
      </c>
      <c r="N303" s="94">
        <v>12.332544730722031</v>
      </c>
    </row>
    <row r="304" spans="2:14">
      <c r="B304" s="88">
        <v>10.135419000000001</v>
      </c>
      <c r="C304" s="87">
        <v>0.61658279999999999</v>
      </c>
      <c r="D304" s="88">
        <v>9.3332960000000007</v>
      </c>
      <c r="E304" s="87">
        <v>0.61406123999999995</v>
      </c>
      <c r="F304" s="88">
        <v>8.9766169999999992</v>
      </c>
      <c r="G304" s="87">
        <v>0.41348204</v>
      </c>
      <c r="I304" s="86">
        <v>10.135419000000001</v>
      </c>
      <c r="J304" s="94">
        <v>7.0290668689048204</v>
      </c>
      <c r="K304" s="86">
        <v>9.3332960000000007</v>
      </c>
      <c r="L304" s="94">
        <v>7.6012256363837798</v>
      </c>
      <c r="M304" s="86">
        <v>8.9766169999999992</v>
      </c>
      <c r="N304" s="94">
        <v>12.42507312623742</v>
      </c>
    </row>
    <row r="305" spans="2:14">
      <c r="B305" s="88">
        <v>10.151987</v>
      </c>
      <c r="C305" s="87">
        <v>0.61198973999999995</v>
      </c>
      <c r="D305" s="88">
        <v>9.348535</v>
      </c>
      <c r="E305" s="87">
        <v>0.60980559999999995</v>
      </c>
      <c r="F305" s="88">
        <v>8.9892590000000006</v>
      </c>
      <c r="G305" s="87">
        <v>0.40960755999999998</v>
      </c>
      <c r="I305" s="86">
        <v>10.151987</v>
      </c>
      <c r="J305" s="94">
        <v>7.10106460105305</v>
      </c>
      <c r="K305" s="86">
        <v>9.348535</v>
      </c>
      <c r="L305" s="94">
        <v>7.6674526218928802</v>
      </c>
      <c r="M305" s="86">
        <v>8.9892590000000006</v>
      </c>
      <c r="N305" s="94">
        <v>12.51865412196651</v>
      </c>
    </row>
    <row r="306" spans="2:14">
      <c r="B306" s="88">
        <v>10.166755</v>
      </c>
      <c r="C306" s="87">
        <v>0.60737260000000004</v>
      </c>
      <c r="D306" s="88">
        <v>9.3643269999999994</v>
      </c>
      <c r="E306" s="87">
        <v>0.60554993000000001</v>
      </c>
      <c r="F306" s="88">
        <v>9.0014230000000008</v>
      </c>
      <c r="G306" s="87">
        <v>0.40575053999999999</v>
      </c>
      <c r="I306" s="86">
        <v>10.166755</v>
      </c>
      <c r="J306" s="94">
        <v>7.1756069945195797</v>
      </c>
      <c r="K306" s="86">
        <v>9.3643269999999994</v>
      </c>
      <c r="L306" s="94">
        <v>7.7336791074020201</v>
      </c>
      <c r="M306" s="86">
        <v>9.0014230000000008</v>
      </c>
      <c r="N306" s="94">
        <v>12.614054118042343</v>
      </c>
    </row>
    <row r="307" spans="2:14">
      <c r="B307" s="88">
        <v>10.180659</v>
      </c>
      <c r="C307" s="87">
        <v>0.60274225000000003</v>
      </c>
      <c r="D307" s="88">
        <v>9.3807159999999996</v>
      </c>
      <c r="E307" s="87">
        <v>0.60129429999999995</v>
      </c>
      <c r="F307" s="88">
        <v>9.0139379999999996</v>
      </c>
      <c r="G307" s="87">
        <v>0.40189350000000001</v>
      </c>
      <c r="I307" s="86">
        <v>10.180659</v>
      </c>
      <c r="J307" s="94">
        <v>7.2515385487058692</v>
      </c>
      <c r="K307" s="86">
        <v>9.3807159999999996</v>
      </c>
      <c r="L307" s="94">
        <v>7.7999062929111194</v>
      </c>
      <c r="M307" s="86">
        <v>9.0139379999999996</v>
      </c>
      <c r="N307" s="94">
        <v>12.70945201411817</v>
      </c>
    </row>
    <row r="308" spans="2:14">
      <c r="B308" s="88">
        <v>10.195024</v>
      </c>
      <c r="C308" s="87">
        <v>0.59811199999999998</v>
      </c>
      <c r="D308" s="88">
        <v>9.3939859999999999</v>
      </c>
      <c r="E308" s="87">
        <v>0.59698240000000002</v>
      </c>
      <c r="F308" s="88">
        <v>9.0268239999999995</v>
      </c>
      <c r="G308" s="87">
        <v>0.39803644999999999</v>
      </c>
      <c r="I308" s="86">
        <v>10.195024</v>
      </c>
      <c r="J308" s="94">
        <v>7.32746964289215</v>
      </c>
      <c r="K308" s="86">
        <v>9.3939859999999999</v>
      </c>
      <c r="L308" s="94">
        <v>7.8707380822470698</v>
      </c>
      <c r="M308" s="86">
        <v>9.0268239999999995</v>
      </c>
      <c r="N308" s="94">
        <v>12.804851910193999</v>
      </c>
    </row>
    <row r="309" spans="2:14">
      <c r="B309" s="88">
        <v>10.20988</v>
      </c>
      <c r="C309" s="87">
        <v>0.59348166000000002</v>
      </c>
      <c r="D309" s="88">
        <v>9.4073709999999995</v>
      </c>
      <c r="E309" s="87">
        <v>0.59266615</v>
      </c>
      <c r="F309" s="88">
        <v>9.0401039999999995</v>
      </c>
      <c r="G309" s="87">
        <v>0.39417940000000001</v>
      </c>
      <c r="I309" s="86">
        <v>10.20988</v>
      </c>
      <c r="J309" s="94">
        <v>7.4034011770784307</v>
      </c>
      <c r="K309" s="86">
        <v>9.4073709999999995</v>
      </c>
      <c r="L309" s="94">
        <v>7.9419323718842598</v>
      </c>
      <c r="M309" s="86">
        <v>9.0401039999999995</v>
      </c>
      <c r="N309" s="94">
        <v>12.90025080626984</v>
      </c>
    </row>
    <row r="310" spans="2:14">
      <c r="B310" s="88">
        <v>10.225263</v>
      </c>
      <c r="C310" s="87">
        <v>0.58885133000000001</v>
      </c>
      <c r="D310" s="88">
        <v>9.4211799999999997</v>
      </c>
      <c r="E310" s="87">
        <v>0.58834989999999998</v>
      </c>
      <c r="F310" s="88">
        <v>9.0526169999999997</v>
      </c>
      <c r="G310" s="87">
        <v>0.39034965999999999</v>
      </c>
      <c r="I310" s="86">
        <v>10.225263</v>
      </c>
      <c r="J310" s="94">
        <v>7.4793327312647095</v>
      </c>
      <c r="K310" s="86">
        <v>9.4211799999999997</v>
      </c>
      <c r="L310" s="94">
        <v>8.0131265615214211</v>
      </c>
      <c r="M310" s="86">
        <v>9.0526169999999997</v>
      </c>
      <c r="N310" s="94">
        <v>12.99815700275777</v>
      </c>
    </row>
    <row r="311" spans="2:14">
      <c r="B311" s="88">
        <v>10.241209</v>
      </c>
      <c r="C311" s="87">
        <v>0.58422107000000001</v>
      </c>
      <c r="D311" s="88">
        <v>9.4354429999999994</v>
      </c>
      <c r="E311" s="87">
        <v>0.58403360000000004</v>
      </c>
      <c r="F311" s="88">
        <v>9.0649289999999993</v>
      </c>
      <c r="G311" s="87">
        <v>0.38653272</v>
      </c>
      <c r="I311" s="86">
        <v>10.241209</v>
      </c>
      <c r="J311" s="94">
        <v>7.5552637254509998</v>
      </c>
      <c r="K311" s="86">
        <v>9.4354429999999994</v>
      </c>
      <c r="L311" s="94">
        <v>8.0843207511586002</v>
      </c>
      <c r="M311" s="86">
        <v>9.0649289999999993</v>
      </c>
      <c r="N311" s="94">
        <v>13.097243599439306</v>
      </c>
    </row>
    <row r="312" spans="2:14">
      <c r="B312" s="88">
        <v>10.241209</v>
      </c>
      <c r="C312" s="87">
        <v>0.58422107000000001</v>
      </c>
      <c r="D312" s="88">
        <v>9.4387969999999992</v>
      </c>
      <c r="E312" s="87">
        <v>0.58407390000000003</v>
      </c>
      <c r="F312" s="88">
        <v>9.0776005000000008</v>
      </c>
      <c r="G312" s="87">
        <v>0.38271579999999999</v>
      </c>
      <c r="I312" s="86">
        <v>10.241209</v>
      </c>
      <c r="J312" s="94">
        <v>7.5552637254509998</v>
      </c>
      <c r="K312" s="86">
        <v>9.4387969999999992</v>
      </c>
      <c r="L312" s="94">
        <v>8.07995834813679</v>
      </c>
      <c r="M312" s="86">
        <v>9.0776005000000008</v>
      </c>
      <c r="N312" s="94">
        <v>13.196329196120839</v>
      </c>
    </row>
    <row r="313" spans="2:14">
      <c r="B313" s="88">
        <v>10.242253</v>
      </c>
      <c r="C313" s="87">
        <v>0.58422684999999996</v>
      </c>
      <c r="D313" s="88">
        <v>9.4531279999999995</v>
      </c>
      <c r="E313" s="87">
        <v>0.57975089999999996</v>
      </c>
      <c r="F313" s="88">
        <v>9.0906514999999999</v>
      </c>
      <c r="G313" s="87">
        <v>0.37889883000000002</v>
      </c>
      <c r="I313" s="86">
        <v>10.242253</v>
      </c>
      <c r="J313" s="94">
        <v>7.5541783249961005</v>
      </c>
      <c r="K313" s="86">
        <v>9.4531279999999995</v>
      </c>
      <c r="L313" s="94">
        <v>8.1517801382262203</v>
      </c>
      <c r="M313" s="86">
        <v>9.0906514999999999</v>
      </c>
      <c r="N313" s="94">
        <v>13.295414792802379</v>
      </c>
    </row>
    <row r="314" spans="2:14">
      <c r="B314" s="88">
        <v>10.256962</v>
      </c>
      <c r="C314" s="87">
        <v>0.57958673999999999</v>
      </c>
      <c r="D314" s="88">
        <v>9.467295</v>
      </c>
      <c r="E314" s="87">
        <v>0.57542110000000002</v>
      </c>
      <c r="F314" s="88">
        <v>9.1036490000000008</v>
      </c>
      <c r="G314" s="87">
        <v>0.37509575000000001</v>
      </c>
      <c r="I314" s="86">
        <v>10.256962</v>
      </c>
      <c r="J314" s="94">
        <v>7.6320139199757193</v>
      </c>
      <c r="K314" s="86">
        <v>9.467295</v>
      </c>
      <c r="L314" s="94">
        <v>8.2244555288488197</v>
      </c>
      <c r="M314" s="86">
        <v>9.1036490000000008</v>
      </c>
      <c r="N314" s="94">
        <v>13.39556508961954</v>
      </c>
    </row>
    <row r="315" spans="2:14">
      <c r="B315" s="88">
        <v>10.271509</v>
      </c>
      <c r="C315" s="87">
        <v>0.57494500000000004</v>
      </c>
      <c r="D315" s="88">
        <v>9.4809549999999998</v>
      </c>
      <c r="E315" s="87">
        <v>0.57108239999999999</v>
      </c>
      <c r="F315" s="88">
        <v>9.1150169999999999</v>
      </c>
      <c r="G315" s="87">
        <v>0.37135225999999999</v>
      </c>
      <c r="I315" s="86">
        <v>10.271509</v>
      </c>
      <c r="J315" s="94">
        <v>7.7105975152232942</v>
      </c>
      <c r="K315" s="86">
        <v>9.4809549999999998</v>
      </c>
      <c r="L315" s="94">
        <v>8.2984435502413199</v>
      </c>
      <c r="M315" s="86">
        <v>9.1150169999999999</v>
      </c>
      <c r="N315" s="94">
        <v>13.500296987020695</v>
      </c>
    </row>
    <row r="316" spans="2:14">
      <c r="B316" s="88">
        <v>10.285591</v>
      </c>
      <c r="C316" s="87">
        <v>0.57030219999999998</v>
      </c>
      <c r="D316" s="88">
        <v>9.4950600000000005</v>
      </c>
      <c r="E316" s="87">
        <v>0.56674369999999996</v>
      </c>
      <c r="F316" s="88">
        <v>9.12669</v>
      </c>
      <c r="G316" s="87">
        <v>0.36760875999999998</v>
      </c>
      <c r="I316" s="86">
        <v>10.285591</v>
      </c>
      <c r="J316" s="94">
        <v>7.7902728608390799</v>
      </c>
      <c r="K316" s="86">
        <v>9.4950600000000005</v>
      </c>
      <c r="L316" s="94">
        <v>8.3724319116338002</v>
      </c>
      <c r="M316" s="86">
        <v>9.12669</v>
      </c>
      <c r="N316" s="94">
        <v>13.605029684421849</v>
      </c>
    </row>
    <row r="317" spans="2:14">
      <c r="B317" s="88">
        <v>10.300146</v>
      </c>
      <c r="C317" s="87">
        <v>0.56565940000000003</v>
      </c>
      <c r="D317" s="88">
        <v>9.5096380000000007</v>
      </c>
      <c r="E317" s="87">
        <v>0.56240493000000003</v>
      </c>
      <c r="F317" s="88">
        <v>9.1386859999999999</v>
      </c>
      <c r="G317" s="87">
        <v>0.36386526000000002</v>
      </c>
      <c r="I317" s="86">
        <v>10.300146</v>
      </c>
      <c r="J317" s="94">
        <v>7.8699484564548801</v>
      </c>
      <c r="K317" s="86">
        <v>9.5096380000000007</v>
      </c>
      <c r="L317" s="94">
        <v>8.4464200330262997</v>
      </c>
      <c r="M317" s="86">
        <v>9.1386859999999999</v>
      </c>
      <c r="N317" s="94">
        <v>13.709761481822994</v>
      </c>
    </row>
    <row r="318" spans="2:14">
      <c r="B318" s="88">
        <v>10.315205000000001</v>
      </c>
      <c r="C318" s="87">
        <v>0.56101656</v>
      </c>
      <c r="D318" s="88">
        <v>9.5237549999999995</v>
      </c>
      <c r="E318" s="87">
        <v>0.55806009999999995</v>
      </c>
      <c r="F318" s="88">
        <v>9.1510219999999993</v>
      </c>
      <c r="G318" s="87">
        <v>0.36012176000000001</v>
      </c>
      <c r="I318" s="86">
        <v>10.315205000000001</v>
      </c>
      <c r="J318" s="94">
        <v>7.9496241020706648</v>
      </c>
      <c r="K318" s="86">
        <v>9.5237549999999995</v>
      </c>
      <c r="L318" s="94">
        <v>8.5217121950865309</v>
      </c>
      <c r="M318" s="86">
        <v>9.1510219999999993</v>
      </c>
      <c r="N318" s="94">
        <v>13.814494279224149</v>
      </c>
    </row>
    <row r="319" spans="2:14">
      <c r="B319" s="88">
        <v>10.329262999999999</v>
      </c>
      <c r="C319" s="87">
        <v>0.55637645999999996</v>
      </c>
      <c r="D319" s="88">
        <v>9.5374060000000007</v>
      </c>
      <c r="E319" s="87">
        <v>0.55370956999999998</v>
      </c>
      <c r="F319" s="88">
        <v>9.1637190000000004</v>
      </c>
      <c r="G319" s="87">
        <v>0.35637826</v>
      </c>
      <c r="I319" s="86">
        <v>10.329262999999999</v>
      </c>
      <c r="J319" s="94">
        <v>8.0310406182034004</v>
      </c>
      <c r="K319" s="86">
        <v>9.5374060000000007</v>
      </c>
      <c r="L319" s="94">
        <v>8.5982354877767904</v>
      </c>
      <c r="M319" s="86">
        <v>9.1637190000000004</v>
      </c>
      <c r="N319" s="94">
        <v>13.919227076625305</v>
      </c>
    </row>
    <row r="320" spans="2:14">
      <c r="B320" s="88">
        <v>10.343491999999999</v>
      </c>
      <c r="C320" s="87">
        <v>0.55173682999999996</v>
      </c>
      <c r="D320" s="88">
        <v>9.5514980000000005</v>
      </c>
      <c r="E320" s="87">
        <v>0.54935900000000004</v>
      </c>
      <c r="F320" s="88">
        <v>9.1767990000000008</v>
      </c>
      <c r="G320" s="87">
        <v>0.35263475999999999</v>
      </c>
      <c r="I320" s="86">
        <v>10.343491999999999</v>
      </c>
      <c r="J320" s="94">
        <v>8.1127859244335188</v>
      </c>
      <c r="K320" s="86">
        <v>9.5514980000000005</v>
      </c>
      <c r="L320" s="94">
        <v>8.6747582804670689</v>
      </c>
      <c r="M320" s="86">
        <v>9.1767990000000008</v>
      </c>
      <c r="N320" s="94">
        <v>14.023959874026451</v>
      </c>
    </row>
    <row r="321" spans="2:14">
      <c r="B321" s="88">
        <v>10.358203</v>
      </c>
      <c r="C321" s="87">
        <v>0.54709726999999997</v>
      </c>
      <c r="D321" s="88">
        <v>9.5660640000000008</v>
      </c>
      <c r="E321" s="87">
        <v>0.54500850000000001</v>
      </c>
      <c r="F321" s="88">
        <v>9.1902849999999994</v>
      </c>
      <c r="G321" s="87">
        <v>0.34889125999999998</v>
      </c>
      <c r="I321" s="86">
        <v>10.358203</v>
      </c>
      <c r="J321" s="94">
        <v>8.1945307306636295</v>
      </c>
      <c r="K321" s="86">
        <v>9.5660640000000008</v>
      </c>
      <c r="L321" s="94">
        <v>8.7512816131573299</v>
      </c>
      <c r="M321" s="86">
        <v>9.1902849999999994</v>
      </c>
      <c r="N321" s="94">
        <v>14.12869267142761</v>
      </c>
    </row>
    <row r="322" spans="2:14">
      <c r="B322" s="88">
        <v>10.372137</v>
      </c>
      <c r="C322" s="87">
        <v>0.54246669999999997</v>
      </c>
      <c r="D322" s="88">
        <v>9.5788679999999999</v>
      </c>
      <c r="E322" s="87">
        <v>0.54065514000000003</v>
      </c>
      <c r="F322" s="88">
        <v>9.2042029999999997</v>
      </c>
      <c r="G322" s="87">
        <v>0.34514776000000003</v>
      </c>
      <c r="I322" s="86">
        <v>10.372137</v>
      </c>
      <c r="J322" s="94">
        <v>8.2778619872730292</v>
      </c>
      <c r="K322" s="86">
        <v>9.5788679999999999</v>
      </c>
      <c r="L322" s="94">
        <v>8.8310601271721509</v>
      </c>
      <c r="M322" s="86">
        <v>9.2042029999999997</v>
      </c>
      <c r="N322" s="94">
        <v>14.233423868828758</v>
      </c>
    </row>
    <row r="323" spans="2:14">
      <c r="B323" s="88">
        <v>10.385258</v>
      </c>
      <c r="C323" s="87">
        <v>0.53784480000000001</v>
      </c>
      <c r="D323" s="88">
        <v>9.5916720000000009</v>
      </c>
      <c r="E323" s="87">
        <v>0.53630140000000004</v>
      </c>
      <c r="F323" s="88">
        <v>9.2178950000000004</v>
      </c>
      <c r="G323" s="87">
        <v>0.34142843</v>
      </c>
      <c r="I323" s="86">
        <v>10.385258</v>
      </c>
      <c r="J323" s="94">
        <v>8.3627131842458091</v>
      </c>
      <c r="K323" s="86">
        <v>9.5916720000000009</v>
      </c>
      <c r="L323" s="94">
        <v>8.9113826914083401</v>
      </c>
      <c r="M323" s="86">
        <v>9.2178950000000004</v>
      </c>
      <c r="N323" s="94">
        <v>14.339746066375291</v>
      </c>
    </row>
    <row r="324" spans="2:14">
      <c r="B324" s="88">
        <v>10.398787</v>
      </c>
      <c r="C324" s="87">
        <v>0.53322285000000003</v>
      </c>
      <c r="D324" s="88">
        <v>9.6048650000000002</v>
      </c>
      <c r="E324" s="87">
        <v>0.53194759999999996</v>
      </c>
      <c r="F324" s="88">
        <v>9.2292900000000007</v>
      </c>
      <c r="G324" s="87">
        <v>0.33780300000000002</v>
      </c>
      <c r="I324" s="86">
        <v>10.398787</v>
      </c>
      <c r="J324" s="94">
        <v>8.4475640412185999</v>
      </c>
      <c r="K324" s="86">
        <v>9.6048650000000002</v>
      </c>
      <c r="L324" s="94">
        <v>8.9917055956445306</v>
      </c>
      <c r="M324" s="86">
        <v>9.2292900000000007</v>
      </c>
      <c r="N324" s="94">
        <v>14.452241764486679</v>
      </c>
    </row>
    <row r="325" spans="2:14">
      <c r="B325" s="88">
        <v>10.412750000000001</v>
      </c>
      <c r="C325" s="87">
        <v>0.52860099999999999</v>
      </c>
      <c r="D325" s="88">
        <v>9.6184709999999995</v>
      </c>
      <c r="E325" s="87">
        <v>0.5275938</v>
      </c>
      <c r="F325" s="88">
        <v>9.2409929999999996</v>
      </c>
      <c r="G325" s="87">
        <v>0.33417760000000002</v>
      </c>
      <c r="I325" s="86">
        <v>10.412750000000001</v>
      </c>
      <c r="J325" s="94">
        <v>8.5324149181913889</v>
      </c>
      <c r="K325" s="86">
        <v>9.6184709999999995</v>
      </c>
      <c r="L325" s="94">
        <v>9.0720275098807299</v>
      </c>
      <c r="M325" s="86">
        <v>9.2409929999999996</v>
      </c>
      <c r="N325" s="94">
        <v>14.564738562598059</v>
      </c>
    </row>
    <row r="326" spans="2:14">
      <c r="B326" s="88">
        <v>10.427177</v>
      </c>
      <c r="C326" s="87">
        <v>0.52397906999999999</v>
      </c>
      <c r="D326" s="88">
        <v>9.632517</v>
      </c>
      <c r="E326" s="87">
        <v>0.52324002999999997</v>
      </c>
      <c r="F326" s="88">
        <v>9.2530180000000009</v>
      </c>
      <c r="G326" s="87">
        <v>0.33055220000000002</v>
      </c>
      <c r="I326" s="86">
        <v>10.427177</v>
      </c>
      <c r="J326" s="94">
        <v>8.6172672551641796</v>
      </c>
      <c r="K326" s="86">
        <v>9.632517</v>
      </c>
      <c r="L326" s="94">
        <v>9.1523514141169198</v>
      </c>
      <c r="M326" s="86">
        <v>9.2530180000000009</v>
      </c>
      <c r="N326" s="94">
        <v>14.677234260709445</v>
      </c>
    </row>
    <row r="327" spans="2:14">
      <c r="B327" s="88">
        <v>10.4421015</v>
      </c>
      <c r="C327" s="87">
        <v>0.51935713999999999</v>
      </c>
      <c r="D327" s="88">
        <v>9.6470330000000004</v>
      </c>
      <c r="E327" s="87">
        <v>0.51888626999999998</v>
      </c>
      <c r="F327" s="88">
        <v>9.2653879999999997</v>
      </c>
      <c r="G327" s="87">
        <v>0.32692680000000002</v>
      </c>
      <c r="I327" s="86">
        <v>10.4421015</v>
      </c>
      <c r="J327" s="94">
        <v>8.7021176321369698</v>
      </c>
      <c r="K327" s="86">
        <v>9.6470330000000004</v>
      </c>
      <c r="L327" s="94">
        <v>9.2326733783531196</v>
      </c>
      <c r="M327" s="86">
        <v>9.2653879999999997</v>
      </c>
      <c r="N327" s="94">
        <v>14.789731058820829</v>
      </c>
    </row>
    <row r="328" spans="2:14">
      <c r="B328" s="88">
        <v>10.457556</v>
      </c>
      <c r="C328" s="87">
        <v>0.51473530000000001</v>
      </c>
      <c r="D328" s="88">
        <v>9.6620509999999999</v>
      </c>
      <c r="E328" s="87">
        <v>0.51453245000000003</v>
      </c>
      <c r="F328" s="88">
        <v>9.2781179999999992</v>
      </c>
      <c r="G328" s="87">
        <v>0.32330136999999998</v>
      </c>
      <c r="I328" s="86">
        <v>10.457556</v>
      </c>
      <c r="J328" s="94">
        <v>8.7869689991097495</v>
      </c>
      <c r="K328" s="86">
        <v>9.6620509999999999</v>
      </c>
      <c r="L328" s="94">
        <v>9.3129962825893191</v>
      </c>
      <c r="M328" s="86">
        <v>9.2781179999999992</v>
      </c>
      <c r="N328" s="94">
        <v>14.902226816932215</v>
      </c>
    </row>
    <row r="329" spans="2:14">
      <c r="B329" s="88">
        <v>10.470692</v>
      </c>
      <c r="C329" s="87">
        <v>0.51015069999999996</v>
      </c>
      <c r="D329" s="88">
        <v>9.6757159999999995</v>
      </c>
      <c r="E329" s="87">
        <v>0.51018889999999995</v>
      </c>
      <c r="F329" s="88">
        <v>9.2912339999999993</v>
      </c>
      <c r="G329" s="87">
        <v>0.31967594999999999</v>
      </c>
      <c r="I329" s="86">
        <v>10.470692</v>
      </c>
      <c r="J329" s="94">
        <v>8.87535456672477</v>
      </c>
      <c r="K329" s="86">
        <v>9.6757159999999995</v>
      </c>
      <c r="L329" s="94">
        <v>9.3960674276623202</v>
      </c>
      <c r="M329" s="86">
        <v>9.2912339999999993</v>
      </c>
      <c r="N329" s="94">
        <v>15.014723555043602</v>
      </c>
    </row>
    <row r="330" spans="2:14">
      <c r="B330" s="88">
        <v>10.483708999999999</v>
      </c>
      <c r="C330" s="87">
        <v>0.50557273999999996</v>
      </c>
      <c r="D330" s="88">
        <v>9.6881789999999999</v>
      </c>
      <c r="E330" s="87">
        <v>0.50585395</v>
      </c>
      <c r="F330" s="88">
        <v>9.3047590000000007</v>
      </c>
      <c r="G330" s="87">
        <v>0.31605055999999998</v>
      </c>
      <c r="I330" s="86">
        <v>10.483708999999999</v>
      </c>
      <c r="J330" s="94">
        <v>8.96436961445389</v>
      </c>
      <c r="K330" s="86">
        <v>9.6881789999999999</v>
      </c>
      <c r="L330" s="94">
        <v>9.4814666234443106</v>
      </c>
      <c r="M330" s="86">
        <v>9.3047590000000007</v>
      </c>
      <c r="N330" s="94">
        <v>15.127219253154989</v>
      </c>
    </row>
    <row r="331" spans="2:14">
      <c r="B331" s="88">
        <v>10.497128500000001</v>
      </c>
      <c r="C331" s="87">
        <v>0.50099479999999996</v>
      </c>
      <c r="D331" s="88">
        <v>9.7010100000000001</v>
      </c>
      <c r="E331" s="87">
        <v>0.50151900000000005</v>
      </c>
      <c r="F331" s="88">
        <v>9.3187180000000005</v>
      </c>
      <c r="G331" s="87">
        <v>0.31242513999999999</v>
      </c>
      <c r="I331" s="86">
        <v>10.497128500000001</v>
      </c>
      <c r="J331" s="94">
        <v>9.0533826621830098</v>
      </c>
      <c r="K331" s="86">
        <v>9.7010100000000001</v>
      </c>
      <c r="L331" s="94">
        <v>9.5668658192263099</v>
      </c>
      <c r="M331" s="86">
        <v>9.3187180000000005</v>
      </c>
      <c r="N331" s="94">
        <v>15.239716051266372</v>
      </c>
    </row>
    <row r="332" spans="2:14">
      <c r="B332" s="88">
        <v>10.510977</v>
      </c>
      <c r="C332" s="87">
        <v>0.49641679999999999</v>
      </c>
      <c r="D332" s="88">
        <v>9.7142315000000004</v>
      </c>
      <c r="E332" s="87">
        <v>0.49718410000000002</v>
      </c>
      <c r="F332" s="88">
        <v>9.3324069999999999</v>
      </c>
      <c r="G332" s="87">
        <v>0.30883052999999999</v>
      </c>
      <c r="I332" s="86">
        <v>10.510977</v>
      </c>
      <c r="J332" s="94">
        <v>9.1423972199121408</v>
      </c>
      <c r="K332" s="86">
        <v>9.7142315000000004</v>
      </c>
      <c r="L332" s="94">
        <v>9.6522655150083043</v>
      </c>
      <c r="M332" s="86">
        <v>9.3324069999999999</v>
      </c>
      <c r="N332" s="94">
        <v>15.354002819488803</v>
      </c>
    </row>
    <row r="333" spans="2:14" ht="15" thickBot="1">
      <c r="B333" s="88">
        <v>10.52528</v>
      </c>
      <c r="C333" s="87">
        <v>0.49183886999999998</v>
      </c>
      <c r="D333" s="88">
        <v>9.7278680000000008</v>
      </c>
      <c r="E333" s="87">
        <v>0.49284914000000002</v>
      </c>
      <c r="F333" s="132">
        <v>9.3438780000000001</v>
      </c>
      <c r="G333" s="91">
        <v>0.30534454999999999</v>
      </c>
      <c r="I333" s="86">
        <v>10.52528</v>
      </c>
      <c r="J333" s="94">
        <v>9.2314117576412595</v>
      </c>
      <c r="K333" s="86">
        <v>9.7278680000000008</v>
      </c>
      <c r="L333" s="94">
        <v>9.7376652107903006</v>
      </c>
      <c r="M333" s="143">
        <v>9.3438780000000001</v>
      </c>
      <c r="N333" s="144">
        <v>15.474607848102872</v>
      </c>
    </row>
    <row r="334" spans="2:14">
      <c r="B334" s="88">
        <v>10.527457999999999</v>
      </c>
      <c r="C334" s="87">
        <v>0.49180109999999999</v>
      </c>
      <c r="D334" s="88">
        <v>9.7419469999999997</v>
      </c>
      <c r="E334" s="87">
        <v>0.48851420000000001</v>
      </c>
      <c r="I334" s="86">
        <v>10.527457999999999</v>
      </c>
      <c r="J334" s="94">
        <v>9.2286489272289884</v>
      </c>
      <c r="K334" s="86">
        <v>9.7419469999999997</v>
      </c>
      <c r="L334" s="94">
        <v>9.8230654065722991</v>
      </c>
    </row>
    <row r="335" spans="2:14">
      <c r="B335" s="88">
        <v>10.541256000000001</v>
      </c>
      <c r="C335" s="87">
        <v>0.48724045999999999</v>
      </c>
      <c r="D335" s="88">
        <v>9.7564969999999995</v>
      </c>
      <c r="E335" s="87">
        <v>0.48417929999999998</v>
      </c>
      <c r="I335" s="86">
        <v>10.541256000000001</v>
      </c>
      <c r="J335" s="94">
        <v>9.3189537951539858</v>
      </c>
      <c r="K335" s="86">
        <v>9.7564969999999995</v>
      </c>
      <c r="L335" s="94">
        <v>9.9084636023543009</v>
      </c>
    </row>
    <row r="336" spans="2:14">
      <c r="B336" s="88">
        <v>10.554917</v>
      </c>
      <c r="C336" s="87">
        <v>0.48269181999999999</v>
      </c>
      <c r="D336" s="88">
        <v>9.7708100000000009</v>
      </c>
      <c r="E336" s="87">
        <v>0.47985445999999998</v>
      </c>
      <c r="I336" s="86">
        <v>10.554917</v>
      </c>
      <c r="J336" s="94">
        <v>9.4100321531812643</v>
      </c>
      <c r="K336" s="86">
        <v>9.7708100000000009</v>
      </c>
      <c r="L336" s="94">
        <v>9.9950185283814612</v>
      </c>
    </row>
    <row r="337" spans="2:12">
      <c r="B337" s="88">
        <v>10.568135</v>
      </c>
      <c r="C337" s="87">
        <v>0.47816273999999998</v>
      </c>
      <c r="D337" s="88">
        <v>9.7829870000000003</v>
      </c>
      <c r="E337" s="87">
        <v>0.47556432999999998</v>
      </c>
      <c r="I337" s="86">
        <v>10.568135</v>
      </c>
      <c r="J337" s="94">
        <v>9.5023009513562862</v>
      </c>
      <c r="K337" s="86">
        <v>9.7829870000000003</v>
      </c>
      <c r="L337" s="94">
        <v>10.08553349524885</v>
      </c>
    </row>
    <row r="338" spans="2:12">
      <c r="B338" s="88">
        <v>10.581768</v>
      </c>
      <c r="C338" s="87">
        <v>0.47363365000000002</v>
      </c>
      <c r="D338" s="88">
        <v>9.7955140000000007</v>
      </c>
      <c r="E338" s="87">
        <v>0.47127419999999998</v>
      </c>
      <c r="I338" s="86">
        <v>10.581768</v>
      </c>
      <c r="J338" s="94">
        <v>9.5945706795313104</v>
      </c>
      <c r="K338" s="86">
        <v>9.7955140000000007</v>
      </c>
      <c r="L338" s="94">
        <v>10.17604839211624</v>
      </c>
    </row>
    <row r="339" spans="2:12">
      <c r="B339" s="88">
        <v>10.595841999999999</v>
      </c>
      <c r="C339" s="87">
        <v>0.46910456</v>
      </c>
      <c r="D339" s="88">
        <v>9.8084135000000003</v>
      </c>
      <c r="E339" s="87">
        <v>0.46698410000000001</v>
      </c>
      <c r="I339" s="86">
        <v>10.595841999999999</v>
      </c>
      <c r="J339" s="94">
        <v>9.6868394477063298</v>
      </c>
      <c r="K339" s="86">
        <v>9.8084135000000003</v>
      </c>
      <c r="L339" s="94">
        <v>10.266563338983625</v>
      </c>
    </row>
    <row r="340" spans="2:12">
      <c r="B340" s="88">
        <v>10.609458</v>
      </c>
      <c r="C340" s="87">
        <v>0.46459856999999999</v>
      </c>
      <c r="D340" s="88">
        <v>9.8217079999999992</v>
      </c>
      <c r="E340" s="87">
        <v>0.46269396000000002</v>
      </c>
      <c r="I340" s="86">
        <v>10.609458</v>
      </c>
      <c r="J340" s="94">
        <v>9.7803736460187487</v>
      </c>
      <c r="K340" s="86">
        <v>9.8217079999999992</v>
      </c>
      <c r="L340" s="94">
        <v>10.35707825585102</v>
      </c>
    </row>
    <row r="341" spans="2:12">
      <c r="B341" s="88">
        <v>10.622719</v>
      </c>
      <c r="C341" s="87">
        <v>0.46011170000000001</v>
      </c>
      <c r="D341" s="88">
        <v>9.8354225</v>
      </c>
      <c r="E341" s="87">
        <v>0.45840383000000001</v>
      </c>
      <c r="I341" s="86">
        <v>10.622719</v>
      </c>
      <c r="J341" s="94">
        <v>9.8749557444452396</v>
      </c>
      <c r="K341" s="86">
        <v>9.8354225</v>
      </c>
      <c r="L341" s="94">
        <v>10.44759322271841</v>
      </c>
    </row>
    <row r="342" spans="2:12">
      <c r="B342" s="88">
        <v>10.636398</v>
      </c>
      <c r="C342" s="87">
        <v>0.45562488000000001</v>
      </c>
      <c r="D342" s="88">
        <v>9.8495849999999994</v>
      </c>
      <c r="E342" s="87">
        <v>0.45411370000000001</v>
      </c>
      <c r="I342" s="86">
        <v>10.636398</v>
      </c>
      <c r="J342" s="94">
        <v>9.9695388428717333</v>
      </c>
      <c r="K342" s="86">
        <v>9.8495849999999994</v>
      </c>
      <c r="L342" s="94">
        <v>10.538108139585795</v>
      </c>
    </row>
    <row r="343" spans="2:12">
      <c r="B343" s="88">
        <v>10.650520999999999</v>
      </c>
      <c r="C343" s="87">
        <v>0.45113805000000001</v>
      </c>
      <c r="D343" s="88">
        <v>9.8642234999999996</v>
      </c>
      <c r="E343" s="87">
        <v>0.44982356000000001</v>
      </c>
      <c r="I343" s="86">
        <v>10.650520999999999</v>
      </c>
      <c r="J343" s="94">
        <v>10.064122441298224</v>
      </c>
      <c r="K343" s="86">
        <v>9.8642234999999996</v>
      </c>
      <c r="L343" s="94">
        <v>10.628623076453179</v>
      </c>
    </row>
    <row r="344" spans="2:12">
      <c r="B344" s="88">
        <v>10.662891999999999</v>
      </c>
      <c r="C344" s="87">
        <v>0.44671977000000002</v>
      </c>
      <c r="D344" s="88">
        <v>9.8764304999999997</v>
      </c>
      <c r="E344" s="87">
        <v>0.44559579999999999</v>
      </c>
      <c r="I344" s="86">
        <v>10.662891999999999</v>
      </c>
      <c r="J344" s="94">
        <v>10.161950940005122</v>
      </c>
      <c r="K344" s="86">
        <v>9.8764304999999997</v>
      </c>
      <c r="L344" s="94">
        <v>10.723858774042993</v>
      </c>
    </row>
    <row r="345" spans="2:12">
      <c r="B345" s="88">
        <v>10.675427000000001</v>
      </c>
      <c r="C345" s="87">
        <v>0.44230744</v>
      </c>
      <c r="D345" s="88">
        <v>9.8886950000000002</v>
      </c>
      <c r="E345" s="87">
        <v>0.44137415000000002</v>
      </c>
      <c r="I345" s="86">
        <v>10.675427000000001</v>
      </c>
      <c r="J345" s="94">
        <v>10.260059938736243</v>
      </c>
      <c r="K345" s="86">
        <v>9.8886950000000002</v>
      </c>
      <c r="L345" s="94">
        <v>10.819559131703889</v>
      </c>
    </row>
    <row r="346" spans="2:12">
      <c r="B346" s="88">
        <v>10.688336</v>
      </c>
      <c r="C346" s="87">
        <v>0.43789509999999998</v>
      </c>
      <c r="D346" s="88">
        <v>9.9013150000000003</v>
      </c>
      <c r="E346" s="87">
        <v>0.43715252999999998</v>
      </c>
      <c r="I346" s="86">
        <v>10.688336</v>
      </c>
      <c r="J346" s="94">
        <v>10.358168977467363</v>
      </c>
      <c r="K346" s="86">
        <v>9.9013150000000003</v>
      </c>
      <c r="L346" s="94">
        <v>10.91526046936478</v>
      </c>
    </row>
    <row r="347" spans="2:12">
      <c r="B347" s="88">
        <v>10.701639999999999</v>
      </c>
      <c r="C347" s="87">
        <v>0.43348277000000002</v>
      </c>
      <c r="D347" s="88">
        <v>9.9143109999999997</v>
      </c>
      <c r="E347" s="87">
        <v>0.43293090000000001</v>
      </c>
      <c r="I347" s="86">
        <v>10.701639999999999</v>
      </c>
      <c r="J347" s="94">
        <v>10.456277006198482</v>
      </c>
      <c r="K347" s="86">
        <v>9.9143109999999997</v>
      </c>
      <c r="L347" s="94">
        <v>11.01096182702568</v>
      </c>
    </row>
    <row r="348" spans="2:12">
      <c r="B348" s="88">
        <v>10.715363999999999</v>
      </c>
      <c r="C348" s="87">
        <v>0.42907040000000002</v>
      </c>
      <c r="D348" s="88">
        <v>9.9277110000000004</v>
      </c>
      <c r="E348" s="87">
        <v>0.42870926999999998</v>
      </c>
      <c r="I348" s="86">
        <v>10.715363999999999</v>
      </c>
      <c r="J348" s="94">
        <v>10.5543860349296</v>
      </c>
      <c r="K348" s="86">
        <v>9.9277110000000004</v>
      </c>
      <c r="L348" s="94">
        <v>11.106662164686574</v>
      </c>
    </row>
    <row r="349" spans="2:12">
      <c r="B349" s="88">
        <v>10.729536</v>
      </c>
      <c r="C349" s="87">
        <v>0.42465809999999998</v>
      </c>
      <c r="D349" s="88">
        <v>9.9415359999999993</v>
      </c>
      <c r="E349" s="87">
        <v>0.42448762000000001</v>
      </c>
      <c r="I349" s="86">
        <v>10.729536</v>
      </c>
      <c r="J349" s="94">
        <v>10.652494033660719</v>
      </c>
      <c r="K349" s="86">
        <v>9.9415359999999993</v>
      </c>
      <c r="L349" s="94">
        <v>11.202362562347471</v>
      </c>
    </row>
    <row r="350" spans="2:12">
      <c r="B350" s="88">
        <v>10.744185999999999</v>
      </c>
      <c r="C350" s="87">
        <v>0.42024573999999998</v>
      </c>
      <c r="D350" s="88">
        <v>9.9558149999999994</v>
      </c>
      <c r="E350" s="87">
        <v>0.42026599999999997</v>
      </c>
      <c r="I350" s="86">
        <v>10.744185999999999</v>
      </c>
      <c r="J350" s="94">
        <v>10.750603082391841</v>
      </c>
      <c r="K350" s="86">
        <v>9.9558149999999994</v>
      </c>
      <c r="L350" s="94">
        <v>11.29806292000837</v>
      </c>
    </row>
    <row r="351" spans="2:12">
      <c r="B351" s="88">
        <v>10.75719</v>
      </c>
      <c r="C351" s="87">
        <v>0.41591105</v>
      </c>
      <c r="D351" s="88">
        <v>9.9691489999999998</v>
      </c>
      <c r="E351" s="87">
        <v>0.41608292000000002</v>
      </c>
      <c r="I351" s="86">
        <v>10.75719</v>
      </c>
      <c r="J351" s="94">
        <v>10.851931961331076</v>
      </c>
      <c r="K351" s="86">
        <v>9.9691489999999998</v>
      </c>
      <c r="L351" s="94">
        <v>11.396116057937554</v>
      </c>
    </row>
    <row r="352" spans="2:12">
      <c r="B352" s="88">
        <v>10.769496</v>
      </c>
      <c r="C352" s="87">
        <v>0.4116148</v>
      </c>
      <c r="D352" s="88">
        <v>9.9818999999999996</v>
      </c>
      <c r="E352" s="87">
        <v>0.41192612000000001</v>
      </c>
      <c r="I352" s="86">
        <v>10.769496</v>
      </c>
      <c r="J352" s="94">
        <v>10.954854890373406</v>
      </c>
      <c r="K352" s="86">
        <v>9.9818999999999996</v>
      </c>
      <c r="L352" s="94">
        <v>11.495769956049404</v>
      </c>
    </row>
    <row r="353" spans="2:12">
      <c r="B353" s="88">
        <v>10.782162</v>
      </c>
      <c r="C353" s="87">
        <v>0.40731856</v>
      </c>
      <c r="D353" s="88">
        <v>9.9825689999999998</v>
      </c>
      <c r="E353" s="87">
        <v>0.41190486999999998</v>
      </c>
      <c r="I353" s="86">
        <v>10.782162</v>
      </c>
      <c r="J353" s="94">
        <v>11.057778829415742</v>
      </c>
      <c r="K353" s="86">
        <v>9.9825689999999998</v>
      </c>
      <c r="L353" s="94">
        <v>11.494573705932517</v>
      </c>
    </row>
    <row r="354" spans="2:12">
      <c r="B354" s="88">
        <v>10.795207</v>
      </c>
      <c r="C354" s="87">
        <v>0.40302231999999999</v>
      </c>
      <c r="D354" s="88">
        <v>9.9955949999999998</v>
      </c>
      <c r="E354" s="87">
        <v>0.40775182999999998</v>
      </c>
      <c r="I354" s="86">
        <v>10.795207</v>
      </c>
      <c r="J354" s="94">
        <v>11.160700728458073</v>
      </c>
      <c r="K354" s="86">
        <v>9.9955949999999998</v>
      </c>
      <c r="L354" s="94">
        <v>11.594445454066681</v>
      </c>
    </row>
    <row r="355" spans="2:12">
      <c r="B355" s="88">
        <v>10.798000999999999</v>
      </c>
      <c r="C355" s="87">
        <v>0.40290862</v>
      </c>
      <c r="D355" s="88">
        <v>10.008501000000001</v>
      </c>
      <c r="E355" s="87">
        <v>0.40361583000000001</v>
      </c>
      <c r="I355" s="86">
        <v>10.798000999999999</v>
      </c>
      <c r="J355" s="94">
        <v>11.156267608218929</v>
      </c>
      <c r="K355" s="86">
        <v>10.008501000000001</v>
      </c>
      <c r="L355" s="94">
        <v>11.695245702286954</v>
      </c>
    </row>
    <row r="356" spans="2:12">
      <c r="B356" s="88">
        <v>10.8112545</v>
      </c>
      <c r="C356" s="87">
        <v>0.39862174</v>
      </c>
      <c r="D356" s="88">
        <v>10.020956</v>
      </c>
      <c r="E356" s="87">
        <v>0.3995089</v>
      </c>
      <c r="I356" s="86">
        <v>10.8112545</v>
      </c>
      <c r="J356" s="94">
        <v>11.259574397285331</v>
      </c>
      <c r="K356" s="86">
        <v>10.020956</v>
      </c>
      <c r="L356" s="94">
        <v>11.797583180641174</v>
      </c>
    </row>
    <row r="357" spans="2:12">
      <c r="B357" s="88">
        <v>10.824386000000001</v>
      </c>
      <c r="C357" s="87">
        <v>0.39435730000000002</v>
      </c>
      <c r="D357" s="88">
        <v>10.033778999999999</v>
      </c>
      <c r="E357" s="87">
        <v>0.39540197999999999</v>
      </c>
      <c r="I357" s="86">
        <v>10.824386000000001</v>
      </c>
      <c r="J357" s="94">
        <v>11.363736376394472</v>
      </c>
      <c r="K357" s="86">
        <v>10.033778999999999</v>
      </c>
      <c r="L357" s="94">
        <v>11.89991864899539</v>
      </c>
    </row>
    <row r="358" spans="2:12">
      <c r="B358" s="88">
        <v>10.837071</v>
      </c>
      <c r="C358" s="87">
        <v>0.39012975</v>
      </c>
      <c r="D358" s="88">
        <v>10.046991999999999</v>
      </c>
      <c r="E358" s="87">
        <v>0.39129508000000002</v>
      </c>
      <c r="I358" s="86">
        <v>10.837071</v>
      </c>
      <c r="J358" s="94">
        <v>11.469286275568836</v>
      </c>
      <c r="K358" s="86">
        <v>10.046991999999999</v>
      </c>
      <c r="L358" s="94">
        <v>12.00225514734961</v>
      </c>
    </row>
    <row r="359" spans="2:12">
      <c r="B359" s="88">
        <v>10.850139</v>
      </c>
      <c r="C359" s="87">
        <v>0.38590223000000001</v>
      </c>
      <c r="D359" s="88">
        <v>10.060565</v>
      </c>
      <c r="E359" s="87">
        <v>0.38719025000000001</v>
      </c>
      <c r="I359" s="86">
        <v>10.850139</v>
      </c>
      <c r="J359" s="94">
        <v>11.5748351747432</v>
      </c>
      <c r="K359" s="86">
        <v>10.060565</v>
      </c>
      <c r="L359" s="94">
        <v>12.104694615711699</v>
      </c>
    </row>
    <row r="360" spans="2:12">
      <c r="B360" s="88">
        <v>10.863611000000001</v>
      </c>
      <c r="C360" s="87">
        <v>0.38167467999999999</v>
      </c>
      <c r="D360" s="88">
        <v>10.072926499999999</v>
      </c>
      <c r="E360" s="87">
        <v>0.38314505999999998</v>
      </c>
      <c r="I360" s="86">
        <v>10.863611000000001</v>
      </c>
      <c r="J360" s="94">
        <v>11.680385073917563</v>
      </c>
      <c r="K360" s="86">
        <v>10.072926499999999</v>
      </c>
      <c r="L360" s="94">
        <v>12.210107474299104</v>
      </c>
    </row>
    <row r="361" spans="2:12">
      <c r="B361" s="88">
        <v>10.877208</v>
      </c>
      <c r="C361" s="87">
        <v>0.37746125000000003</v>
      </c>
      <c r="D361" s="88">
        <v>10.085651</v>
      </c>
      <c r="E361" s="87">
        <v>0.37909988</v>
      </c>
      <c r="I361" s="86">
        <v>10.877208</v>
      </c>
      <c r="J361" s="94">
        <v>11.786446523112852</v>
      </c>
      <c r="K361" s="86">
        <v>10.085651</v>
      </c>
      <c r="L361" s="94">
        <v>12.315520402886509</v>
      </c>
    </row>
    <row r="362" spans="2:12">
      <c r="B362" s="88">
        <v>10.889844</v>
      </c>
      <c r="C362" s="87">
        <v>0.37330994000000001</v>
      </c>
      <c r="D362" s="88">
        <v>10.09876</v>
      </c>
      <c r="E362" s="87">
        <v>0.37505465999999998</v>
      </c>
      <c r="I362" s="86">
        <v>10.889844</v>
      </c>
      <c r="J362" s="94">
        <v>11.894768122400386</v>
      </c>
      <c r="K362" s="86">
        <v>10.09876</v>
      </c>
      <c r="L362" s="94">
        <v>12.420933341473908</v>
      </c>
    </row>
    <row r="363" spans="2:12">
      <c r="B363" s="88">
        <v>10.902858</v>
      </c>
      <c r="C363" s="87">
        <v>0.3691586</v>
      </c>
      <c r="D363" s="88">
        <v>10.112275</v>
      </c>
      <c r="E363" s="87">
        <v>0.37100947000000001</v>
      </c>
      <c r="I363" s="86">
        <v>10.902858</v>
      </c>
      <c r="J363" s="94">
        <v>12.003088671687916</v>
      </c>
      <c r="K363" s="86">
        <v>10.112275</v>
      </c>
      <c r="L363" s="94">
        <v>12.526346240061317</v>
      </c>
    </row>
    <row r="364" spans="2:12">
      <c r="B364" s="88">
        <v>10.916275000000001</v>
      </c>
      <c r="C364" s="87">
        <v>0.36500727999999999</v>
      </c>
      <c r="D364" s="88">
        <v>10.124074</v>
      </c>
      <c r="E364" s="87">
        <v>0.36705652</v>
      </c>
      <c r="I364" s="86">
        <v>10.916275000000001</v>
      </c>
      <c r="J364" s="94">
        <v>12.111408720975449</v>
      </c>
      <c r="K364" s="86">
        <v>10.124074</v>
      </c>
      <c r="L364" s="94">
        <v>12.635993638900295</v>
      </c>
    </row>
    <row r="365" spans="2:12">
      <c r="B365" s="88">
        <v>10.929653999999999</v>
      </c>
      <c r="C365" s="87">
        <v>0.36088023000000002</v>
      </c>
      <c r="D365" s="88">
        <v>10.135942999999999</v>
      </c>
      <c r="E365" s="87">
        <v>0.36311432999999999</v>
      </c>
      <c r="I365" s="86">
        <v>10.929653999999999</v>
      </c>
      <c r="J365" s="94">
        <v>12.220575300290072</v>
      </c>
      <c r="K365" s="86">
        <v>10.135942999999999</v>
      </c>
      <c r="L365" s="94">
        <v>12.746137737768711</v>
      </c>
    </row>
    <row r="366" spans="2:12">
      <c r="B366" s="88">
        <v>10.941509999999999</v>
      </c>
      <c r="C366" s="87">
        <v>0.35685176000000002</v>
      </c>
      <c r="D366" s="88">
        <v>10.148148000000001</v>
      </c>
      <c r="E366" s="87">
        <v>0.35917217000000001</v>
      </c>
      <c r="I366" s="86">
        <v>10.941509999999999</v>
      </c>
      <c r="J366" s="94">
        <v>12.333182219714736</v>
      </c>
      <c r="K366" s="86">
        <v>10.148148000000001</v>
      </c>
      <c r="L366" s="94">
        <v>12.856279836637125</v>
      </c>
    </row>
    <row r="367" spans="2:12">
      <c r="B367" s="88">
        <v>10.953699</v>
      </c>
      <c r="C367" s="87">
        <v>0.35282330000000001</v>
      </c>
      <c r="D367" s="88">
        <v>10.160704000000001</v>
      </c>
      <c r="E367" s="87">
        <v>0.35522997000000001</v>
      </c>
      <c r="I367" s="86">
        <v>10.953699</v>
      </c>
      <c r="J367" s="94">
        <v>12.445787089139401</v>
      </c>
      <c r="K367" s="86">
        <v>10.160704000000001</v>
      </c>
      <c r="L367" s="94">
        <v>12.966422865505539</v>
      </c>
    </row>
    <row r="368" spans="2:12">
      <c r="B368" s="88">
        <v>10.966240000000001</v>
      </c>
      <c r="C368" s="87">
        <v>0.34879482000000001</v>
      </c>
      <c r="D368" s="88">
        <v>10.173634</v>
      </c>
      <c r="E368" s="87">
        <v>0.35128779999999998</v>
      </c>
      <c r="I368" s="86">
        <v>10.966240000000001</v>
      </c>
      <c r="J368" s="94">
        <v>12.558391998564066</v>
      </c>
      <c r="K368" s="86">
        <v>10.173634</v>
      </c>
      <c r="L368" s="94">
        <v>13.076565934373956</v>
      </c>
    </row>
    <row r="369" spans="2:12">
      <c r="B369" s="88">
        <v>10.979153999999999</v>
      </c>
      <c r="C369" s="87">
        <v>0.34476632000000001</v>
      </c>
      <c r="D369" s="88">
        <v>10.186959999999999</v>
      </c>
      <c r="E369" s="87">
        <v>0.34734562000000002</v>
      </c>
      <c r="I369" s="86">
        <v>10.979153999999999</v>
      </c>
      <c r="J369" s="94">
        <v>12.670998917988729</v>
      </c>
      <c r="K369" s="86">
        <v>10.186959999999999</v>
      </c>
      <c r="L369" s="94">
        <v>13.186709013242373</v>
      </c>
    </row>
    <row r="370" spans="2:12">
      <c r="B370" s="88">
        <v>10.992463000000001</v>
      </c>
      <c r="C370" s="87">
        <v>0.34073785000000001</v>
      </c>
      <c r="D370" s="88">
        <v>10.200709</v>
      </c>
      <c r="E370" s="87">
        <v>0.34340345999999999</v>
      </c>
      <c r="I370" s="86">
        <v>10.992463000000001</v>
      </c>
      <c r="J370" s="94">
        <v>12.783603817413395</v>
      </c>
      <c r="K370" s="86">
        <v>10.200709</v>
      </c>
      <c r="L370" s="94">
        <v>13.296852062110787</v>
      </c>
    </row>
    <row r="371" spans="2:12">
      <c r="B371" s="88">
        <v>11.006194000000001</v>
      </c>
      <c r="C371" s="87">
        <v>0.33670938</v>
      </c>
      <c r="D371" s="88">
        <v>10.214907999999999</v>
      </c>
      <c r="E371" s="87">
        <v>0.33946126999999998</v>
      </c>
      <c r="I371" s="86">
        <v>11.006194000000001</v>
      </c>
      <c r="J371" s="94">
        <v>12.896208736838059</v>
      </c>
      <c r="K371" s="86">
        <v>10.214907999999999</v>
      </c>
      <c r="L371" s="94">
        <v>13.406995130979201</v>
      </c>
    </row>
    <row r="372" spans="2:12">
      <c r="B372" s="88">
        <v>11.020372</v>
      </c>
      <c r="C372" s="87">
        <v>0.3326809</v>
      </c>
      <c r="D372" s="88">
        <v>10.227570999999999</v>
      </c>
      <c r="E372" s="87">
        <v>0.33561342999999999</v>
      </c>
      <c r="I372" s="86">
        <v>11.020372</v>
      </c>
      <c r="J372" s="94">
        <v>13.008815646262722</v>
      </c>
      <c r="K372" s="86">
        <v>10.227570999999999</v>
      </c>
      <c r="L372" s="94">
        <v>13.521177900023556</v>
      </c>
    </row>
    <row r="373" spans="2:12" ht="15" thickBot="1">
      <c r="B373" s="88">
        <v>11.034312999999999</v>
      </c>
      <c r="C373" s="87">
        <v>0.32869163000000001</v>
      </c>
      <c r="D373" s="132">
        <v>10.239337000000001</v>
      </c>
      <c r="E373" s="91">
        <v>0.3318238</v>
      </c>
      <c r="I373" s="86">
        <v>11.034312999999999</v>
      </c>
      <c r="J373" s="94">
        <v>13.122747935718616</v>
      </c>
      <c r="K373" s="143">
        <v>10.239337000000001</v>
      </c>
      <c r="L373" s="144">
        <v>13.637856699176556</v>
      </c>
    </row>
    <row r="374" spans="2:12">
      <c r="B374" s="88">
        <v>11.046144</v>
      </c>
      <c r="C374" s="87">
        <v>0.32483906000000001</v>
      </c>
      <c r="I374" s="86">
        <v>11.046144</v>
      </c>
      <c r="J374" s="94">
        <v>13.241311905283416</v>
      </c>
    </row>
    <row r="375" spans="2:12" ht="15" thickBot="1">
      <c r="B375" s="132">
        <v>11.058305000000001</v>
      </c>
      <c r="C375" s="91">
        <v>0.32098650000000001</v>
      </c>
      <c r="I375" s="143">
        <v>11.058305000000001</v>
      </c>
      <c r="J375" s="144">
        <v>13.359874884848216</v>
      </c>
    </row>
  </sheetData>
  <mergeCells count="14">
    <mergeCell ref="I2:N2"/>
    <mergeCell ref="B2:G2"/>
    <mergeCell ref="I5:N5"/>
    <mergeCell ref="I6:J7"/>
    <mergeCell ref="K6:L7"/>
    <mergeCell ref="M6:N7"/>
    <mergeCell ref="B6:C7"/>
    <mergeCell ref="D6:E7"/>
    <mergeCell ref="F6:G7"/>
    <mergeCell ref="I4:N4"/>
    <mergeCell ref="I3:N3"/>
    <mergeCell ref="B5:G5"/>
    <mergeCell ref="B4:G4"/>
    <mergeCell ref="B3:G3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7D264-69B0-4969-A968-931533277A7E}">
  <dimension ref="B1:R300"/>
  <sheetViews>
    <sheetView zoomScale="85" zoomScaleNormal="85" workbookViewId="0">
      <selection activeCell="G35" sqref="G35:H36"/>
    </sheetView>
  </sheetViews>
  <sheetFormatPr defaultRowHeight="14.5"/>
  <cols>
    <col min="1" max="1" width="8.7265625" style="1"/>
    <col min="2" max="2" width="11.36328125" style="1" bestFit="1" customWidth="1"/>
    <col min="3" max="5" width="10.36328125" style="1" bestFit="1" customWidth="1"/>
    <col min="6" max="6" width="8.7265625" style="1"/>
    <col min="7" max="11" width="21.08984375" style="1" customWidth="1"/>
    <col min="12" max="18" width="21.26953125" style="1" customWidth="1"/>
    <col min="19" max="16384" width="8.7265625" style="1"/>
  </cols>
  <sheetData>
    <row r="1" spans="2:18" ht="15" thickBot="1"/>
    <row r="2" spans="2:18">
      <c r="B2" s="227" t="s">
        <v>669</v>
      </c>
      <c r="C2" s="228"/>
      <c r="D2" s="228"/>
      <c r="E2" s="229"/>
      <c r="G2" s="227" t="s">
        <v>675</v>
      </c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9"/>
    </row>
    <row r="3" spans="2:18">
      <c r="B3" s="233" t="s">
        <v>670</v>
      </c>
      <c r="C3" s="234"/>
      <c r="D3" s="234"/>
      <c r="E3" s="235"/>
      <c r="G3" s="233" t="s">
        <v>676</v>
      </c>
      <c r="H3" s="234"/>
      <c r="I3" s="234"/>
      <c r="J3" s="234"/>
      <c r="K3" s="234"/>
      <c r="L3" s="234"/>
      <c r="M3" s="234"/>
      <c r="N3" s="234"/>
      <c r="O3" s="234"/>
      <c r="P3" s="234"/>
      <c r="Q3" s="234"/>
      <c r="R3" s="235"/>
    </row>
    <row r="4" spans="2:18" ht="15" thickBot="1">
      <c r="B4" s="230" t="s">
        <v>652</v>
      </c>
      <c r="C4" s="231"/>
      <c r="D4" s="231"/>
      <c r="E4" s="232"/>
      <c r="G4" s="230" t="s">
        <v>399</v>
      </c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2"/>
    </row>
    <row r="5" spans="2:18" ht="15" thickBot="1">
      <c r="B5" s="277" t="s">
        <v>408</v>
      </c>
      <c r="C5" s="278"/>
      <c r="D5" s="278"/>
      <c r="E5" s="279"/>
      <c r="G5" s="280" t="s">
        <v>659</v>
      </c>
      <c r="H5" s="281"/>
      <c r="I5" s="281"/>
      <c r="J5" s="281"/>
      <c r="K5" s="281"/>
      <c r="L5" s="282"/>
      <c r="M5" s="277" t="s">
        <v>408</v>
      </c>
      <c r="N5" s="278"/>
      <c r="O5" s="278"/>
      <c r="P5" s="278"/>
      <c r="Q5" s="278"/>
      <c r="R5" s="279"/>
    </row>
    <row r="6" spans="2:18" ht="17" thickBot="1">
      <c r="B6" s="238" t="s">
        <v>640</v>
      </c>
      <c r="C6" s="324" t="s">
        <v>653</v>
      </c>
      <c r="D6" s="324"/>
      <c r="E6" s="325"/>
      <c r="G6" s="242" t="s">
        <v>661</v>
      </c>
      <c r="H6" s="244"/>
      <c r="I6" s="242" t="s">
        <v>663</v>
      </c>
      <c r="J6" s="244"/>
      <c r="K6" s="242" t="s">
        <v>664</v>
      </c>
      <c r="L6" s="244"/>
      <c r="M6" s="238" t="s">
        <v>661</v>
      </c>
      <c r="N6" s="239"/>
      <c r="O6" s="238" t="s">
        <v>663</v>
      </c>
      <c r="P6" s="239"/>
      <c r="Q6" s="238" t="s">
        <v>664</v>
      </c>
      <c r="R6" s="239"/>
    </row>
    <row r="7" spans="2:18" ht="15" thickBot="1">
      <c r="B7" s="250"/>
      <c r="C7" s="176" t="s">
        <v>671</v>
      </c>
      <c r="D7" s="126" t="s">
        <v>672</v>
      </c>
      <c r="E7" s="127" t="s">
        <v>673</v>
      </c>
      <c r="G7" s="245" t="s">
        <v>674</v>
      </c>
      <c r="H7" s="247"/>
      <c r="I7" s="245" t="s">
        <v>400</v>
      </c>
      <c r="J7" s="247"/>
      <c r="K7" s="245" t="s">
        <v>400</v>
      </c>
      <c r="L7" s="247"/>
      <c r="M7" s="240"/>
      <c r="N7" s="241"/>
      <c r="O7" s="240"/>
      <c r="P7" s="241"/>
      <c r="Q7" s="240"/>
      <c r="R7" s="241"/>
    </row>
    <row r="8" spans="2:18" ht="16.5">
      <c r="B8" s="177">
        <v>1</v>
      </c>
      <c r="C8" s="54">
        <v>6.4222002062035738E-2</v>
      </c>
      <c r="D8" s="54">
        <v>0.93577799702136344</v>
      </c>
      <c r="E8" s="173">
        <v>9.1660075827373382E-10</v>
      </c>
      <c r="G8" s="31" t="s">
        <v>640</v>
      </c>
      <c r="H8" s="142" t="s">
        <v>660</v>
      </c>
      <c r="I8" s="32" t="s">
        <v>640</v>
      </c>
      <c r="J8" s="142" t="s">
        <v>660</v>
      </c>
      <c r="K8" s="31" t="s">
        <v>640</v>
      </c>
      <c r="L8" s="32" t="s">
        <v>660</v>
      </c>
      <c r="M8" s="35" t="s">
        <v>640</v>
      </c>
      <c r="N8" s="85" t="s">
        <v>660</v>
      </c>
      <c r="O8" s="35" t="s">
        <v>640</v>
      </c>
      <c r="P8" s="85" t="s">
        <v>660</v>
      </c>
      <c r="Q8" s="35" t="s">
        <v>640</v>
      </c>
      <c r="R8" s="85" t="s">
        <v>660</v>
      </c>
    </row>
    <row r="9" spans="2:18" ht="15" thickBot="1">
      <c r="B9" s="177">
        <v>1.1000000000000001</v>
      </c>
      <c r="C9" s="54">
        <v>7.2089981577496423E-2</v>
      </c>
      <c r="D9" s="54">
        <v>0.92791001715705757</v>
      </c>
      <c r="E9" s="173">
        <v>1.2654461172857066E-9</v>
      </c>
      <c r="G9" s="145"/>
      <c r="H9" s="92"/>
      <c r="I9" s="69"/>
      <c r="J9" s="147"/>
      <c r="K9" s="146"/>
      <c r="L9" s="69"/>
      <c r="M9" s="86">
        <v>0.41522833999999997</v>
      </c>
      <c r="N9" s="94">
        <v>12.717474202305016</v>
      </c>
      <c r="O9" s="86">
        <v>0.15696072999999999</v>
      </c>
      <c r="P9" s="94">
        <v>12.170591806497976</v>
      </c>
      <c r="Q9" s="86">
        <v>0.30021854999999997</v>
      </c>
      <c r="R9" s="94">
        <v>8.6187079143983514</v>
      </c>
    </row>
    <row r="10" spans="2:18">
      <c r="B10" s="177">
        <v>1.2</v>
      </c>
      <c r="C10" s="54">
        <v>8.1006584217527766E-2</v>
      </c>
      <c r="D10" s="54">
        <v>0.91899341403603818</v>
      </c>
      <c r="E10" s="173">
        <v>1.7464341009747771E-9</v>
      </c>
      <c r="G10" s="145"/>
      <c r="H10" s="92"/>
      <c r="M10" s="86">
        <v>0.42839917999999999</v>
      </c>
      <c r="N10" s="94">
        <v>12.60424858241463</v>
      </c>
      <c r="O10" s="86">
        <v>0.16974987</v>
      </c>
      <c r="P10" s="94">
        <v>12.064712026798979</v>
      </c>
      <c r="Q10" s="86">
        <v>0.31374347000000002</v>
      </c>
      <c r="R10" s="94">
        <v>8.54701381918394</v>
      </c>
    </row>
    <row r="11" spans="2:18">
      <c r="B11" s="177">
        <v>1.3</v>
      </c>
      <c r="C11" s="54">
        <v>9.1109455331838368E-2</v>
      </c>
      <c r="D11" s="54">
        <v>0.90889054225004473</v>
      </c>
      <c r="E11" s="173">
        <v>2.4181170048060068E-9</v>
      </c>
      <c r="G11" s="145"/>
      <c r="H11" s="92"/>
      <c r="M11" s="86">
        <v>0.44141503999999998</v>
      </c>
      <c r="N11" s="94">
        <v>12.492091102532219</v>
      </c>
      <c r="O11" s="86">
        <v>0.18237851999999999</v>
      </c>
      <c r="P11" s="94">
        <v>11.959899747121945</v>
      </c>
      <c r="Q11" s="86">
        <v>0.32705372999999999</v>
      </c>
      <c r="R11" s="94">
        <v>8.4761577243307507</v>
      </c>
    </row>
    <row r="12" spans="2:18">
      <c r="B12" s="177">
        <v>1.4</v>
      </c>
      <c r="C12" s="54">
        <v>0.10258829324835522</v>
      </c>
      <c r="D12" s="54">
        <v>0.89741170341999343</v>
      </c>
      <c r="E12" s="173">
        <v>3.3316513719303689E-9</v>
      </c>
      <c r="G12" s="145"/>
      <c r="H12" s="92"/>
      <c r="M12" s="86">
        <v>0.45360386000000003</v>
      </c>
      <c r="N12" s="94">
        <v>12.382248762668537</v>
      </c>
      <c r="O12" s="86">
        <v>0.19416057</v>
      </c>
      <c r="P12" s="94">
        <v>11.857473807498124</v>
      </c>
      <c r="Q12" s="86">
        <v>0.33921122999999997</v>
      </c>
      <c r="R12" s="94">
        <v>8.4073452304368299</v>
      </c>
    </row>
    <row r="13" spans="2:18">
      <c r="B13" s="177">
        <v>1.5</v>
      </c>
      <c r="C13" s="54">
        <v>0.11562313204265133</v>
      </c>
      <c r="D13" s="54">
        <v>0.88437686336646015</v>
      </c>
      <c r="E13" s="173">
        <v>4.590888523641781E-9</v>
      </c>
      <c r="G13" s="145"/>
      <c r="H13" s="92"/>
      <c r="M13" s="86">
        <v>0.46614464999999999</v>
      </c>
      <c r="N13" s="94">
        <v>12.272405402804855</v>
      </c>
      <c r="O13" s="86">
        <v>0.20627119999999999</v>
      </c>
      <c r="P13" s="94">
        <v>11.755048877874302</v>
      </c>
      <c r="Q13" s="86">
        <v>0.35171887000000002</v>
      </c>
      <c r="R13" s="94">
        <v>8.3385325365428997</v>
      </c>
    </row>
    <row r="14" spans="2:18">
      <c r="B14" s="177">
        <v>1.6</v>
      </c>
      <c r="C14" s="54">
        <v>0.13043433523593803</v>
      </c>
      <c r="D14" s="54">
        <v>0.8695656584474375</v>
      </c>
      <c r="E14" s="173">
        <v>6.3166244819536246E-9</v>
      </c>
      <c r="G14" s="145"/>
      <c r="H14" s="92"/>
      <c r="M14" s="86">
        <v>0.47905836000000002</v>
      </c>
      <c r="N14" s="94">
        <v>12.162563052941174</v>
      </c>
      <c r="O14" s="86">
        <v>0.21872926000000001</v>
      </c>
      <c r="P14" s="94">
        <v>11.652622938250479</v>
      </c>
      <c r="Q14" s="86">
        <v>0.36459743999999999</v>
      </c>
      <c r="R14" s="94">
        <v>8.2697208426489706</v>
      </c>
    </row>
    <row r="15" spans="2:18">
      <c r="B15" s="177">
        <v>1.7</v>
      </c>
      <c r="C15" s="54">
        <v>0.1472379685406334</v>
      </c>
      <c r="D15" s="54">
        <v>0.85276202275165558</v>
      </c>
      <c r="E15" s="173">
        <v>8.7077109571443827E-9</v>
      </c>
      <c r="G15" s="145"/>
      <c r="H15" s="92"/>
      <c r="M15" s="86">
        <v>0.49236785999999999</v>
      </c>
      <c r="N15" s="94">
        <v>12.05271969307749</v>
      </c>
      <c r="O15" s="86">
        <v>0.23155527000000001</v>
      </c>
      <c r="P15" s="94">
        <v>11.550197008626659</v>
      </c>
      <c r="Q15" s="86">
        <v>0.37786960000000003</v>
      </c>
      <c r="R15" s="94">
        <v>8.2009080487550481</v>
      </c>
    </row>
    <row r="16" spans="2:18">
      <c r="B16" s="177">
        <v>1.8</v>
      </c>
      <c r="C16" s="54">
        <v>0.16629454765976245</v>
      </c>
      <c r="D16" s="54">
        <v>0.83370544032964344</v>
      </c>
      <c r="E16" s="173">
        <v>1.2010594177590894E-8</v>
      </c>
      <c r="G16" s="145"/>
      <c r="H16" s="92"/>
      <c r="M16" s="86">
        <v>0.50609820000000005</v>
      </c>
      <c r="N16" s="94">
        <v>11.942877343213809</v>
      </c>
      <c r="O16" s="86">
        <v>0.24477162999999999</v>
      </c>
      <c r="P16" s="94">
        <v>11.447772069002838</v>
      </c>
      <c r="Q16" s="86">
        <v>0.39156023000000001</v>
      </c>
      <c r="R16" s="94">
        <v>8.1320958548611308</v>
      </c>
    </row>
    <row r="17" spans="2:18">
      <c r="B17" s="177">
        <v>1.9</v>
      </c>
      <c r="C17" s="54">
        <v>0.18791884429970793</v>
      </c>
      <c r="D17" s="54">
        <v>0.81208113918400771</v>
      </c>
      <c r="E17" s="173">
        <v>1.6516284273143398E-8</v>
      </c>
      <c r="G17" s="145"/>
      <c r="H17" s="92"/>
      <c r="M17" s="86">
        <v>0.52027679999999998</v>
      </c>
      <c r="N17" s="94">
        <v>11.833033983350125</v>
      </c>
      <c r="O17" s="86">
        <v>0.25840281999999998</v>
      </c>
      <c r="P17" s="94">
        <v>11.345346129379015</v>
      </c>
      <c r="Q17" s="86">
        <v>0.40569648000000003</v>
      </c>
      <c r="R17" s="94">
        <v>8.0632837609671899</v>
      </c>
    </row>
    <row r="18" spans="2:18">
      <c r="B18" s="177">
        <v>2</v>
      </c>
      <c r="C18" s="54">
        <v>0.21243044262304231</v>
      </c>
      <c r="D18" s="54">
        <v>0.78756953473008851</v>
      </c>
      <c r="E18" s="173">
        <v>2.2646869290877671E-8</v>
      </c>
      <c r="G18" s="145"/>
      <c r="H18" s="92"/>
      <c r="M18" s="86">
        <v>0.53493400000000002</v>
      </c>
      <c r="N18" s="94">
        <v>11.723192633486443</v>
      </c>
      <c r="O18" s="86">
        <v>0.27247578</v>
      </c>
      <c r="P18" s="94">
        <v>11.242920209755194</v>
      </c>
      <c r="Q18" s="86">
        <v>0.42030840000000003</v>
      </c>
      <c r="R18" s="94">
        <v>7.9944713670732694</v>
      </c>
    </row>
    <row r="19" spans="2:18">
      <c r="B19" s="177">
        <v>2.1</v>
      </c>
      <c r="C19" s="54">
        <v>0.24000497767540546</v>
      </c>
      <c r="D19" s="54">
        <v>0.75999499119904601</v>
      </c>
      <c r="E19" s="173">
        <v>3.112554869594036E-8</v>
      </c>
      <c r="G19" s="145"/>
      <c r="H19" s="92"/>
      <c r="M19" s="86">
        <v>0.5474791</v>
      </c>
      <c r="N19" s="94">
        <v>11.617703223668201</v>
      </c>
      <c r="O19" s="86">
        <v>0.28578374000000001</v>
      </c>
      <c r="P19" s="94">
        <v>11.142642650193656</v>
      </c>
      <c r="Q19" s="86">
        <v>0.43542913</v>
      </c>
      <c r="R19" s="94">
        <v>7.9256588731793407</v>
      </c>
    </row>
    <row r="20" spans="2:18">
      <c r="B20" s="177">
        <v>2.2000000000000002</v>
      </c>
      <c r="C20" s="54">
        <v>0.27111013597403133</v>
      </c>
      <c r="D20" s="54">
        <v>0.72888982149436798</v>
      </c>
      <c r="E20" s="173">
        <v>4.253160069991129E-8</v>
      </c>
      <c r="G20" s="145"/>
      <c r="H20" s="92"/>
      <c r="M20" s="86">
        <v>0.56013440000000003</v>
      </c>
      <c r="N20" s="94">
        <v>11.512638453854391</v>
      </c>
      <c r="O20" s="86">
        <v>0.29784712000000002</v>
      </c>
      <c r="P20" s="94">
        <v>11.045178540713668</v>
      </c>
      <c r="Q20" s="86">
        <v>0.45109537</v>
      </c>
      <c r="R20" s="94">
        <v>7.8568468792854205</v>
      </c>
    </row>
    <row r="21" spans="2:18">
      <c r="B21" s="177">
        <v>2.2999999999999998</v>
      </c>
      <c r="C21" s="54">
        <v>0.30589190045246278</v>
      </c>
      <c r="D21" s="54">
        <v>0.69410804155050188</v>
      </c>
      <c r="E21" s="173">
        <v>5.799703523797271E-8</v>
      </c>
      <c r="G21" s="145"/>
      <c r="H21" s="92"/>
      <c r="M21" s="86">
        <v>0.57316959999999995</v>
      </c>
      <c r="N21" s="94">
        <v>11.407573694040584</v>
      </c>
      <c r="O21" s="86">
        <v>0.31025517000000002</v>
      </c>
      <c r="P21" s="94">
        <v>10.947715411233679</v>
      </c>
      <c r="Q21" s="86">
        <v>0.46421698</v>
      </c>
      <c r="R21" s="94">
        <v>7.79147818762236</v>
      </c>
    </row>
    <row r="22" spans="2:18">
      <c r="B22" s="177">
        <v>2.4</v>
      </c>
      <c r="C22" s="54">
        <v>0.34434857903438365</v>
      </c>
      <c r="D22" s="54">
        <v>0.65565134195919528</v>
      </c>
      <c r="E22" s="173">
        <v>7.9006421213190323E-8</v>
      </c>
      <c r="G22" s="145"/>
      <c r="H22" s="92"/>
      <c r="M22" s="86">
        <v>0.58660820000000002</v>
      </c>
      <c r="N22" s="94">
        <v>11.302509914226777</v>
      </c>
      <c r="O22" s="86">
        <v>0.32302818</v>
      </c>
      <c r="P22" s="94">
        <v>10.85025031175369</v>
      </c>
      <c r="Q22" s="86">
        <v>0.47695997000000001</v>
      </c>
      <c r="R22" s="94">
        <v>7.7269521965056196</v>
      </c>
    </row>
    <row r="23" spans="2:18">
      <c r="B23" s="177">
        <v>2.5</v>
      </c>
      <c r="C23" s="54">
        <v>0.38693385213123077</v>
      </c>
      <c r="D23" s="54">
        <v>0.613066041159539</v>
      </c>
      <c r="E23" s="173">
        <v>1.0670923019360503E-7</v>
      </c>
      <c r="G23" s="145"/>
      <c r="H23" s="92"/>
      <c r="M23" s="86">
        <v>0.60047589999999995</v>
      </c>
      <c r="N23" s="94">
        <v>11.19744515441297</v>
      </c>
      <c r="O23" s="86">
        <v>0.3361883</v>
      </c>
      <c r="P23" s="94">
        <v>10.7527861122737</v>
      </c>
      <c r="Q23" s="86">
        <v>0.49008822000000002</v>
      </c>
      <c r="R23" s="94">
        <v>7.6624266053888901</v>
      </c>
    </row>
    <row r="24" spans="2:18">
      <c r="B24" s="177">
        <v>2.6</v>
      </c>
      <c r="C24" s="54">
        <v>0.43273110103523399</v>
      </c>
      <c r="D24" s="54">
        <v>0.56726875498211737</v>
      </c>
      <c r="E24" s="173">
        <v>1.4398264852546003E-7</v>
      </c>
      <c r="G24" s="145"/>
      <c r="H24" s="92"/>
      <c r="M24" s="86">
        <v>0.61480104999999996</v>
      </c>
      <c r="N24" s="94">
        <v>11.092381384599161</v>
      </c>
      <c r="O24" s="86">
        <v>0.34975963999999998</v>
      </c>
      <c r="P24" s="94">
        <v>10.655322062793713</v>
      </c>
      <c r="Q24" s="86">
        <v>0.50362574999999998</v>
      </c>
      <c r="R24" s="94">
        <v>7.597901414272151</v>
      </c>
    </row>
    <row r="25" spans="2:18">
      <c r="B25" s="177">
        <v>2.7</v>
      </c>
      <c r="C25" s="54">
        <v>0.48090194366174138</v>
      </c>
      <c r="D25" s="54">
        <v>0.51909786255687662</v>
      </c>
      <c r="E25" s="173">
        <v>1.9378138194310598E-7</v>
      </c>
      <c r="G25" s="145"/>
      <c r="H25" s="92"/>
      <c r="M25" s="86">
        <v>0.62961495000000001</v>
      </c>
      <c r="N25" s="94">
        <v>10.987316624785352</v>
      </c>
      <c r="O25" s="86">
        <v>0.36376881999999999</v>
      </c>
      <c r="P25" s="94">
        <v>10.557856913313724</v>
      </c>
      <c r="Q25" s="86">
        <v>0.51759887000000004</v>
      </c>
      <c r="R25" s="94">
        <v>7.5333754231554</v>
      </c>
    </row>
    <row r="26" spans="2:18">
      <c r="B26" s="177">
        <v>2.8</v>
      </c>
      <c r="C26" s="54">
        <v>0.53359701150560401</v>
      </c>
      <c r="D26" s="54">
        <v>0.46640273314831837</v>
      </c>
      <c r="E26" s="173">
        <v>2.5534607755681958E-7</v>
      </c>
      <c r="G26" s="145"/>
      <c r="H26" s="92"/>
      <c r="M26" s="86">
        <v>0.6434607</v>
      </c>
      <c r="N26" s="94">
        <v>10.88447840500257</v>
      </c>
      <c r="O26" s="86">
        <v>0.378245</v>
      </c>
      <c r="P26" s="94">
        <v>10.460392813833733</v>
      </c>
      <c r="Q26" s="86">
        <v>0.53203654</v>
      </c>
      <c r="R26" s="94">
        <v>7.4688498320386598</v>
      </c>
    </row>
    <row r="27" spans="2:18">
      <c r="B27" s="177">
        <v>2.9</v>
      </c>
      <c r="C27" s="54">
        <v>0.58587832124270767</v>
      </c>
      <c r="D27" s="54">
        <v>0.41412134194105105</v>
      </c>
      <c r="E27" s="173">
        <v>3.3681624140571342E-7</v>
      </c>
      <c r="G27" s="145"/>
      <c r="H27" s="92"/>
      <c r="M27" s="86">
        <v>0.65693440000000003</v>
      </c>
      <c r="N27" s="94">
        <v>10.782840605236496</v>
      </c>
      <c r="O27" s="86">
        <v>0.39161453000000002</v>
      </c>
      <c r="P27" s="94">
        <v>10.365396314450177</v>
      </c>
      <c r="Q27" s="86">
        <v>0.54697070000000003</v>
      </c>
      <c r="R27" s="94">
        <v>7.4043239409219002</v>
      </c>
    </row>
    <row r="28" spans="2:18">
      <c r="B28" s="177">
        <v>3</v>
      </c>
      <c r="C28" s="54">
        <v>0.63858795378971467</v>
      </c>
      <c r="D28" s="54">
        <v>0.36141160698360392</v>
      </c>
      <c r="E28" s="173">
        <v>4.392266814841909E-7</v>
      </c>
      <c r="G28" s="145"/>
      <c r="H28" s="92"/>
      <c r="M28" s="86">
        <v>0.67083954999999995</v>
      </c>
      <c r="N28" s="94">
        <v>10.681201775470425</v>
      </c>
      <c r="O28" s="86">
        <v>0.40467897000000003</v>
      </c>
      <c r="P28" s="94">
        <v>10.271489315109184</v>
      </c>
      <c r="Q28" s="86">
        <v>0.56243675999999998</v>
      </c>
      <c r="R28" s="94">
        <v>7.33979874980517</v>
      </c>
    </row>
    <row r="29" spans="2:18">
      <c r="B29" s="177">
        <v>3.1</v>
      </c>
      <c r="C29" s="54">
        <v>0.68894151915460744</v>
      </c>
      <c r="D29" s="54">
        <v>0.31105791155809992</v>
      </c>
      <c r="E29" s="173">
        <v>5.6928729270998519E-7</v>
      </c>
      <c r="G29" s="145"/>
      <c r="H29" s="92"/>
      <c r="M29" s="86">
        <v>0.68517612999999999</v>
      </c>
      <c r="N29" s="94">
        <v>10.579605725705099</v>
      </c>
      <c r="O29" s="86">
        <v>0.41814859999999998</v>
      </c>
      <c r="P29" s="94">
        <v>10.177581315768188</v>
      </c>
      <c r="Q29" s="86">
        <v>0.57847404000000002</v>
      </c>
      <c r="R29" s="94">
        <v>7.2752730586884296</v>
      </c>
    </row>
    <row r="30" spans="2:18">
      <c r="B30" s="177">
        <v>3.2</v>
      </c>
      <c r="C30" s="54">
        <v>0.73673372866799736</v>
      </c>
      <c r="D30" s="54">
        <v>0.26326554105324657</v>
      </c>
      <c r="E30" s="173">
        <v>7.3027875614446415E-7</v>
      </c>
      <c r="G30" s="145"/>
      <c r="H30" s="92"/>
      <c r="M30" s="86">
        <v>0.69850623999999994</v>
      </c>
      <c r="N30" s="94">
        <v>10.480172255977658</v>
      </c>
      <c r="O30" s="86">
        <v>0.43204945</v>
      </c>
      <c r="P30" s="94">
        <v>10.083674286427197</v>
      </c>
      <c r="Q30" s="86">
        <v>0.59374713999999995</v>
      </c>
      <c r="R30" s="94">
        <v>7.2120652688111395</v>
      </c>
    </row>
    <row r="31" spans="2:18">
      <c r="B31" s="177">
        <v>3.3</v>
      </c>
      <c r="C31" s="54">
        <v>0.77991196075397773</v>
      </c>
      <c r="D31" s="54">
        <v>0.2200871077827431</v>
      </c>
      <c r="E31" s="173">
        <v>9.3146327912787846E-7</v>
      </c>
      <c r="G31" s="145"/>
      <c r="H31" s="92"/>
      <c r="M31" s="86">
        <v>0.71225846000000004</v>
      </c>
      <c r="N31" s="94">
        <v>10.38073878625022</v>
      </c>
      <c r="O31" s="86">
        <v>0.44515389999999999</v>
      </c>
      <c r="P31" s="94">
        <v>9.9916528771796305</v>
      </c>
      <c r="Q31" s="86">
        <v>0.60772099999999996</v>
      </c>
      <c r="R31" s="94">
        <v>7.15057268054814</v>
      </c>
    </row>
    <row r="32" spans="2:18" ht="15" thickBot="1">
      <c r="B32" s="177">
        <v>3.4</v>
      </c>
      <c r="C32" s="54">
        <v>0.81776311953840308</v>
      </c>
      <c r="D32" s="54">
        <v>0.18223569720495608</v>
      </c>
      <c r="E32" s="173">
        <v>1.1832566408898481E-6</v>
      </c>
      <c r="G32" s="146"/>
      <c r="H32" s="147"/>
      <c r="M32" s="86">
        <v>0.72646045999999997</v>
      </c>
      <c r="N32" s="94">
        <v>10.281305336522777</v>
      </c>
      <c r="O32" s="86">
        <v>0.45839005999999999</v>
      </c>
      <c r="P32" s="94">
        <v>9.9000347579520014</v>
      </c>
      <c r="Q32" s="86">
        <v>0.62215940000000003</v>
      </c>
      <c r="R32" s="94">
        <v>7.0890800922851405</v>
      </c>
    </row>
    <row r="33" spans="2:18" ht="15" thickBot="1">
      <c r="B33" s="177">
        <v>3.5</v>
      </c>
      <c r="C33" s="54">
        <v>0.85099818233594671</v>
      </c>
      <c r="D33" s="54">
        <v>0.14900032516802231</v>
      </c>
      <c r="E33" s="173">
        <v>1.492496030937872E-6</v>
      </c>
      <c r="G33" s="245" t="s">
        <v>400</v>
      </c>
      <c r="H33" s="247"/>
      <c r="M33" s="86">
        <v>0.74028384999999997</v>
      </c>
      <c r="N33" s="94">
        <v>10.183114996822791</v>
      </c>
      <c r="O33" s="86">
        <v>0.47204235</v>
      </c>
      <c r="P33" s="94">
        <v>9.8084167187243754</v>
      </c>
      <c r="Q33" s="86">
        <v>0.63709444000000004</v>
      </c>
      <c r="R33" s="94">
        <v>7.0275884040221701</v>
      </c>
    </row>
    <row r="34" spans="2:18" ht="16.5">
      <c r="B34" s="177">
        <v>3.6</v>
      </c>
      <c r="C34" s="54">
        <v>0.87892597991788612</v>
      </c>
      <c r="D34" s="54">
        <v>0.1210721402069017</v>
      </c>
      <c r="E34" s="173">
        <v>1.8798752122237525E-6</v>
      </c>
      <c r="G34" s="31" t="s">
        <v>640</v>
      </c>
      <c r="H34" s="142" t="s">
        <v>660</v>
      </c>
      <c r="M34" s="86">
        <v>0.75316983000000004</v>
      </c>
      <c r="N34" s="94">
        <v>10.086879287165974</v>
      </c>
      <c r="O34" s="86">
        <v>0.48613778000000002</v>
      </c>
      <c r="P34" s="94">
        <v>9.7167985694967474</v>
      </c>
      <c r="Q34" s="86">
        <v>0.65256137000000003</v>
      </c>
      <c r="R34" s="94">
        <v>6.9660961157591696</v>
      </c>
    </row>
    <row r="35" spans="2:18" ht="15" thickBot="1">
      <c r="B35" s="177">
        <v>3.7</v>
      </c>
      <c r="C35" s="54">
        <v>0.90212589999418402</v>
      </c>
      <c r="D35" s="54">
        <v>9.7871736281678334E-2</v>
      </c>
      <c r="E35" s="173">
        <v>2.3637241376065202E-6</v>
      </c>
      <c r="G35" s="146"/>
      <c r="H35" s="147"/>
      <c r="M35" s="86">
        <v>0.76644990000000002</v>
      </c>
      <c r="N35" s="94">
        <v>9.9906435775091591</v>
      </c>
      <c r="O35" s="86">
        <v>0.49854985000000002</v>
      </c>
      <c r="P35" s="94">
        <v>9.6283502204686133</v>
      </c>
      <c r="Q35" s="86">
        <v>0.66701955000000002</v>
      </c>
      <c r="R35" s="94">
        <v>6.9060511293587998</v>
      </c>
    </row>
    <row r="36" spans="2:18">
      <c r="B36" s="177">
        <v>3.8</v>
      </c>
      <c r="C36" s="54">
        <v>0.92154413291883219</v>
      </c>
      <c r="D36" s="54">
        <v>7.8452907724813378E-2</v>
      </c>
      <c r="E36" s="173">
        <v>2.9593563543977555E-6</v>
      </c>
      <c r="M36" s="86">
        <v>0.78014890000000003</v>
      </c>
      <c r="N36" s="94">
        <v>9.8944088678523414</v>
      </c>
      <c r="O36" s="86">
        <v>0.51122160000000005</v>
      </c>
      <c r="P36" s="94">
        <v>9.5400517214499878</v>
      </c>
      <c r="Q36" s="86">
        <v>0.68143134999999999</v>
      </c>
      <c r="R36" s="94">
        <v>6.8464889435799003</v>
      </c>
    </row>
    <row r="37" spans="2:18">
      <c r="B37" s="177">
        <v>3.9</v>
      </c>
      <c r="C37" s="54">
        <v>0.93709677890955856</v>
      </c>
      <c r="D37" s="54">
        <v>6.2899506766732435E-2</v>
      </c>
      <c r="E37" s="173">
        <v>3.7143237090608713E-6</v>
      </c>
      <c r="M37" s="86">
        <v>0.7942941</v>
      </c>
      <c r="N37" s="94">
        <v>9.7981721581955235</v>
      </c>
      <c r="O37" s="86">
        <v>0.52427420000000002</v>
      </c>
      <c r="P37" s="94">
        <v>9.4517521924313606</v>
      </c>
      <c r="Q37" s="86">
        <v>0.69633789999999995</v>
      </c>
      <c r="R37" s="94">
        <v>6.7869272578009898</v>
      </c>
    </row>
    <row r="38" spans="2:18">
      <c r="B38" s="177">
        <v>4</v>
      </c>
      <c r="C38" s="54">
        <v>0.94974194611619567</v>
      </c>
      <c r="D38" s="54">
        <v>5.0253396806326588E-2</v>
      </c>
      <c r="E38" s="173">
        <v>4.6570774778204778E-6</v>
      </c>
      <c r="M38" s="86">
        <v>0.80891559999999996</v>
      </c>
      <c r="N38" s="94">
        <v>9.7019364585387073</v>
      </c>
      <c r="O38" s="86">
        <v>0.53773130000000002</v>
      </c>
      <c r="P38" s="94">
        <v>9.3634536734127334</v>
      </c>
      <c r="Q38" s="86">
        <v>0.71177429999999997</v>
      </c>
      <c r="R38" s="94">
        <v>6.7273650720220708</v>
      </c>
    </row>
    <row r="39" spans="2:18">
      <c r="B39" s="177">
        <v>4.0999999999999996</v>
      </c>
      <c r="C39" s="54">
        <v>0.95988628705944612</v>
      </c>
      <c r="D39" s="54">
        <v>4.0107869268825397E-2</v>
      </c>
      <c r="E39" s="173">
        <v>5.8436717284156801E-6</v>
      </c>
      <c r="M39" s="86">
        <v>0.82404655000000004</v>
      </c>
      <c r="N39" s="94">
        <v>9.6057017488818914</v>
      </c>
      <c r="O39" s="86">
        <v>0.55161870000000002</v>
      </c>
      <c r="P39" s="94">
        <v>9.2751552243941067</v>
      </c>
      <c r="Q39" s="86">
        <v>0.7275798</v>
      </c>
      <c r="R39" s="94">
        <v>6.6679837865659195</v>
      </c>
    </row>
    <row r="40" spans="2:18">
      <c r="B40" s="177">
        <v>4.2</v>
      </c>
      <c r="C40" s="54">
        <v>0.96802190432231672</v>
      </c>
      <c r="D40" s="54">
        <v>3.1970760692531165E-2</v>
      </c>
      <c r="E40" s="173">
        <v>7.3349851521077752E-6</v>
      </c>
      <c r="M40" s="86">
        <v>0.83932375999999997</v>
      </c>
      <c r="N40" s="94">
        <v>9.5099872592404395</v>
      </c>
      <c r="O40" s="86">
        <v>0.56596493999999997</v>
      </c>
      <c r="P40" s="94">
        <v>9.1868576953754797</v>
      </c>
      <c r="Q40" s="86">
        <v>0.74102425999999999</v>
      </c>
      <c r="R40" s="94">
        <v>6.61118820572604</v>
      </c>
    </row>
    <row r="41" spans="2:18">
      <c r="B41" s="177">
        <v>4.3</v>
      </c>
      <c r="C41" s="54">
        <v>0.97450323852445997</v>
      </c>
      <c r="D41" s="54">
        <v>2.5487541001231743E-2</v>
      </c>
      <c r="E41" s="173">
        <v>9.2204743081817297E-6</v>
      </c>
      <c r="M41" s="86">
        <v>0.85233080000000006</v>
      </c>
      <c r="N41" s="94">
        <v>9.4178446397040929</v>
      </c>
      <c r="O41" s="86">
        <v>0.58080129999999996</v>
      </c>
      <c r="P41" s="94">
        <v>9.0985591763568507</v>
      </c>
      <c r="Q41" s="86">
        <v>0.75489824999999999</v>
      </c>
      <c r="R41" s="94">
        <v>6.5543924248861698</v>
      </c>
    </row>
    <row r="42" spans="2:18">
      <c r="B42" s="177">
        <v>4.4000000000000004</v>
      </c>
      <c r="C42" s="54">
        <v>0.97970547920220008</v>
      </c>
      <c r="D42" s="54">
        <v>2.0282940749773291E-2</v>
      </c>
      <c r="E42" s="173">
        <v>1.1580048026635548E-5</v>
      </c>
      <c r="M42" s="86">
        <v>0.86573946000000002</v>
      </c>
      <c r="N42" s="94">
        <v>9.3257020101677401</v>
      </c>
      <c r="O42" s="86">
        <v>0.59548100000000004</v>
      </c>
      <c r="P42" s="94">
        <v>9.0111739574158101</v>
      </c>
      <c r="Q42" s="86">
        <v>0.76923019999999998</v>
      </c>
      <c r="R42" s="94">
        <v>6.4975964440463008</v>
      </c>
    </row>
    <row r="43" spans="2:18">
      <c r="B43" s="177">
        <v>4.5</v>
      </c>
      <c r="C43" s="54">
        <v>0.98381995540086609</v>
      </c>
      <c r="D43" s="54">
        <v>1.6165462722661155E-2</v>
      </c>
      <c r="E43" s="173">
        <v>1.4581876472718781E-5</v>
      </c>
      <c r="M43" s="86">
        <v>0.87957529999999995</v>
      </c>
      <c r="N43" s="94">
        <v>9.2335594306313915</v>
      </c>
      <c r="O43" s="86">
        <v>0.60811095999999998</v>
      </c>
      <c r="P43" s="94">
        <v>8.9271222887576105</v>
      </c>
      <c r="Q43" s="86">
        <v>0.78405124000000004</v>
      </c>
      <c r="R43" s="94">
        <v>6.44080136320642</v>
      </c>
    </row>
    <row r="44" spans="2:18">
      <c r="B44" s="177">
        <v>4.5999999999999996</v>
      </c>
      <c r="C44" s="54">
        <v>0.98711662472655382</v>
      </c>
      <c r="D44" s="54">
        <v>1.2865031734816033E-2</v>
      </c>
      <c r="E44" s="173">
        <v>1.8343538630117508E-5</v>
      </c>
      <c r="M44" s="86">
        <v>0.89386653999999999</v>
      </c>
      <c r="N44" s="94">
        <v>9.1414168110950396</v>
      </c>
      <c r="O44" s="86">
        <v>0.62111925999999995</v>
      </c>
      <c r="P44" s="94">
        <v>8.8430696700994087</v>
      </c>
      <c r="Q44" s="86">
        <v>0.79939603999999997</v>
      </c>
      <c r="R44" s="94">
        <v>6.3840055823665391</v>
      </c>
    </row>
    <row r="45" spans="2:18">
      <c r="B45" s="177">
        <v>4.7</v>
      </c>
      <c r="C45" s="54">
        <v>0.98974233614146268</v>
      </c>
      <c r="D45" s="54">
        <v>1.0234584650676773E-2</v>
      </c>
      <c r="E45" s="173">
        <v>2.3079207860540334E-5</v>
      </c>
      <c r="M45" s="86">
        <v>0.90864409999999995</v>
      </c>
      <c r="N45" s="94">
        <v>9.0492741915586912</v>
      </c>
      <c r="O45" s="86">
        <v>0.63452929999999996</v>
      </c>
      <c r="P45" s="94">
        <v>8.7590170014412134</v>
      </c>
      <c r="Q45" s="86">
        <v>0.81530290000000005</v>
      </c>
      <c r="R45" s="94">
        <v>6.3272098015267</v>
      </c>
    </row>
    <row r="46" spans="2:18">
      <c r="B46" s="177">
        <v>4.8</v>
      </c>
      <c r="C46" s="54">
        <v>0.99183137781263098</v>
      </c>
      <c r="D46" s="54">
        <v>8.139581403978113E-3</v>
      </c>
      <c r="E46" s="173">
        <v>2.9040783390952561E-5</v>
      </c>
      <c r="M46" s="86">
        <v>0.92394220000000005</v>
      </c>
      <c r="N46" s="94">
        <v>8.9571305920223399</v>
      </c>
      <c r="O46" s="86">
        <v>0.64836663000000005</v>
      </c>
      <c r="P46" s="94">
        <v>8.6749653927830135</v>
      </c>
      <c r="Q46" s="86">
        <v>0.83181459999999996</v>
      </c>
      <c r="R46" s="94">
        <v>6.2704140206868004</v>
      </c>
    </row>
    <row r="47" spans="2:18">
      <c r="B47" s="177">
        <v>4.9000000000000004</v>
      </c>
      <c r="C47" s="54">
        <v>0.99351666319190224</v>
      </c>
      <c r="D47" s="54">
        <v>6.4469407081183348E-3</v>
      </c>
      <c r="E47" s="173">
        <v>3.6396099979451457E-5</v>
      </c>
      <c r="M47" s="86">
        <v>0.93979895000000002</v>
      </c>
      <c r="N47" s="94">
        <v>8.8649879724859879</v>
      </c>
      <c r="O47" s="86">
        <v>0.66265940000000001</v>
      </c>
      <c r="P47" s="94">
        <v>8.5909133741248169</v>
      </c>
      <c r="Q47" s="86">
        <v>0.84897900000000004</v>
      </c>
      <c r="R47" s="94">
        <v>6.2136181398469512</v>
      </c>
    </row>
    <row r="48" spans="2:18">
      <c r="B48" s="177">
        <v>5</v>
      </c>
      <c r="C48" s="54">
        <v>0.99480931914704573</v>
      </c>
      <c r="D48" s="54">
        <v>5.1446902785957154E-3</v>
      </c>
      <c r="E48" s="173">
        <v>4.5990574358676876E-5</v>
      </c>
      <c r="M48" s="86">
        <v>0.95340806</v>
      </c>
      <c r="N48" s="94">
        <v>8.7761708730864285</v>
      </c>
      <c r="O48" s="86">
        <v>0.67743856000000002</v>
      </c>
      <c r="P48" s="94">
        <v>8.5068607054666163</v>
      </c>
      <c r="Q48" s="86">
        <v>0.86684969999999995</v>
      </c>
      <c r="R48" s="94">
        <v>6.1568225590070504</v>
      </c>
    </row>
    <row r="49" spans="2:18">
      <c r="B49" s="177">
        <v>5.0999999999999996</v>
      </c>
      <c r="C49" s="54">
        <v>0.99585321294403129</v>
      </c>
      <c r="D49" s="54">
        <v>4.088908772982622E-3</v>
      </c>
      <c r="E49" s="173">
        <v>5.7878282986150853E-5</v>
      </c>
      <c r="M49" s="86">
        <v>0.96700549999999996</v>
      </c>
      <c r="N49" s="94">
        <v>8.6878676637079639</v>
      </c>
      <c r="O49" s="86">
        <v>0.69273850000000003</v>
      </c>
      <c r="P49" s="94">
        <v>8.4228084868084157</v>
      </c>
      <c r="Q49" s="86">
        <v>0.88221466999999998</v>
      </c>
      <c r="R49" s="94">
        <v>6.1024558848555701</v>
      </c>
    </row>
    <row r="50" spans="2:18">
      <c r="B50" s="177">
        <v>5.2</v>
      </c>
      <c r="C50" s="54">
        <v>0.99667791548178319</v>
      </c>
      <c r="D50" s="54">
        <v>3.249246276585638E-3</v>
      </c>
      <c r="E50" s="173">
        <v>7.2838241631063299E-5</v>
      </c>
      <c r="M50" s="86">
        <v>0.98104239999999998</v>
      </c>
      <c r="N50" s="94">
        <v>8.5995644543295011</v>
      </c>
      <c r="O50" s="86">
        <v>0.70703210000000005</v>
      </c>
      <c r="P50" s="94">
        <v>8.3406642383801746</v>
      </c>
      <c r="Q50" s="86">
        <v>0.896671</v>
      </c>
      <c r="R50" s="94">
        <v>6.0491480136203295</v>
      </c>
    </row>
    <row r="51" spans="2:18">
      <c r="B51" s="177">
        <v>5.3</v>
      </c>
      <c r="C51" s="54">
        <v>0.99732673244923342</v>
      </c>
      <c r="D51" s="54">
        <v>2.5816049629758617E-3</v>
      </c>
      <c r="E51" s="173">
        <v>9.1662587790695881E-5</v>
      </c>
      <c r="M51" s="86">
        <v>0.99554819999999999</v>
      </c>
      <c r="N51" s="94">
        <v>8.5112612449510383</v>
      </c>
      <c r="O51" s="86">
        <v>0.72003649999999997</v>
      </c>
      <c r="P51" s="94">
        <v>8.2606200402050689</v>
      </c>
      <c r="Q51" s="86">
        <v>0.91162515</v>
      </c>
      <c r="R51" s="94">
        <v>5.9958401423850303</v>
      </c>
    </row>
    <row r="52" spans="2:18">
      <c r="B52" s="177">
        <v>5.4</v>
      </c>
      <c r="C52" s="54">
        <v>0.99784524434132038</v>
      </c>
      <c r="D52" s="54">
        <v>2.0399980665827765E-3</v>
      </c>
      <c r="E52" s="173">
        <v>1.1475759209671729E-4</v>
      </c>
      <c r="M52" s="86">
        <v>1.0105553</v>
      </c>
      <c r="N52" s="94">
        <v>8.4229570455725753</v>
      </c>
      <c r="O52" s="86">
        <v>0.7334425</v>
      </c>
      <c r="P52" s="94">
        <v>8.1805752420299633</v>
      </c>
      <c r="Q52" s="86">
        <v>0.92711264000000004</v>
      </c>
      <c r="R52" s="94">
        <v>5.9425324711497289</v>
      </c>
    </row>
    <row r="53" spans="2:18">
      <c r="B53" s="177">
        <v>5.5</v>
      </c>
      <c r="C53" s="54">
        <v>0.99822587405127061</v>
      </c>
      <c r="D53" s="54">
        <v>1.6289820445226637E-3</v>
      </c>
      <c r="E53" s="173">
        <v>1.4514390420669788E-4</v>
      </c>
      <c r="M53" s="86">
        <v>1.0260996</v>
      </c>
      <c r="N53" s="94">
        <v>8.3346533361941102</v>
      </c>
      <c r="O53" s="86">
        <v>0.74727540000000003</v>
      </c>
      <c r="P53" s="94">
        <v>8.1005309438548583</v>
      </c>
      <c r="Q53" s="86">
        <v>0.94317289999999998</v>
      </c>
      <c r="R53" s="94">
        <v>5.8892246999144406</v>
      </c>
    </row>
    <row r="54" spans="2:18">
      <c r="B54" s="177">
        <v>5.6</v>
      </c>
      <c r="C54" s="54">
        <v>0.99852365774189056</v>
      </c>
      <c r="D54" s="54">
        <v>1.2937160590723079E-3</v>
      </c>
      <c r="E54" s="173">
        <v>1.8262619903716571E-4</v>
      </c>
      <c r="M54" s="86">
        <v>1.0422210000000001</v>
      </c>
      <c r="N54" s="94">
        <v>8.246349916815646</v>
      </c>
      <c r="O54" s="86">
        <v>0.76156354000000004</v>
      </c>
      <c r="P54" s="94">
        <v>8.0204861856797489</v>
      </c>
      <c r="Q54" s="86">
        <v>0.95984994999999995</v>
      </c>
      <c r="R54" s="94">
        <v>5.8359170286791402</v>
      </c>
    </row>
    <row r="55" spans="2:18">
      <c r="B55" s="177">
        <v>5.7</v>
      </c>
      <c r="C55" s="54">
        <v>0.99874290966191104</v>
      </c>
      <c r="D55" s="54">
        <v>1.02731872416519E-3</v>
      </c>
      <c r="E55" s="173">
        <v>2.2977161392377768E-4</v>
      </c>
      <c r="M55" s="86">
        <v>1.056117</v>
      </c>
      <c r="N55" s="94">
        <v>8.1611228376129059</v>
      </c>
      <c r="O55" s="86">
        <v>0.77633774</v>
      </c>
      <c r="P55" s="94">
        <v>7.9404420775046471</v>
      </c>
      <c r="Q55" s="86">
        <v>0.97719305999999995</v>
      </c>
      <c r="R55" s="94">
        <v>5.7826091574438401</v>
      </c>
    </row>
    <row r="56" spans="2:18">
      <c r="B56" s="177">
        <v>5.8</v>
      </c>
      <c r="C56" s="54">
        <v>0.99889526278683116</v>
      </c>
      <c r="D56" s="54">
        <v>8.1567211351651621E-4</v>
      </c>
      <c r="E56" s="173">
        <v>2.8906509965234044E-4</v>
      </c>
      <c r="M56" s="86">
        <v>1.0699637</v>
      </c>
      <c r="N56" s="94">
        <v>8.076428918440671</v>
      </c>
      <c r="O56" s="86">
        <v>0.79163229999999996</v>
      </c>
      <c r="P56" s="94">
        <v>7.8603974093295399</v>
      </c>
      <c r="Q56" s="86">
        <v>0.99525770000000002</v>
      </c>
      <c r="R56" s="94">
        <v>5.7293012862085506</v>
      </c>
    </row>
    <row r="57" spans="2:18">
      <c r="B57" s="177">
        <v>5.9</v>
      </c>
      <c r="C57" s="54">
        <v>0.99899126960117257</v>
      </c>
      <c r="D57" s="54">
        <v>6.4590720254631255E-4</v>
      </c>
      <c r="E57" s="173">
        <v>3.6282319628107605E-4</v>
      </c>
      <c r="M57" s="86">
        <v>1.0842662999999999</v>
      </c>
      <c r="N57" s="94">
        <v>7.9917349992684388</v>
      </c>
      <c r="O57" s="86">
        <v>0.80748520000000001</v>
      </c>
      <c r="P57" s="94">
        <v>7.7803528011544332</v>
      </c>
      <c r="Q57" s="86">
        <v>1.0141064</v>
      </c>
      <c r="R57" s="94">
        <v>5.6759935149732499</v>
      </c>
    </row>
    <row r="58" spans="2:18">
      <c r="B58" s="177">
        <v>6</v>
      </c>
      <c r="C58" s="54">
        <v>0.99903159527180985</v>
      </c>
      <c r="D58" s="54">
        <v>5.1235100305004879E-4</v>
      </c>
      <c r="E58" s="173">
        <v>4.5605372514002831E-4</v>
      </c>
      <c r="M58" s="86">
        <v>1.099056</v>
      </c>
      <c r="N58" s="94">
        <v>7.9070421000962039</v>
      </c>
      <c r="O58" s="86">
        <v>0.82089626999999998</v>
      </c>
      <c r="P58" s="94">
        <v>7.7036721535539581</v>
      </c>
      <c r="Q58" s="86">
        <v>1.0321506</v>
      </c>
      <c r="R58" s="94">
        <v>5.6237567488806297</v>
      </c>
    </row>
    <row r="59" spans="2:18">
      <c r="B59" s="177">
        <v>6.1</v>
      </c>
      <c r="C59" s="54">
        <v>0.99901893384596419</v>
      </c>
      <c r="D59" s="54">
        <v>4.0700431729560893E-4</v>
      </c>
      <c r="E59" s="173">
        <v>5.7406183674029462E-4</v>
      </c>
      <c r="M59" s="86">
        <v>1.1143672</v>
      </c>
      <c r="N59" s="94">
        <v>7.8223481909239698</v>
      </c>
      <c r="O59" s="86">
        <v>0.83433939999999995</v>
      </c>
      <c r="P59" s="94">
        <v>7.6274171560260804</v>
      </c>
      <c r="Q59" s="86">
        <v>1.0474374</v>
      </c>
      <c r="R59" s="94">
        <v>5.5737195933526493</v>
      </c>
    </row>
    <row r="60" spans="2:18">
      <c r="B60" s="177">
        <v>6.2</v>
      </c>
      <c r="C60" s="54">
        <v>0.9989540872604955</v>
      </c>
      <c r="D60" s="54">
        <v>3.2331735748425904E-4</v>
      </c>
      <c r="E60" s="173">
        <v>7.2259538202020673E-4</v>
      </c>
      <c r="M60" s="86">
        <v>1.1302380000000001</v>
      </c>
      <c r="N60" s="94">
        <v>7.7376548917517365</v>
      </c>
      <c r="O60" s="86">
        <v>0.84821194</v>
      </c>
      <c r="P60" s="94">
        <v>7.5511611584982052</v>
      </c>
      <c r="Q60" s="86">
        <v>1.0632820000000001</v>
      </c>
      <c r="R60" s="94">
        <v>5.5236830378246706</v>
      </c>
    </row>
    <row r="61" spans="2:18">
      <c r="B61" s="177">
        <v>6.3</v>
      </c>
      <c r="C61" s="54">
        <v>0.99883236483302817</v>
      </c>
      <c r="D61" s="54">
        <v>2.5712740173502671E-4</v>
      </c>
      <c r="E61" s="173">
        <v>9.1050776523685713E-4</v>
      </c>
      <c r="M61" s="86">
        <v>1.1467109</v>
      </c>
      <c r="N61" s="94">
        <v>7.6529613825795035</v>
      </c>
      <c r="O61" s="86">
        <v>0.86254233000000002</v>
      </c>
      <c r="P61" s="94">
        <v>7.4749062209703299</v>
      </c>
      <c r="Q61" s="86">
        <v>1.0797266000000001</v>
      </c>
      <c r="R61" s="94">
        <v>5.4736461822967</v>
      </c>
    </row>
    <row r="62" spans="2:18">
      <c r="B62" s="177">
        <v>6.4</v>
      </c>
      <c r="C62" s="54">
        <v>0.99864880243262777</v>
      </c>
      <c r="D62" s="54">
        <v>2.0439525791165697E-4</v>
      </c>
      <c r="E62" s="173">
        <v>1.1468023094605864E-3</v>
      </c>
      <c r="M62" s="86">
        <v>1.1597481000000001</v>
      </c>
      <c r="N62" s="94">
        <v>7.5725636537892802</v>
      </c>
      <c r="O62" s="86">
        <v>0.87736170000000002</v>
      </c>
      <c r="P62" s="94">
        <v>7.39865022344246</v>
      </c>
      <c r="Q62" s="86">
        <v>1.0968184000000001</v>
      </c>
      <c r="R62" s="94">
        <v>5.4236093267687</v>
      </c>
    </row>
    <row r="63" spans="2:18">
      <c r="B63" s="177">
        <v>6.5</v>
      </c>
      <c r="C63" s="54">
        <v>0.99838715543053802</v>
      </c>
      <c r="D63" s="54">
        <v>1.6300683792815017E-4</v>
      </c>
      <c r="E63" s="173">
        <v>1.4498377315338351E-3</v>
      </c>
      <c r="M63" s="86">
        <v>1.1723773</v>
      </c>
      <c r="N63" s="94">
        <v>7.4929981250730417</v>
      </c>
      <c r="O63" s="86">
        <v>0.89270470000000002</v>
      </c>
      <c r="P63" s="94">
        <v>7.3223952659145795</v>
      </c>
      <c r="Q63" s="86">
        <v>1.1146106</v>
      </c>
      <c r="R63" s="94">
        <v>5.3735722712407004</v>
      </c>
    </row>
    <row r="64" spans="2:18">
      <c r="B64" s="177">
        <v>6.6</v>
      </c>
      <c r="C64" s="54">
        <v>0.99805686501698443</v>
      </c>
      <c r="D64" s="54">
        <v>1.2882212248777584E-4</v>
      </c>
      <c r="E64" s="173">
        <v>1.8143128605277758E-3</v>
      </c>
      <c r="M64" s="86">
        <v>1.1853848</v>
      </c>
      <c r="N64" s="94">
        <v>7.4134319763568053</v>
      </c>
      <c r="O64" s="86">
        <v>0.90860960000000002</v>
      </c>
      <c r="P64" s="94">
        <v>7.2461392683867043</v>
      </c>
      <c r="Q64" s="86">
        <v>1.1331629000000001</v>
      </c>
      <c r="R64" s="94">
        <v>5.3235355157126998</v>
      </c>
    </row>
    <row r="65" spans="2:18">
      <c r="B65" s="177">
        <v>6.7</v>
      </c>
      <c r="C65" s="54">
        <v>0.99761265372524022</v>
      </c>
      <c r="D65" s="54">
        <v>1.0240841204033356E-4</v>
      </c>
      <c r="E65" s="173">
        <v>2.284937862719486E-3</v>
      </c>
      <c r="M65" s="86">
        <v>1.1987939000000001</v>
      </c>
      <c r="N65" s="94">
        <v>7.333866427640567</v>
      </c>
      <c r="O65" s="86">
        <v>0.92365149999999996</v>
      </c>
      <c r="P65" s="94">
        <v>7.1714897713022996</v>
      </c>
      <c r="Q65" s="86">
        <v>1.1525432</v>
      </c>
      <c r="R65" s="94">
        <v>5.2734987601849008</v>
      </c>
    </row>
    <row r="66" spans="2:18">
      <c r="B66" s="177">
        <v>6.8</v>
      </c>
      <c r="C66" s="54">
        <v>0.99704654385093128</v>
      </c>
      <c r="D66" s="54">
        <v>8.1276096675484403E-5</v>
      </c>
      <c r="E66" s="173">
        <v>2.8721800523932284E-3</v>
      </c>
      <c r="M66" s="86">
        <v>1.2126303</v>
      </c>
      <c r="N66" s="94">
        <v>7.2543006989243315</v>
      </c>
      <c r="O66" s="86">
        <v>0.93569769999999997</v>
      </c>
      <c r="P66" s="94">
        <v>7.1005931752544056</v>
      </c>
      <c r="Q66" s="86">
        <v>1.1728289999999999</v>
      </c>
      <c r="R66" s="94">
        <v>5.2234618046568988</v>
      </c>
    </row>
    <row r="67" spans="2:18">
      <c r="B67" s="177">
        <v>6.9</v>
      </c>
      <c r="C67" s="54">
        <v>0.99629289914438979</v>
      </c>
      <c r="D67" s="54">
        <v>6.5059544622054162E-5</v>
      </c>
      <c r="E67" s="173">
        <v>3.6420413109881263E-3</v>
      </c>
      <c r="M67" s="86">
        <v>1.2269220000000001</v>
      </c>
      <c r="N67" s="94">
        <v>7.1747349602080925</v>
      </c>
      <c r="O67" s="86">
        <v>0.94808749999999997</v>
      </c>
      <c r="P67" s="94">
        <v>7.0296966792065003</v>
      </c>
      <c r="Q67" s="86">
        <v>1.1941090000000001</v>
      </c>
      <c r="R67" s="94">
        <v>5.1734248491288994</v>
      </c>
    </row>
    <row r="68" spans="2:18">
      <c r="B68" s="177">
        <v>7</v>
      </c>
      <c r="C68" s="54">
        <v>0.99540396452334801</v>
      </c>
      <c r="D68" s="54">
        <v>5.1330539788694487E-5</v>
      </c>
      <c r="E68" s="173">
        <v>4.5447049368632477E-3</v>
      </c>
      <c r="M68" s="86">
        <v>1.2417001999999999</v>
      </c>
      <c r="N68" s="94">
        <v>7.0951694314918532</v>
      </c>
      <c r="O68" s="86">
        <v>0.96084124000000004</v>
      </c>
      <c r="P68" s="94">
        <v>6.9587999831586034</v>
      </c>
      <c r="Q68" s="86">
        <v>1.2108833000000001</v>
      </c>
      <c r="R68" s="94">
        <v>5.1263467203850999</v>
      </c>
    </row>
    <row r="69" spans="2:18">
      <c r="B69" s="177">
        <v>7.1</v>
      </c>
      <c r="C69" s="54">
        <v>0.99423986110629647</v>
      </c>
      <c r="D69" s="54">
        <v>4.0770681572947648E-5</v>
      </c>
      <c r="E69" s="173">
        <v>5.7193682121305734E-3</v>
      </c>
      <c r="M69" s="86">
        <v>1.2569988999999999</v>
      </c>
      <c r="N69" s="94">
        <v>7.0156032927756167</v>
      </c>
      <c r="O69" s="86">
        <v>0.97398083999999996</v>
      </c>
      <c r="P69" s="94">
        <v>6.8879030871106997</v>
      </c>
      <c r="Q69" s="86">
        <v>1.2280804000000001</v>
      </c>
      <c r="R69" s="94">
        <v>5.0793966928028</v>
      </c>
    </row>
    <row r="70" spans="2:18">
      <c r="B70" s="177">
        <v>7.2</v>
      </c>
      <c r="C70" s="54">
        <v>0.99277462747924639</v>
      </c>
      <c r="D70" s="54">
        <v>3.2400237331633263E-5</v>
      </c>
      <c r="E70" s="173">
        <v>7.1929722834219098E-3</v>
      </c>
      <c r="M70" s="86">
        <v>1.2728564</v>
      </c>
      <c r="N70" s="94">
        <v>6.9360377540593801</v>
      </c>
      <c r="O70" s="86">
        <v>0.98753040000000003</v>
      </c>
      <c r="P70" s="94">
        <v>6.8170066610628002</v>
      </c>
      <c r="Q70" s="86">
        <v>1.2459867</v>
      </c>
      <c r="R70" s="94">
        <v>5.0324466652205997</v>
      </c>
    </row>
    <row r="71" spans="2:18">
      <c r="B71" s="177">
        <v>7.3</v>
      </c>
      <c r="C71" s="54">
        <v>0.99091899927991045</v>
      </c>
      <c r="D71" s="54">
        <v>2.5784689840787655E-5</v>
      </c>
      <c r="E71" s="173">
        <v>9.0552160302487476E-3</v>
      </c>
      <c r="M71" s="86">
        <v>1.2893147</v>
      </c>
      <c r="N71" s="94">
        <v>6.8564720153431402</v>
      </c>
      <c r="O71" s="86">
        <v>1.0015164999999999</v>
      </c>
      <c r="P71" s="94">
        <v>6.7461102450148998</v>
      </c>
      <c r="Q71" s="86">
        <v>1.2646632</v>
      </c>
      <c r="R71" s="94">
        <v>4.9854967376383996</v>
      </c>
    </row>
    <row r="72" spans="2:18">
      <c r="B72" s="177">
        <v>7.4</v>
      </c>
      <c r="C72" s="54">
        <v>0.98855643402064253</v>
      </c>
      <c r="D72" s="54">
        <v>2.0577948132074727E-5</v>
      </c>
      <c r="E72" s="173">
        <v>1.142298803122538E-2</v>
      </c>
      <c r="M72" s="86">
        <v>1.3064214999999999</v>
      </c>
      <c r="N72" s="94">
        <v>6.7769062366269042</v>
      </c>
      <c r="O72" s="86">
        <v>1.0159678000000001</v>
      </c>
      <c r="P72" s="94">
        <v>6.6752135989669901</v>
      </c>
      <c r="Q72" s="86">
        <v>1.2841791</v>
      </c>
      <c r="R72" s="94">
        <v>4.9385469100560995</v>
      </c>
    </row>
    <row r="73" spans="2:18">
      <c r="B73" s="177">
        <v>7.5</v>
      </c>
      <c r="C73" s="54">
        <v>0.98567329020638916</v>
      </c>
      <c r="D73" s="54">
        <v>1.63048626152423E-5</v>
      </c>
      <c r="E73" s="173">
        <v>1.431040493099563E-2</v>
      </c>
      <c r="M73" s="86">
        <v>1.3242297999999999</v>
      </c>
      <c r="N73" s="94">
        <v>6.6973407079106666</v>
      </c>
      <c r="O73" s="86">
        <v>1.0309166999999999</v>
      </c>
      <c r="P73" s="94">
        <v>6.6043170629190948</v>
      </c>
      <c r="Q73" s="86">
        <v>1.3046134</v>
      </c>
      <c r="R73" s="94">
        <v>4.8915967824738003</v>
      </c>
    </row>
    <row r="74" spans="2:18">
      <c r="B74" s="177">
        <v>7.6</v>
      </c>
      <c r="C74" s="54">
        <v>0.98202705617271002</v>
      </c>
      <c r="D74" s="54">
        <v>1.295801484974843E-5</v>
      </c>
      <c r="E74" s="173">
        <v>1.7959985812440352E-2</v>
      </c>
      <c r="M74" s="86">
        <v>1.3427998000000001</v>
      </c>
      <c r="N74" s="94">
        <v>6.6177745691944301</v>
      </c>
      <c r="O74" s="86">
        <v>1.0463985</v>
      </c>
      <c r="P74" s="94">
        <v>6.53342005687119</v>
      </c>
      <c r="Q74" s="86">
        <v>1.3260567999999999</v>
      </c>
      <c r="R74" s="94">
        <v>4.8446468548916002</v>
      </c>
    </row>
    <row r="75" spans="2:18">
      <c r="B75" s="177">
        <v>7.7</v>
      </c>
      <c r="C75" s="54">
        <v>0.97747543245377666</v>
      </c>
      <c r="D75" s="54">
        <v>1.0296299499788544E-5</v>
      </c>
      <c r="E75" s="173">
        <v>2.2514271246723519E-2</v>
      </c>
      <c r="M75" s="86">
        <v>1.3621993999999999</v>
      </c>
      <c r="N75" s="94">
        <v>6.5382090404781898</v>
      </c>
      <c r="O75" s="86">
        <v>1.0624528</v>
      </c>
      <c r="P75" s="94">
        <v>6.4625235408232937</v>
      </c>
      <c r="Q75" s="86">
        <v>1.3486142000000001</v>
      </c>
      <c r="R75" s="94">
        <v>4.7976966273093007</v>
      </c>
    </row>
    <row r="76" spans="2:18">
      <c r="B76" s="177">
        <v>7.8</v>
      </c>
      <c r="C76" s="54">
        <v>0.9716991062762218</v>
      </c>
      <c r="D76" s="54">
        <v>8.2121707613999427E-6</v>
      </c>
      <c r="E76" s="173">
        <v>2.8292681553016771E-2</v>
      </c>
      <c r="M76" s="86">
        <v>1.3782494999999999</v>
      </c>
      <c r="N76" s="94">
        <v>6.4619474221849362</v>
      </c>
      <c r="O76" s="86">
        <v>1.0791233</v>
      </c>
      <c r="P76" s="94">
        <v>6.3916269747753898</v>
      </c>
      <c r="Q76" s="86">
        <v>1.3724078</v>
      </c>
      <c r="R76" s="94">
        <v>4.7507468997271003</v>
      </c>
    </row>
    <row r="77" spans="2:18">
      <c r="B77" s="177">
        <v>7.9</v>
      </c>
      <c r="C77" s="54">
        <v>0.96457231216547457</v>
      </c>
      <c r="D77" s="54">
        <v>6.530614235024873E-6</v>
      </c>
      <c r="E77" s="173">
        <v>3.542115722029035E-2</v>
      </c>
      <c r="M77" s="86">
        <v>1.3938782999999999</v>
      </c>
      <c r="N77" s="94">
        <v>6.3864659439914657</v>
      </c>
      <c r="O77" s="86">
        <v>1.0964594000000001</v>
      </c>
      <c r="P77" s="94">
        <v>6.3207306587274896</v>
      </c>
      <c r="Q77" s="86">
        <v>1.3944715999999999</v>
      </c>
      <c r="R77" s="94">
        <v>4.7051072938359999</v>
      </c>
    </row>
    <row r="78" spans="2:18">
      <c r="B78" s="177">
        <v>8</v>
      </c>
      <c r="C78" s="54">
        <v>0.95584725185836561</v>
      </c>
      <c r="D78" s="54">
        <v>5.2012406291893569E-6</v>
      </c>
      <c r="E78" s="173">
        <v>4.4147546901005121E-2</v>
      </c>
      <c r="M78" s="86">
        <v>1.4100907</v>
      </c>
      <c r="N78" s="94">
        <v>6.310984745797998</v>
      </c>
      <c r="O78" s="86">
        <v>1.1145164000000001</v>
      </c>
      <c r="P78" s="94">
        <v>6.2498337226796004</v>
      </c>
      <c r="Q78" s="86">
        <v>1.4154464</v>
      </c>
      <c r="R78" s="94">
        <v>4.6603805030513996</v>
      </c>
    </row>
    <row r="79" spans="2:18">
      <c r="B79" s="177">
        <v>8.1</v>
      </c>
      <c r="C79" s="54">
        <v>0.94474185337476879</v>
      </c>
      <c r="D79" s="54">
        <v>4.1356055257638377E-6</v>
      </c>
      <c r="E79" s="173">
        <v>5.5254011019705361E-2</v>
      </c>
      <c r="M79" s="86">
        <v>1.4263627999999999</v>
      </c>
      <c r="N79" s="94">
        <v>6.2359782476895402</v>
      </c>
      <c r="O79" s="86">
        <v>1.1333568000000001</v>
      </c>
      <c r="P79" s="94">
        <v>6.1789368266316904</v>
      </c>
      <c r="Q79" s="86">
        <v>1.4374856</v>
      </c>
      <c r="R79" s="94">
        <v>4.6156536122666996</v>
      </c>
    </row>
    <row r="80" spans="2:18">
      <c r="B80" s="177">
        <v>8.1999999999999993</v>
      </c>
      <c r="C80" s="54">
        <v>0.93110857093538235</v>
      </c>
      <c r="D80" s="54">
        <v>3.2964328248294879E-6</v>
      </c>
      <c r="E80" s="173">
        <v>6.8888132631792831E-2</v>
      </c>
      <c r="M80" s="86">
        <v>1.4419032000000001</v>
      </c>
      <c r="N80" s="94">
        <v>6.1620715897776073</v>
      </c>
      <c r="O80" s="86">
        <v>1.1523933</v>
      </c>
      <c r="P80" s="94">
        <v>6.1085641307966894</v>
      </c>
      <c r="Q80" s="86">
        <v>1.4607034000000001</v>
      </c>
      <c r="R80" s="94">
        <v>4.5709265214823001</v>
      </c>
    </row>
    <row r="81" spans="2:18">
      <c r="B81" s="177">
        <v>8.3000000000000007</v>
      </c>
      <c r="C81" s="54">
        <v>0.91402716157963326</v>
      </c>
      <c r="D81" s="54">
        <v>2.6357002116666243E-6</v>
      </c>
      <c r="E81" s="173">
        <v>8.5970202720155153E-2</v>
      </c>
      <c r="M81" s="86">
        <v>1.4580206</v>
      </c>
      <c r="N81" s="94">
        <v>6.088164511865676</v>
      </c>
      <c r="O81" s="86">
        <v>1.1674331</v>
      </c>
      <c r="P81" s="94">
        <v>6.0419146764754901</v>
      </c>
      <c r="Q81" s="86">
        <v>1.485233</v>
      </c>
      <c r="R81" s="94">
        <v>4.5261995306978005</v>
      </c>
    </row>
    <row r="82" spans="2:18">
      <c r="B82" s="177">
        <v>8.4</v>
      </c>
      <c r="C82" s="54">
        <v>0.89365399945285628</v>
      </c>
      <c r="D82" s="54">
        <v>2.0987978809301765E-6</v>
      </c>
      <c r="E82" s="173">
        <v>0.1063439017492627</v>
      </c>
      <c r="M82" s="86">
        <v>1.4747592</v>
      </c>
      <c r="N82" s="94">
        <v>6.0142578539537404</v>
      </c>
      <c r="O82" s="86">
        <v>1.1830126000000001</v>
      </c>
      <c r="P82" s="94">
        <v>5.9752653421542998</v>
      </c>
      <c r="Q82" s="86">
        <v>1.5078396999999999</v>
      </c>
      <c r="R82" s="94">
        <v>4.4827826781921996</v>
      </c>
    </row>
    <row r="83" spans="2:18">
      <c r="B83" s="177">
        <v>8.5</v>
      </c>
      <c r="C83" s="54">
        <v>0.86870162997737821</v>
      </c>
      <c r="D83" s="54">
        <v>1.6740100576582629E-6</v>
      </c>
      <c r="E83" s="173">
        <v>0.13129669601256419</v>
      </c>
      <c r="M83" s="86">
        <v>1.4899161999999999</v>
      </c>
      <c r="N83" s="94">
        <v>5.9421851564462198</v>
      </c>
      <c r="O83" s="86">
        <v>1.1991718</v>
      </c>
      <c r="P83" s="94">
        <v>5.9086159478331197</v>
      </c>
      <c r="Q83" s="86">
        <v>1.5313135</v>
      </c>
      <c r="R83" s="94">
        <v>4.4395030297057998</v>
      </c>
    </row>
    <row r="84" spans="2:18">
      <c r="B84" s="177">
        <v>8.6</v>
      </c>
      <c r="C84" s="54">
        <v>0.83846604376836287</v>
      </c>
      <c r="D84" s="54">
        <v>1.3359210978418311E-6</v>
      </c>
      <c r="E84" s="173">
        <v>0.16153262031053928</v>
      </c>
      <c r="M84" s="86">
        <v>1.5050203</v>
      </c>
      <c r="N84" s="94">
        <v>5.8705863590431067</v>
      </c>
      <c r="O84" s="86">
        <v>1.215311</v>
      </c>
      <c r="P84" s="94">
        <v>5.8425030538345997</v>
      </c>
      <c r="Q84" s="86">
        <v>1.5561290999999999</v>
      </c>
      <c r="R84" s="94">
        <v>4.3962237812194003</v>
      </c>
    </row>
    <row r="85" spans="2:18">
      <c r="B85" s="177">
        <v>8.6999999999999993</v>
      </c>
      <c r="C85" s="54">
        <v>0.80231342569617381</v>
      </c>
      <c r="D85" s="54">
        <v>1.0653409655085004E-6</v>
      </c>
      <c r="E85" s="173">
        <v>0.19768550896286072</v>
      </c>
      <c r="M85" s="86">
        <v>1.5206686</v>
      </c>
      <c r="N85" s="94">
        <v>5.7989878616399952</v>
      </c>
      <c r="O85" s="86">
        <v>1.230712</v>
      </c>
      <c r="P85" s="94">
        <v>5.777483060493581</v>
      </c>
      <c r="Q85" s="86">
        <v>1.582449</v>
      </c>
      <c r="R85" s="94">
        <v>4.3529441327329996</v>
      </c>
    </row>
    <row r="86" spans="2:18">
      <c r="B86" s="177">
        <v>8.8000000000000007</v>
      </c>
      <c r="C86" s="54">
        <v>0.75877596171018646</v>
      </c>
      <c r="D86" s="54">
        <v>8.490978859460168E-7</v>
      </c>
      <c r="E86" s="173">
        <v>0.24122318919192759</v>
      </c>
      <c r="M86" s="86">
        <v>1.536902</v>
      </c>
      <c r="N86" s="94">
        <v>5.7273887642368857</v>
      </c>
      <c r="O86" s="86">
        <v>1.2466792</v>
      </c>
      <c r="P86" s="94">
        <v>5.7124630671525498</v>
      </c>
      <c r="Q86" s="86">
        <v>1.6097809000000001</v>
      </c>
      <c r="R86" s="94">
        <v>4.3099021948689993</v>
      </c>
    </row>
    <row r="87" spans="2:18">
      <c r="B87" s="177">
        <v>8.9</v>
      </c>
      <c r="C87" s="54">
        <v>0.70955598447189205</v>
      </c>
      <c r="D87" s="54">
        <v>6.727709929309367E-7</v>
      </c>
      <c r="E87" s="173">
        <v>0.29044334275711498</v>
      </c>
      <c r="M87" s="86">
        <v>1.5537658000000001</v>
      </c>
      <c r="N87" s="94">
        <v>5.65579052683377</v>
      </c>
      <c r="O87" s="86">
        <v>1.2632559999999999</v>
      </c>
      <c r="P87" s="94">
        <v>5.6474434738115296</v>
      </c>
      <c r="Q87" s="86">
        <v>1.636363</v>
      </c>
      <c r="R87" s="94">
        <v>4.2676987945578002</v>
      </c>
    </row>
    <row r="88" spans="2:18">
      <c r="B88" s="177">
        <v>9</v>
      </c>
      <c r="C88" s="54">
        <v>0.65272694949472443</v>
      </c>
      <c r="D88" s="54">
        <v>5.3014020095037948E-7</v>
      </c>
      <c r="E88" s="173">
        <v>0.34727252036507461</v>
      </c>
      <c r="M88" s="86">
        <v>1.5713109000000001</v>
      </c>
      <c r="N88" s="94">
        <v>5.5841915694306605</v>
      </c>
      <c r="O88" s="86">
        <v>1.2789191</v>
      </c>
      <c r="P88" s="94">
        <v>5.583696681431249</v>
      </c>
      <c r="Q88" s="86">
        <v>1.6646787999999999</v>
      </c>
      <c r="R88" s="94">
        <v>4.2254954942469993</v>
      </c>
    </row>
    <row r="89" spans="2:18">
      <c r="B89" s="177">
        <v>9.1</v>
      </c>
      <c r="C89" s="54">
        <v>0.588574282501936</v>
      </c>
      <c r="D89" s="54">
        <v>4.1338671748719506E-7</v>
      </c>
      <c r="E89" s="173">
        <v>0.41142530411134648</v>
      </c>
      <c r="M89" s="86">
        <v>1.5895946999999999</v>
      </c>
      <c r="N89" s="94">
        <v>5.5125933220275503</v>
      </c>
      <c r="O89" s="86">
        <v>1.2937559000000001</v>
      </c>
      <c r="P89" s="94">
        <v>5.5210558898855799</v>
      </c>
      <c r="Q89" s="86">
        <v>1.6929641</v>
      </c>
      <c r="R89" s="94">
        <v>4.1839203355297006</v>
      </c>
    </row>
    <row r="90" spans="2:18">
      <c r="B90" s="177">
        <v>9.1999999999999993</v>
      </c>
      <c r="C90" s="54">
        <v>0.51811461614112775</v>
      </c>
      <c r="D90" s="54">
        <v>3.1675427827404754E-7</v>
      </c>
      <c r="E90" s="173">
        <v>0.481885067104594</v>
      </c>
      <c r="M90" s="86">
        <v>1.6054586</v>
      </c>
      <c r="N90" s="94">
        <v>5.4433312753060399</v>
      </c>
      <c r="O90" s="86">
        <v>1.3091176</v>
      </c>
      <c r="P90" s="94">
        <v>5.4584152983399301</v>
      </c>
      <c r="Q90" s="86">
        <v>1.7229232999999999</v>
      </c>
      <c r="R90" s="94">
        <v>4.1424320825779999</v>
      </c>
    </row>
    <row r="91" spans="2:18">
      <c r="B91" s="177">
        <v>9.3000000000000007</v>
      </c>
      <c r="C91" s="54">
        <v>0.44283887071175998</v>
      </c>
      <c r="D91" s="54">
        <v>2.3594670841080705E-7</v>
      </c>
      <c r="E91" s="173">
        <v>0.55716089334153174</v>
      </c>
      <c r="M91" s="86">
        <v>1.6209867</v>
      </c>
      <c r="N91" s="94">
        <v>5.3747271387762456</v>
      </c>
      <c r="O91" s="86">
        <v>1.3250426</v>
      </c>
      <c r="P91" s="94">
        <v>5.3957744067942697</v>
      </c>
      <c r="Q91" s="86">
        <v>1.7531859999999999</v>
      </c>
      <c r="R91" s="94">
        <v>4.1015205920194999</v>
      </c>
    </row>
    <row r="92" spans="2:18">
      <c r="B92" s="177">
        <v>9.4</v>
      </c>
      <c r="C92" s="54">
        <v>0.36519797720591674</v>
      </c>
      <c r="D92" s="54">
        <v>1.6797023016293783E-7</v>
      </c>
      <c r="E92" s="173">
        <v>0.6348018548238531</v>
      </c>
      <c r="M92" s="86">
        <v>1.6370906999999999</v>
      </c>
      <c r="N92" s="94">
        <v>5.3061223822464498</v>
      </c>
      <c r="O92" s="86">
        <v>1.3415737999999999</v>
      </c>
      <c r="P92" s="94">
        <v>5.3331337152486196</v>
      </c>
      <c r="Q92" s="86">
        <v>1.7839353</v>
      </c>
      <c r="R92" s="94">
        <v>4.0611080554703998</v>
      </c>
    </row>
    <row r="93" spans="2:18">
      <c r="B93" s="177">
        <v>9.5</v>
      </c>
      <c r="C93" s="54">
        <v>0.28888049942720662</v>
      </c>
      <c r="D93" s="54">
        <v>1.1138461355823368E-7</v>
      </c>
      <c r="E93" s="173">
        <v>0.71111938918817985</v>
      </c>
      <c r="M93" s="86">
        <v>1.6538149</v>
      </c>
      <c r="N93" s="94">
        <v>5.2375182157166638</v>
      </c>
      <c r="O93" s="86">
        <v>1.3587594000000001</v>
      </c>
      <c r="P93" s="94">
        <v>5.2704936237029498</v>
      </c>
      <c r="Q93" s="86">
        <v>1.8170288000000001</v>
      </c>
      <c r="R93" s="94">
        <v>4.0206954489213</v>
      </c>
    </row>
    <row r="94" spans="2:18">
      <c r="B94" s="177">
        <v>9.6</v>
      </c>
      <c r="C94" s="54">
        <v>0.2189997751493715</v>
      </c>
      <c r="D94" s="54">
        <v>6.6674811790875387E-8</v>
      </c>
      <c r="E94" s="173">
        <v>0.78100015817581669</v>
      </c>
      <c r="M94" s="86">
        <v>1.6712089999999999</v>
      </c>
      <c r="N94" s="94">
        <v>5.1689135891868707</v>
      </c>
      <c r="O94" s="86">
        <v>1.3766531</v>
      </c>
      <c r="P94" s="94">
        <v>5.2078528321573003</v>
      </c>
      <c r="Q94" s="86">
        <v>1.8528537</v>
      </c>
      <c r="R94" s="94">
        <v>3.980283282372</v>
      </c>
    </row>
    <row r="95" spans="2:18">
      <c r="B95" s="177">
        <v>9.6999999999999993</v>
      </c>
      <c r="C95" s="54">
        <v>0.16095672267583902</v>
      </c>
      <c r="D95" s="54">
        <v>3.5375248860788753E-8</v>
      </c>
      <c r="E95" s="173">
        <v>0.83904324194891211</v>
      </c>
      <c r="M95" s="86">
        <v>1.6893289</v>
      </c>
      <c r="N95" s="94">
        <v>5.1003090526570745</v>
      </c>
      <c r="O95" s="86">
        <v>1.3953158000000001</v>
      </c>
      <c r="P95" s="94">
        <v>5.1452121406116609</v>
      </c>
      <c r="Q95" s="86">
        <v>1.8919014999999999</v>
      </c>
      <c r="R95" s="94">
        <v>3.9398708158230002</v>
      </c>
    </row>
    <row r="96" spans="2:18">
      <c r="B96" s="177">
        <v>9.8000000000000007</v>
      </c>
      <c r="C96" s="54">
        <v>0.1172699195697559</v>
      </c>
      <c r="D96" s="54">
        <v>1.6939841286842043E-8</v>
      </c>
      <c r="E96" s="173">
        <v>0.88273006349040284</v>
      </c>
      <c r="M96" s="86">
        <v>1.7082379000000001</v>
      </c>
      <c r="N96" s="94">
        <v>5.03170466612728</v>
      </c>
      <c r="O96" s="86">
        <v>1.4106474</v>
      </c>
      <c r="P96" s="94">
        <v>5.0854796521036008</v>
      </c>
      <c r="Q96" s="86">
        <v>1.9295684</v>
      </c>
      <c r="R96" s="94">
        <v>3.900696163468</v>
      </c>
    </row>
    <row r="97" spans="2:18">
      <c r="B97" s="177">
        <v>9.9</v>
      </c>
      <c r="C97" s="54">
        <v>8.6230075650015017E-2</v>
      </c>
      <c r="D97" s="54">
        <v>7.6734087383095001E-9</v>
      </c>
      <c r="E97" s="173">
        <v>0.91376991667657625</v>
      </c>
      <c r="M97" s="86">
        <v>1.7246587</v>
      </c>
      <c r="N97" s="94">
        <v>4.9653240005060209</v>
      </c>
      <c r="O97" s="86">
        <v>1.426299</v>
      </c>
      <c r="P97" s="94">
        <v>5.0259104637657703</v>
      </c>
      <c r="Q97" s="86">
        <v>1.9698173000000001</v>
      </c>
      <c r="R97" s="94">
        <v>3.8617373124089998</v>
      </c>
    </row>
    <row r="98" spans="2:18">
      <c r="B98" s="177">
        <v>10</v>
      </c>
      <c r="C98" s="54">
        <v>6.4493528481083029E-2</v>
      </c>
      <c r="D98" s="54">
        <v>3.3625197712451108E-9</v>
      </c>
      <c r="E98" s="173">
        <v>0.93550646815639715</v>
      </c>
      <c r="M98" s="86">
        <v>1.7406671</v>
      </c>
      <c r="N98" s="94">
        <v>4.8996219651620603</v>
      </c>
      <c r="O98" s="86">
        <v>1.4425357999999999</v>
      </c>
      <c r="P98" s="94">
        <v>4.9663410754279393</v>
      </c>
      <c r="Q98" s="86">
        <v>2.0141810000000002</v>
      </c>
      <c r="R98" s="94">
        <v>3.8227787713504999</v>
      </c>
    </row>
    <row r="99" spans="2:18">
      <c r="M99" s="86">
        <v>1.7572882999999999</v>
      </c>
      <c r="N99" s="94">
        <v>4.833919809818096</v>
      </c>
      <c r="O99" s="86">
        <v>1.4594033</v>
      </c>
      <c r="P99" s="94">
        <v>4.9067715870901001</v>
      </c>
      <c r="Q99" s="86">
        <v>2.0635973999999999</v>
      </c>
      <c r="R99" s="94">
        <v>3.7838202902920002</v>
      </c>
    </row>
    <row r="100" spans="2:18">
      <c r="M100" s="86">
        <v>1.7745711</v>
      </c>
      <c r="N100" s="94">
        <v>4.7682176544741406</v>
      </c>
      <c r="O100" s="86">
        <v>1.4769524000000001</v>
      </c>
      <c r="P100" s="94">
        <v>4.8472022987522694</v>
      </c>
      <c r="Q100" s="86">
        <v>2.1183312000000001</v>
      </c>
      <c r="R100" s="94">
        <v>3.7450468533840002</v>
      </c>
    </row>
    <row r="101" spans="2:18">
      <c r="M101" s="86">
        <v>1.7925701000000001</v>
      </c>
      <c r="N101" s="94">
        <v>4.7025157191301803</v>
      </c>
      <c r="O101" s="86">
        <v>1.4952407999999999</v>
      </c>
      <c r="P101" s="94">
        <v>4.7876328104143999</v>
      </c>
      <c r="Q101" s="86">
        <v>2.1750500000000001</v>
      </c>
      <c r="R101" s="94">
        <v>3.7071975857089998</v>
      </c>
    </row>
    <row r="102" spans="2:18">
      <c r="M102" s="86">
        <v>1.8113475999999999</v>
      </c>
      <c r="N102" s="94">
        <v>4.6368135937862096</v>
      </c>
      <c r="O102" s="86">
        <v>1.5143332</v>
      </c>
      <c r="P102" s="94">
        <v>4.7280634220765698</v>
      </c>
      <c r="Q102" s="86">
        <v>2.2403050000000002</v>
      </c>
      <c r="R102" s="94">
        <v>3.6693486680324998</v>
      </c>
    </row>
    <row r="103" spans="2:18">
      <c r="M103" s="86">
        <v>1.8309736999999999</v>
      </c>
      <c r="N103" s="94">
        <v>4.5711115284422492</v>
      </c>
      <c r="O103" s="86">
        <v>1.5326611999999999</v>
      </c>
      <c r="P103" s="94">
        <v>4.6695561354045001</v>
      </c>
      <c r="Q103" s="86">
        <v>2.3124389999999999</v>
      </c>
      <c r="R103" s="94">
        <v>3.6321605897460003</v>
      </c>
    </row>
    <row r="104" spans="2:18">
      <c r="M104" s="86">
        <v>1.8480471000000001</v>
      </c>
      <c r="N104" s="94">
        <v>4.5075293843267001</v>
      </c>
      <c r="O104" s="86">
        <v>1.5487453</v>
      </c>
      <c r="P104" s="94">
        <v>4.6129468517097001</v>
      </c>
      <c r="Q104" s="86">
        <v>2.3981773999999998</v>
      </c>
      <c r="R104" s="94">
        <v>3.5950669494620002</v>
      </c>
    </row>
    <row r="105" spans="2:18">
      <c r="M105" s="86">
        <v>1.8646284</v>
      </c>
      <c r="N105" s="94">
        <v>4.4446472706166</v>
      </c>
      <c r="O105" s="86">
        <v>1.565448</v>
      </c>
      <c r="P105" s="94">
        <v>4.5563379680149003</v>
      </c>
      <c r="Q105" s="86">
        <v>2.5016465000000001</v>
      </c>
      <c r="R105" s="94">
        <v>3.5583143570389999</v>
      </c>
    </row>
    <row r="106" spans="2:18">
      <c r="M106" s="86">
        <v>1.8818680999999999</v>
      </c>
      <c r="N106" s="94">
        <v>4.3817650969065003</v>
      </c>
      <c r="O106" s="86">
        <v>1.582819</v>
      </c>
      <c r="P106" s="94">
        <v>4.4997286843201003</v>
      </c>
      <c r="Q106" s="86">
        <v>2.6322882000000001</v>
      </c>
      <c r="R106" s="94">
        <v>3.5219830915499997</v>
      </c>
    </row>
    <row r="107" spans="2:18">
      <c r="M107" s="86">
        <v>1.8998204000000001</v>
      </c>
      <c r="N107" s="94">
        <v>4.31888298319641</v>
      </c>
      <c r="O107" s="86">
        <v>1.6009138000000001</v>
      </c>
      <c r="P107" s="94">
        <v>4.4431195006252802</v>
      </c>
      <c r="Q107" s="86">
        <v>2.8144003999999998</v>
      </c>
      <c r="R107" s="94">
        <v>3.48597417606</v>
      </c>
    </row>
    <row r="108" spans="2:18">
      <c r="M108" s="86">
        <v>1.9185471999999999</v>
      </c>
      <c r="N108" s="94">
        <v>4.2560008594863001</v>
      </c>
      <c r="O108" s="86">
        <v>1.6197954000000001</v>
      </c>
      <c r="P108" s="94">
        <v>4.3865103169304804</v>
      </c>
      <c r="Q108" s="86">
        <v>3.1206640999999999</v>
      </c>
      <c r="R108" s="94">
        <v>3.4504005334199999</v>
      </c>
    </row>
    <row r="109" spans="2:18">
      <c r="M109" s="86">
        <v>1.9381177000000001</v>
      </c>
      <c r="N109" s="94">
        <v>4.1931186957762092</v>
      </c>
      <c r="O109" s="86">
        <v>1.6395354</v>
      </c>
      <c r="P109" s="94">
        <v>4.3299013332356697</v>
      </c>
      <c r="Q109" s="86">
        <v>4.5424986000000001</v>
      </c>
      <c r="R109" s="94">
        <v>3.4187198084000001</v>
      </c>
    </row>
    <row r="110" spans="2:18">
      <c r="M110" s="86">
        <v>1.9586121000000001</v>
      </c>
      <c r="N110" s="94">
        <v>4.1302365720661101</v>
      </c>
      <c r="O110" s="86">
        <v>1.6602155000000001</v>
      </c>
      <c r="P110" s="94">
        <v>4.2732921495408593</v>
      </c>
      <c r="Q110" s="86">
        <v>4.5539750000000003</v>
      </c>
      <c r="R110" s="94">
        <v>3.4186907244999998</v>
      </c>
    </row>
    <row r="111" spans="2:18">
      <c r="M111" s="86">
        <v>1.9750760999999999</v>
      </c>
      <c r="N111" s="94">
        <v>4.0703711813115495</v>
      </c>
      <c r="O111" s="86">
        <v>1.6780088</v>
      </c>
      <c r="P111" s="94">
        <v>4.2188893712240993</v>
      </c>
      <c r="Q111" s="86">
        <v>5.9795613000000003</v>
      </c>
      <c r="R111" s="94">
        <v>3.4216019214349997</v>
      </c>
    </row>
    <row r="112" spans="2:18">
      <c r="M112" s="86">
        <v>1.9903358</v>
      </c>
      <c r="N112" s="94">
        <v>4.0115791916088206</v>
      </c>
      <c r="O112" s="86">
        <v>1.6953511999999999</v>
      </c>
      <c r="P112" s="94">
        <v>4.1651432945084697</v>
      </c>
      <c r="Q112" s="86">
        <v>6.2910732999999999</v>
      </c>
      <c r="R112" s="94">
        <v>3.4286488979179999</v>
      </c>
    </row>
    <row r="113" spans="13:18">
      <c r="M113" s="86">
        <v>2.0061513999999998</v>
      </c>
      <c r="N113" s="94">
        <v>3.9527874019060905</v>
      </c>
      <c r="O113" s="86">
        <v>1.7134151</v>
      </c>
      <c r="P113" s="94">
        <v>4.1113973177928393</v>
      </c>
      <c r="Q113" s="86">
        <v>6.478129</v>
      </c>
      <c r="R113" s="94">
        <v>3.436389233925</v>
      </c>
    </row>
    <row r="114" spans="13:18">
      <c r="M114" s="86">
        <v>2.0225650000000002</v>
      </c>
      <c r="N114" s="94">
        <v>3.8939956122033501</v>
      </c>
      <c r="O114" s="86">
        <v>1.7322630000000001</v>
      </c>
      <c r="P114" s="94">
        <v>4.0576511410772005</v>
      </c>
      <c r="Q114" s="86">
        <v>6.6140930000000004</v>
      </c>
      <c r="R114" s="94">
        <v>3.4448028358179998</v>
      </c>
    </row>
    <row r="115" spans="13:18">
      <c r="M115" s="86">
        <v>2.0396230000000002</v>
      </c>
      <c r="N115" s="94">
        <v>3.8352036225006203</v>
      </c>
      <c r="O115" s="86">
        <v>1.7519661</v>
      </c>
      <c r="P115" s="94">
        <v>4.0039052643614994</v>
      </c>
      <c r="Q115" s="86">
        <v>6.7237425000000002</v>
      </c>
      <c r="R115" s="94">
        <v>3.4538537456580003</v>
      </c>
    </row>
    <row r="116" spans="13:18">
      <c r="M116" s="86">
        <v>2.0573785</v>
      </c>
      <c r="N116" s="94">
        <v>3.7764118327978902</v>
      </c>
      <c r="O116" s="86">
        <v>1.7726059000000001</v>
      </c>
      <c r="P116" s="94">
        <v>3.9501591876458999</v>
      </c>
      <c r="Q116" s="86">
        <v>6.8122470000000002</v>
      </c>
      <c r="R116" s="94">
        <v>3.4636148919694998</v>
      </c>
    </row>
    <row r="117" spans="13:18">
      <c r="M117" s="86">
        <v>2.0758912999999999</v>
      </c>
      <c r="N117" s="94">
        <v>3.7176197430951397</v>
      </c>
      <c r="O117" s="86">
        <v>1.7942756</v>
      </c>
      <c r="P117" s="94">
        <v>3.8964132109302998</v>
      </c>
      <c r="Q117" s="86">
        <v>6.8895609999999996</v>
      </c>
      <c r="R117" s="94">
        <v>3.4740606361879998</v>
      </c>
    </row>
    <row r="118" spans="13:18">
      <c r="M118" s="86">
        <v>2.0952282000000002</v>
      </c>
      <c r="N118" s="94">
        <v>3.65882801339241</v>
      </c>
      <c r="O118" s="86">
        <v>1.8163099</v>
      </c>
      <c r="P118" s="94">
        <v>3.8430498356002603</v>
      </c>
      <c r="Q118" s="86">
        <v>6.9593660000000002</v>
      </c>
      <c r="R118" s="94">
        <v>3.4851442819099998</v>
      </c>
    </row>
    <row r="119" spans="13:18">
      <c r="M119" s="86">
        <v>2.1154663999999999</v>
      </c>
      <c r="N119" s="94">
        <v>3.6000362636896903</v>
      </c>
      <c r="O119" s="86">
        <v>1.835882</v>
      </c>
      <c r="P119" s="94">
        <v>3.7914009664808397</v>
      </c>
      <c r="Q119" s="86">
        <v>7.0228466999999997</v>
      </c>
      <c r="R119" s="94">
        <v>3.4968698605264996</v>
      </c>
    </row>
    <row r="120" spans="13:18">
      <c r="M120" s="86">
        <v>2.1366942</v>
      </c>
      <c r="N120" s="94">
        <v>3.5412441739869593</v>
      </c>
      <c r="O120" s="86">
        <v>1.8563778</v>
      </c>
      <c r="P120" s="94">
        <v>3.7397519973614299</v>
      </c>
      <c r="Q120" s="86">
        <v>7.0804743999999999</v>
      </c>
      <c r="R120" s="94">
        <v>3.5092918289039998</v>
      </c>
    </row>
    <row r="121" spans="13:18">
      <c r="M121" s="86">
        <v>2.1590129999999998</v>
      </c>
      <c r="N121" s="94">
        <v>3.4824524242842299</v>
      </c>
      <c r="O121" s="86">
        <v>1.8778889999999999</v>
      </c>
      <c r="P121" s="94">
        <v>3.6881032282420003</v>
      </c>
      <c r="Q121" s="86">
        <v>7.1271380000000004</v>
      </c>
      <c r="R121" s="94">
        <v>3.5228496594701997</v>
      </c>
    </row>
    <row r="122" spans="13:18">
      <c r="M122" s="86">
        <v>2.1825410999999999</v>
      </c>
      <c r="N122" s="94">
        <v>3.4236607345815</v>
      </c>
      <c r="O122" s="86">
        <v>1.8993930000000001</v>
      </c>
      <c r="P122" s="94">
        <v>3.6369891618830299</v>
      </c>
      <c r="Q122" s="86">
        <v>7.1794257000000004</v>
      </c>
      <c r="R122" s="94">
        <v>3.5364074500367004</v>
      </c>
    </row>
    <row r="123" spans="13:18">
      <c r="M123" s="86">
        <v>2.2074175</v>
      </c>
      <c r="N123" s="94">
        <v>3.3648686048787702</v>
      </c>
      <c r="O123" s="86">
        <v>1.9201512000000001</v>
      </c>
      <c r="P123" s="94">
        <v>3.5867174998723401</v>
      </c>
      <c r="Q123" s="86">
        <v>7.2250284999999996</v>
      </c>
      <c r="R123" s="94">
        <v>3.551081769644</v>
      </c>
    </row>
    <row r="124" spans="13:18">
      <c r="M124" s="86">
        <v>2.2338057</v>
      </c>
      <c r="N124" s="94">
        <v>3.3060767151760397</v>
      </c>
      <c r="O124" s="86">
        <v>1.9419515999999999</v>
      </c>
      <c r="P124" s="94">
        <v>3.5364460378616496</v>
      </c>
      <c r="Q124" s="86">
        <v>7.2675390000000002</v>
      </c>
      <c r="R124" s="94">
        <v>3.5663778021795998</v>
      </c>
    </row>
    <row r="125" spans="13:18">
      <c r="M125" s="86">
        <v>2.2560117000000002</v>
      </c>
      <c r="N125" s="94">
        <v>3.2496432288784605</v>
      </c>
      <c r="O125" s="86">
        <v>1.9649044</v>
      </c>
      <c r="P125" s="94">
        <v>3.4861744758509601</v>
      </c>
      <c r="Q125" s="86">
        <v>7.3121539999999996</v>
      </c>
      <c r="R125" s="94">
        <v>3.5819732172177998</v>
      </c>
    </row>
    <row r="126" spans="13:18">
      <c r="M126" s="86">
        <v>2.2768864999999998</v>
      </c>
      <c r="N126" s="94">
        <v>3.1941782439792203</v>
      </c>
      <c r="O126" s="86">
        <v>1.9864618000000001</v>
      </c>
      <c r="P126" s="94">
        <v>3.4371203234698999</v>
      </c>
      <c r="Q126" s="86">
        <v>7.3483260000000001</v>
      </c>
      <c r="R126" s="94">
        <v>3.5990367125359999</v>
      </c>
    </row>
    <row r="127" spans="13:18">
      <c r="M127" s="86">
        <v>2.2988152999999998</v>
      </c>
      <c r="N127" s="94">
        <v>3.1387131590799999</v>
      </c>
      <c r="O127" s="86">
        <v>2.0072296000000001</v>
      </c>
      <c r="P127" s="94">
        <v>3.3888978776643</v>
      </c>
      <c r="Q127" s="86">
        <v>7.3877873000000003</v>
      </c>
      <c r="R127" s="94">
        <v>3.6161003078540999</v>
      </c>
    </row>
    <row r="128" spans="13:18">
      <c r="M128" s="86">
        <v>2.3213053000000001</v>
      </c>
      <c r="N128" s="94">
        <v>3.08351281485134</v>
      </c>
      <c r="O128" s="86">
        <v>2.0290406000000001</v>
      </c>
      <c r="P128" s="94">
        <v>3.3406752318588002</v>
      </c>
      <c r="Q128" s="86">
        <v>7.422841</v>
      </c>
      <c r="R128" s="94">
        <v>3.6344136607216999</v>
      </c>
    </row>
    <row r="129" spans="13:18">
      <c r="M129" s="86">
        <v>2.3425020000000001</v>
      </c>
      <c r="N129" s="94">
        <v>3.0293587432762199</v>
      </c>
      <c r="O129" s="86">
        <v>2.0520049999999999</v>
      </c>
      <c r="P129" s="94">
        <v>3.2924525860533005</v>
      </c>
      <c r="Q129" s="86">
        <v>7.4570540000000003</v>
      </c>
      <c r="R129" s="94">
        <v>3.6532719386735</v>
      </c>
    </row>
    <row r="130" spans="13:18">
      <c r="M130" s="86">
        <v>2.3647868999999999</v>
      </c>
      <c r="N130" s="94">
        <v>2.9752050117010795</v>
      </c>
      <c r="O130" s="86">
        <v>2.0762521999999999</v>
      </c>
      <c r="P130" s="94">
        <v>3.2442299402477</v>
      </c>
      <c r="Q130" s="86">
        <v>7.4925550000000003</v>
      </c>
      <c r="R130" s="94">
        <v>3.6724344263872002</v>
      </c>
    </row>
    <row r="131" spans="13:18">
      <c r="M131" s="86">
        <v>2.3882772999999999</v>
      </c>
      <c r="N131" s="94">
        <v>2.9210508301259401</v>
      </c>
      <c r="O131" s="86">
        <v>2.1019334999999999</v>
      </c>
      <c r="P131" s="94">
        <v>3.1960072944421998</v>
      </c>
      <c r="Q131" s="86">
        <v>7.5250430000000001</v>
      </c>
      <c r="R131" s="94">
        <v>3.6926545480343997</v>
      </c>
    </row>
    <row r="132" spans="13:18">
      <c r="M132" s="86">
        <v>2.40991</v>
      </c>
      <c r="N132" s="94">
        <v>2.8682578131078698</v>
      </c>
      <c r="O132" s="86">
        <v>2.1292293</v>
      </c>
      <c r="P132" s="94">
        <v>3.1477847486366999</v>
      </c>
      <c r="Q132" s="86">
        <v>7.5557822999999997</v>
      </c>
      <c r="R132" s="94">
        <v>3.7137780921308998</v>
      </c>
    </row>
    <row r="133" spans="13:18">
      <c r="M133" s="86">
        <v>2.4312014999999998</v>
      </c>
      <c r="N133" s="94">
        <v>2.8160632780937003</v>
      </c>
      <c r="O133" s="86">
        <v>2.1583135000000002</v>
      </c>
      <c r="P133" s="94">
        <v>3.0995788030869997</v>
      </c>
      <c r="Q133" s="86">
        <v>7.5845766000000001</v>
      </c>
      <c r="R133" s="94">
        <v>3.7359523567537001</v>
      </c>
    </row>
    <row r="134" spans="13:18">
      <c r="M134" s="86">
        <v>2.4535909</v>
      </c>
      <c r="N134" s="94">
        <v>2.7638687030795501</v>
      </c>
      <c r="O134" s="86">
        <v>2.1819937</v>
      </c>
      <c r="P134" s="94">
        <v>3.0540970995358001</v>
      </c>
      <c r="Q134" s="86">
        <v>7.613918</v>
      </c>
      <c r="R134" s="94">
        <v>3.7584718281059</v>
      </c>
    </row>
    <row r="135" spans="13:18">
      <c r="M135" s="86">
        <v>2.4771976000000002</v>
      </c>
      <c r="N135" s="94">
        <v>2.7116740880653598</v>
      </c>
      <c r="O135" s="86">
        <v>2.2070395999999999</v>
      </c>
      <c r="P135" s="94">
        <v>3.0086150959846001</v>
      </c>
      <c r="Q135" s="86">
        <v>7.6435579999999996</v>
      </c>
      <c r="R135" s="94">
        <v>3.7815074071079002</v>
      </c>
    </row>
    <row r="136" spans="13:18">
      <c r="M136" s="86">
        <v>2.5021616999999998</v>
      </c>
      <c r="N136" s="94">
        <v>2.6594795530511703</v>
      </c>
      <c r="O136" s="86">
        <v>2.233619</v>
      </c>
      <c r="P136" s="94">
        <v>2.9631332924335001</v>
      </c>
      <c r="Q136" s="86">
        <v>7.6702870000000001</v>
      </c>
      <c r="R136" s="94">
        <v>3.8058879060424999</v>
      </c>
    </row>
    <row r="137" spans="13:18">
      <c r="M137" s="86">
        <v>2.5286488999999999</v>
      </c>
      <c r="N137" s="94">
        <v>2.60728497803703</v>
      </c>
      <c r="O137" s="86">
        <v>2.2619319999999998</v>
      </c>
      <c r="P137" s="94">
        <v>2.9176514888822997</v>
      </c>
      <c r="Q137" s="86">
        <v>7.6987696000000003</v>
      </c>
      <c r="R137" s="94">
        <v>3.8302680049770998</v>
      </c>
    </row>
    <row r="138" spans="13:18">
      <c r="M138" s="86">
        <v>2.5568566000000001</v>
      </c>
      <c r="N138" s="94">
        <v>2.55509030302284</v>
      </c>
      <c r="O138" s="86">
        <v>2.2922199000000001</v>
      </c>
      <c r="P138" s="94">
        <v>2.8721695853311999</v>
      </c>
      <c r="Q138" s="86">
        <v>7.7244739999999998</v>
      </c>
      <c r="R138" s="94">
        <v>3.8561582207558001</v>
      </c>
    </row>
    <row r="139" spans="13:18">
      <c r="M139" s="86">
        <v>2.5819725999999998</v>
      </c>
      <c r="N139" s="94">
        <v>2.5046838382072703</v>
      </c>
      <c r="O139" s="86">
        <v>2.3247795</v>
      </c>
      <c r="P139" s="94">
        <v>2.8266878817799999</v>
      </c>
      <c r="Q139" s="86">
        <v>7.7505670000000002</v>
      </c>
      <c r="R139" s="94">
        <v>3.8824156406326003</v>
      </c>
    </row>
    <row r="140" spans="13:18">
      <c r="M140" s="86">
        <v>2.6061274999999999</v>
      </c>
      <c r="N140" s="94">
        <v>2.4551176781855002</v>
      </c>
      <c r="O140" s="86">
        <v>2.3599796</v>
      </c>
      <c r="P140" s="94">
        <v>2.781205978229</v>
      </c>
      <c r="Q140" s="86">
        <v>7.7766495000000004</v>
      </c>
      <c r="R140" s="94">
        <v>3.9092988656042</v>
      </c>
    </row>
    <row r="141" spans="13:18">
      <c r="M141" s="86">
        <v>2.6317053000000001</v>
      </c>
      <c r="N141" s="94">
        <v>2.4055514181637001</v>
      </c>
      <c r="O141" s="86">
        <v>2.3951609999999999</v>
      </c>
      <c r="P141" s="94">
        <v>2.7366295067386996</v>
      </c>
      <c r="Q141" s="86">
        <v>7.8008084000000002</v>
      </c>
      <c r="R141" s="94">
        <v>3.9374457008602404</v>
      </c>
    </row>
    <row r="142" spans="13:18">
      <c r="M142" s="86">
        <v>2.6588843</v>
      </c>
      <c r="N142" s="94">
        <v>2.3559852581418999</v>
      </c>
      <c r="O142" s="86">
        <v>2.4287326</v>
      </c>
      <c r="P142" s="94">
        <v>2.6933141799115004</v>
      </c>
      <c r="Q142" s="86">
        <v>7.8263907000000001</v>
      </c>
      <c r="R142" s="94">
        <v>3.9655929361163</v>
      </c>
    </row>
    <row r="143" spans="13:18">
      <c r="M143" s="86">
        <v>2.6878785999999999</v>
      </c>
      <c r="N143" s="94">
        <v>2.3064191981200999</v>
      </c>
      <c r="O143" s="86">
        <v>2.4651185999999998</v>
      </c>
      <c r="P143" s="94">
        <v>2.6499987530845996</v>
      </c>
      <c r="Q143" s="86">
        <v>7.8479749999999999</v>
      </c>
      <c r="R143" s="94">
        <v>3.9961879858336</v>
      </c>
    </row>
    <row r="144" spans="13:18">
      <c r="M144" s="86">
        <v>2.7189480000000001</v>
      </c>
      <c r="N144" s="94">
        <v>2.2568529380983002</v>
      </c>
      <c r="O144" s="86">
        <v>2.5048339999999998</v>
      </c>
      <c r="P144" s="94">
        <v>2.6066834262573999</v>
      </c>
      <c r="Q144" s="86">
        <v>7.8697204999999997</v>
      </c>
      <c r="R144" s="94">
        <v>4.0271872379393301</v>
      </c>
    </row>
    <row r="145" spans="13:18">
      <c r="M145" s="86">
        <v>2.7524123</v>
      </c>
      <c r="N145" s="94">
        <v>2.2072866780765001</v>
      </c>
      <c r="O145" s="86">
        <v>2.5467762999999999</v>
      </c>
      <c r="P145" s="94">
        <v>2.5638721061149998</v>
      </c>
      <c r="Q145" s="86">
        <v>7.8926129999999999</v>
      </c>
      <c r="R145" s="94">
        <v>4.0581867900450597</v>
      </c>
    </row>
    <row r="146" spans="13:18">
      <c r="M146" s="86">
        <v>2.7835776999999999</v>
      </c>
      <c r="N146" s="94">
        <v>2.1592167350970302</v>
      </c>
      <c r="O146" s="86">
        <v>2.5889204000000001</v>
      </c>
      <c r="P146" s="94">
        <v>2.5221626980465</v>
      </c>
      <c r="Q146" s="86">
        <v>7.9167794999999996</v>
      </c>
      <c r="R146" s="94">
        <v>4.0891861421508002</v>
      </c>
    </row>
    <row r="147" spans="13:18">
      <c r="M147" s="86">
        <v>2.8144176000000001</v>
      </c>
      <c r="N147" s="94">
        <v>2.1118971506668003</v>
      </c>
      <c r="O147" s="86">
        <v>2.6355976999999999</v>
      </c>
      <c r="P147" s="94">
        <v>2.4804533899779</v>
      </c>
      <c r="Q147" s="86">
        <v>7.9423703999999997</v>
      </c>
      <c r="R147" s="94">
        <v>4.1201854942564502</v>
      </c>
    </row>
    <row r="148" spans="13:18">
      <c r="M148" s="86">
        <v>2.8476157</v>
      </c>
      <c r="N148" s="94">
        <v>2.0645777662365998</v>
      </c>
      <c r="O148" s="86">
        <v>2.6879027</v>
      </c>
      <c r="P148" s="94">
        <v>2.4387440519091999</v>
      </c>
      <c r="Q148" s="86">
        <v>7.9624104000000004</v>
      </c>
      <c r="R148" s="94">
        <v>4.1546655602460003</v>
      </c>
    </row>
    <row r="149" spans="13:18">
      <c r="M149" s="86">
        <v>2.8835635000000002</v>
      </c>
      <c r="N149" s="94">
        <v>2.0172582318064003</v>
      </c>
      <c r="O149" s="86">
        <v>2.7462502</v>
      </c>
      <c r="P149" s="94">
        <v>2.3973040945877</v>
      </c>
      <c r="Q149" s="86">
        <v>7.9827029999999999</v>
      </c>
      <c r="R149" s="94">
        <v>4.1894809275721006</v>
      </c>
    </row>
    <row r="150" spans="13:18">
      <c r="M150" s="86">
        <v>2.9227574000000001</v>
      </c>
      <c r="N150" s="94">
        <v>1.9699387473762</v>
      </c>
      <c r="O150" s="86">
        <v>2.8087301</v>
      </c>
      <c r="P150" s="94">
        <v>2.3568787360896999</v>
      </c>
      <c r="Q150" s="86">
        <v>8.0039689999999997</v>
      </c>
      <c r="R150" s="94">
        <v>4.2242615949309297</v>
      </c>
    </row>
    <row r="151" spans="13:18">
      <c r="M151" s="86">
        <v>2.9588860000000001</v>
      </c>
      <c r="N151" s="94">
        <v>1.9245189134471998</v>
      </c>
      <c r="O151" s="86">
        <v>2.8810674999999999</v>
      </c>
      <c r="P151" s="94">
        <v>2.3165990774950003</v>
      </c>
      <c r="Q151" s="86">
        <v>8.0080449999999992</v>
      </c>
      <c r="R151" s="94">
        <v>4.2219755878968996</v>
      </c>
    </row>
    <row r="152" spans="13:18">
      <c r="M152" s="86">
        <v>2.9982926999999999</v>
      </c>
      <c r="N152" s="94">
        <v>1.8790996695332001</v>
      </c>
      <c r="O152" s="86">
        <v>2.9635866000000002</v>
      </c>
      <c r="P152" s="94">
        <v>2.2770981588660004</v>
      </c>
      <c r="Q152" s="86">
        <v>8.0291599999999992</v>
      </c>
      <c r="R152" s="94">
        <v>4.2575422577027799</v>
      </c>
    </row>
    <row r="153" spans="13:18">
      <c r="M153" s="86">
        <v>3.0416352999999998</v>
      </c>
      <c r="N153" s="94">
        <v>1.8336804056192</v>
      </c>
      <c r="O153" s="86">
        <v>3.0651730000000001</v>
      </c>
      <c r="P153" s="94">
        <v>2.2376758100565</v>
      </c>
      <c r="Q153" s="86">
        <v>8.0497750000000003</v>
      </c>
      <c r="R153" s="94">
        <v>4.2940237299737003</v>
      </c>
    </row>
    <row r="154" spans="13:18">
      <c r="M154" s="86">
        <v>3.089788</v>
      </c>
      <c r="N154" s="94">
        <v>1.788261261705</v>
      </c>
      <c r="O154" s="86">
        <v>3.1934592999999998</v>
      </c>
      <c r="P154" s="94">
        <v>2.1989594545619999</v>
      </c>
      <c r="Q154" s="86">
        <v>8.0692799999999991</v>
      </c>
      <c r="R154" s="94">
        <v>4.3318021054101301</v>
      </c>
    </row>
    <row r="155" spans="13:18">
      <c r="M155" s="86">
        <v>3.1419693999999998</v>
      </c>
      <c r="N155" s="94">
        <v>1.7433558094697001</v>
      </c>
      <c r="O155" s="86">
        <v>3.3721847999999999</v>
      </c>
      <c r="P155" s="94">
        <v>2.1607542485230002</v>
      </c>
      <c r="Q155" s="86">
        <v>8.0897009999999998</v>
      </c>
      <c r="R155" s="94">
        <v>4.3695804808465599</v>
      </c>
    </row>
    <row r="156" spans="13:18">
      <c r="M156" s="86">
        <v>3.1967769000000001</v>
      </c>
      <c r="N156" s="94">
        <v>1.6994777205514</v>
      </c>
      <c r="O156" s="86">
        <v>3.6747993999999999</v>
      </c>
      <c r="P156" s="94">
        <v>2.1231222545160002</v>
      </c>
      <c r="Q156" s="86">
        <v>8.1110734999999998</v>
      </c>
      <c r="R156" s="94">
        <v>4.4073966563585598</v>
      </c>
    </row>
    <row r="157" spans="13:18">
      <c r="M157" s="86">
        <v>3.2595122000000001</v>
      </c>
      <c r="N157" s="94">
        <v>1.6555998516988</v>
      </c>
      <c r="O157" s="86">
        <v>5.3187375000000001</v>
      </c>
      <c r="P157" s="94">
        <v>2.0881766996</v>
      </c>
      <c r="Q157" s="86">
        <v>8.1297470000000001</v>
      </c>
      <c r="R157" s="94">
        <v>4.4475971366474498</v>
      </c>
    </row>
    <row r="158" spans="13:18">
      <c r="M158" s="86">
        <v>3.3280878</v>
      </c>
      <c r="N158" s="94">
        <v>1.6128628253385</v>
      </c>
      <c r="O158" s="86">
        <v>5.3382670000000001</v>
      </c>
      <c r="P158" s="94">
        <v>2.0881548940000001</v>
      </c>
      <c r="Q158" s="86">
        <v>8.1492605000000005</v>
      </c>
      <c r="R158" s="94">
        <v>4.4877978169363004</v>
      </c>
    </row>
    <row r="159" spans="13:18">
      <c r="M159" s="86">
        <v>3.4095599999999999</v>
      </c>
      <c r="N159" s="94">
        <v>1.5701257789785001</v>
      </c>
      <c r="O159" s="86">
        <v>6.9939513</v>
      </c>
      <c r="P159" s="94">
        <v>2.1015263506800004</v>
      </c>
      <c r="Q159" s="86">
        <v>8.1696919999999995</v>
      </c>
      <c r="R159" s="94">
        <v>4.5279982972252002</v>
      </c>
    </row>
    <row r="160" spans="13:18">
      <c r="M160" s="86">
        <v>3.5076684999999999</v>
      </c>
      <c r="N160" s="94">
        <v>1.5280206922047002</v>
      </c>
      <c r="O160" s="86">
        <v>7.305733</v>
      </c>
      <c r="P160" s="94">
        <v>2.1177138556520001</v>
      </c>
      <c r="Q160" s="86">
        <v>8.1868879999999997</v>
      </c>
      <c r="R160" s="94">
        <v>4.5712901821178997</v>
      </c>
    </row>
    <row r="161" spans="13:18">
      <c r="M161" s="86">
        <v>3.6323118000000001</v>
      </c>
      <c r="N161" s="94">
        <v>1.4865844008810001</v>
      </c>
      <c r="O161" s="86">
        <v>7.4955463</v>
      </c>
      <c r="P161" s="94">
        <v>2.1346607951749998</v>
      </c>
      <c r="Q161" s="86">
        <v>8.2040699999999998</v>
      </c>
      <c r="R161" s="94">
        <v>4.61508976776698</v>
      </c>
    </row>
    <row r="162" spans="13:18">
      <c r="M162" s="86">
        <v>3.8065604999999998</v>
      </c>
      <c r="N162" s="94">
        <v>1.4456952336310001</v>
      </c>
      <c r="O162" s="86">
        <v>7.6308160000000003</v>
      </c>
      <c r="P162" s="94">
        <v>2.152399527104</v>
      </c>
      <c r="Q162" s="86">
        <v>8.2219599999999993</v>
      </c>
      <c r="R162" s="94">
        <v>4.6588897534160303</v>
      </c>
    </row>
    <row r="163" spans="13:18">
      <c r="M163" s="86">
        <v>4.1036552999999998</v>
      </c>
      <c r="N163" s="94">
        <v>1.4055757671990001</v>
      </c>
      <c r="O163" s="86">
        <v>7.7420949999999999</v>
      </c>
      <c r="P163" s="94">
        <v>2.1708652309173</v>
      </c>
      <c r="Q163" s="86">
        <v>8.2406190000000006</v>
      </c>
      <c r="R163" s="94">
        <v>4.7026894390651002</v>
      </c>
    </row>
    <row r="164" spans="13:18">
      <c r="M164" s="86">
        <v>5.9283799999999998</v>
      </c>
      <c r="N164" s="94">
        <v>1.3676262268999999</v>
      </c>
      <c r="O164" s="86">
        <v>7.8330894000000004</v>
      </c>
      <c r="P164" s="94">
        <v>2.1901323158363999</v>
      </c>
      <c r="Q164" s="86">
        <v>8.260116</v>
      </c>
      <c r="R164" s="94">
        <v>4.74648902471416</v>
      </c>
    </row>
    <row r="165" spans="13:18">
      <c r="M165" s="86">
        <v>5.9588675000000002</v>
      </c>
      <c r="N165" s="94">
        <v>1.3676096260399999</v>
      </c>
      <c r="O165" s="86">
        <v>7.9141864999999996</v>
      </c>
      <c r="P165" s="94">
        <v>2.2101025839327</v>
      </c>
      <c r="Q165" s="86">
        <v>8.2805289999999996</v>
      </c>
      <c r="R165" s="94">
        <v>4.7902891103632301</v>
      </c>
    </row>
    <row r="166" spans="13:18">
      <c r="M166" s="86">
        <v>7.8014359999999998</v>
      </c>
      <c r="N166" s="94">
        <v>1.38908917169</v>
      </c>
      <c r="O166" s="86">
        <v>7.9842377000000004</v>
      </c>
      <c r="P166" s="94">
        <v>2.2309131811755001</v>
      </c>
      <c r="Q166" s="86">
        <v>8.2996829999999999</v>
      </c>
      <c r="R166" s="94">
        <v>4.8357071978404802</v>
      </c>
    </row>
    <row r="167" spans="13:18">
      <c r="M167" s="86">
        <v>8.1179050000000004</v>
      </c>
      <c r="N167" s="94">
        <v>1.4127087636469999</v>
      </c>
      <c r="O167" s="86">
        <v>8.0476150000000004</v>
      </c>
      <c r="P167" s="94">
        <v>2.2524961510808996</v>
      </c>
      <c r="Q167" s="86">
        <v>8.3177509999999995</v>
      </c>
      <c r="R167" s="94">
        <v>4.8824736868408003</v>
      </c>
    </row>
    <row r="168" spans="13:18">
      <c r="M168" s="86">
        <v>8.3071330000000003</v>
      </c>
      <c r="N168" s="94">
        <v>1.437162664196</v>
      </c>
      <c r="O168" s="86">
        <v>8.1064589999999992</v>
      </c>
      <c r="P168" s="94">
        <v>2.2748073767420003</v>
      </c>
      <c r="Q168" s="86">
        <v>8.3351849999999992</v>
      </c>
      <c r="R168" s="94">
        <v>4.930375476839</v>
      </c>
    </row>
    <row r="169" spans="13:18">
      <c r="M169" s="86">
        <v>8.4448185000000002</v>
      </c>
      <c r="N169" s="94">
        <v>1.4624502187019999</v>
      </c>
      <c r="O169" s="86">
        <v>8.1579060000000005</v>
      </c>
      <c r="P169" s="94">
        <v>2.2981221654260002</v>
      </c>
      <c r="Q169" s="86">
        <v>8.3525150000000004</v>
      </c>
      <c r="R169" s="94">
        <v>4.9789944674008604</v>
      </c>
    </row>
    <row r="170" spans="13:18">
      <c r="M170" s="86">
        <v>8.5557979999999993</v>
      </c>
      <c r="N170" s="94">
        <v>1.488548431978</v>
      </c>
      <c r="O170" s="86">
        <v>8.2087299999999992</v>
      </c>
      <c r="P170" s="94">
        <v>2.3220269040193</v>
      </c>
      <c r="Q170" s="86">
        <v>8.3692849999999996</v>
      </c>
      <c r="R170" s="94">
        <v>5.0286806587954196</v>
      </c>
    </row>
    <row r="171" spans="13:18">
      <c r="M171" s="86">
        <v>8.6482189999999992</v>
      </c>
      <c r="N171" s="94">
        <v>1.5154842136888</v>
      </c>
      <c r="O171" s="86">
        <v>8.2575880000000002</v>
      </c>
      <c r="P171" s="94">
        <v>2.3465629634408001</v>
      </c>
      <c r="Q171" s="86">
        <v>8.3867270000000005</v>
      </c>
      <c r="R171" s="94">
        <v>5.0783671501899796</v>
      </c>
    </row>
    <row r="172" spans="13:18">
      <c r="M172" s="86">
        <v>8.7290609999999997</v>
      </c>
      <c r="N172" s="94">
        <v>1.5432293545508999</v>
      </c>
      <c r="O172" s="86">
        <v>8.3004859999999994</v>
      </c>
      <c r="P172" s="94">
        <v>2.3722477324244</v>
      </c>
      <c r="Q172" s="86">
        <v>8.4042980000000007</v>
      </c>
      <c r="R172" s="94">
        <v>5.1285874419355899</v>
      </c>
    </row>
    <row r="173" spans="13:18">
      <c r="M173" s="86">
        <v>8.8006200000000003</v>
      </c>
      <c r="N173" s="94">
        <v>1.5718049368221001</v>
      </c>
      <c r="O173" s="86">
        <v>8.3429369999999992</v>
      </c>
      <c r="P173" s="94">
        <v>2.3985457766643998</v>
      </c>
      <c r="Q173" s="86">
        <v>8.4205380000000005</v>
      </c>
      <c r="R173" s="94">
        <v>5.1805757348422103</v>
      </c>
    </row>
    <row r="174" spans="13:18">
      <c r="M174" s="86">
        <v>8.864941</v>
      </c>
      <c r="N174" s="94">
        <v>1.6012212571575</v>
      </c>
      <c r="O174" s="86">
        <v>8.3843960000000006</v>
      </c>
      <c r="P174" s="94">
        <v>2.4254725459769002</v>
      </c>
      <c r="Q174" s="86">
        <v>8.4374090000000006</v>
      </c>
      <c r="R174" s="94">
        <v>5.2325639277488198</v>
      </c>
    </row>
    <row r="175" spans="13:18">
      <c r="M175" s="86">
        <v>8.9236819999999994</v>
      </c>
      <c r="N175" s="94">
        <v>1.6314773909086</v>
      </c>
      <c r="O175" s="86">
        <v>8.4185239999999997</v>
      </c>
      <c r="P175" s="94">
        <v>2.4541216147439999</v>
      </c>
      <c r="Q175" s="86">
        <v>8.4547799999999995</v>
      </c>
      <c r="R175" s="94">
        <v>5.2847239207487702</v>
      </c>
    </row>
    <row r="176" spans="13:18">
      <c r="M176" s="86">
        <v>8.9781569999999995</v>
      </c>
      <c r="N176" s="94">
        <v>1.66255124864973</v>
      </c>
      <c r="O176" s="86">
        <v>8.4555640000000007</v>
      </c>
      <c r="P176" s="94">
        <v>2.4827707235111998</v>
      </c>
      <c r="Q176" s="86">
        <v>8.4705349999999999</v>
      </c>
      <c r="R176" s="94">
        <v>5.3389816148918001</v>
      </c>
    </row>
    <row r="177" spans="13:18">
      <c r="M177" s="86">
        <v>9.0290110000000006</v>
      </c>
      <c r="N177" s="94">
        <v>1.6944482847481601</v>
      </c>
      <c r="O177" s="86">
        <v>8.4954560000000008</v>
      </c>
      <c r="P177" s="94">
        <v>2.5115227335794597</v>
      </c>
      <c r="Q177" s="86">
        <v>8.4868849999999991</v>
      </c>
      <c r="R177" s="94">
        <v>5.3932395090348297</v>
      </c>
    </row>
    <row r="178" spans="13:18">
      <c r="M178" s="86">
        <v>9.0768070000000005</v>
      </c>
      <c r="N178" s="94">
        <v>1.7271663651597999</v>
      </c>
      <c r="O178" s="86">
        <v>8.5296140000000005</v>
      </c>
      <c r="P178" s="94">
        <v>2.5418420629092</v>
      </c>
      <c r="Q178" s="86">
        <v>8.5038750000000007</v>
      </c>
      <c r="R178" s="94">
        <v>5.4474981031778604</v>
      </c>
    </row>
    <row r="179" spans="13:18">
      <c r="M179" s="86">
        <v>9.1214729999999999</v>
      </c>
      <c r="N179" s="94">
        <v>1.76077725761</v>
      </c>
      <c r="O179" s="86">
        <v>8.5621600000000004</v>
      </c>
      <c r="P179" s="94">
        <v>2.5730796006481</v>
      </c>
      <c r="Q179" s="86">
        <v>8.5193729999999999</v>
      </c>
      <c r="R179" s="94">
        <v>5.5038106982257551</v>
      </c>
    </row>
    <row r="180" spans="13:18">
      <c r="M180" s="86">
        <v>9.1626300000000001</v>
      </c>
      <c r="N180" s="94">
        <v>1.7953516506607001</v>
      </c>
      <c r="O180" s="86">
        <v>8.5949880000000007</v>
      </c>
      <c r="P180" s="94">
        <v>2.6048130424645599</v>
      </c>
      <c r="Q180" s="86">
        <v>8.5352449999999997</v>
      </c>
      <c r="R180" s="94">
        <v>5.5603050933536196</v>
      </c>
    </row>
    <row r="181" spans="13:18">
      <c r="M181" s="86">
        <v>9.2052980000000009</v>
      </c>
      <c r="N181" s="94">
        <v>1.8303177669066399</v>
      </c>
      <c r="O181" s="86">
        <v>8.6258189999999999</v>
      </c>
      <c r="P181" s="94">
        <v>2.6375896918441</v>
      </c>
      <c r="Q181" s="86">
        <v>8.5517199999999995</v>
      </c>
      <c r="R181" s="94">
        <v>5.6167997884814795</v>
      </c>
    </row>
    <row r="182" spans="13:18">
      <c r="M182" s="86">
        <v>9.2433440000000004</v>
      </c>
      <c r="N182" s="94">
        <v>1.8664632927725502</v>
      </c>
      <c r="O182" s="86">
        <v>8.6560649999999999</v>
      </c>
      <c r="P182" s="94">
        <v>2.6711147457108999</v>
      </c>
      <c r="Q182" s="86">
        <v>8.5664149999999992</v>
      </c>
      <c r="R182" s="94">
        <v>5.6758003844766254</v>
      </c>
    </row>
    <row r="183" spans="13:18">
      <c r="M183" s="86">
        <v>9.2821320000000007</v>
      </c>
      <c r="N183" s="94">
        <v>1.90309181148692</v>
      </c>
      <c r="O183" s="86">
        <v>8.6861270000000008</v>
      </c>
      <c r="P183" s="94">
        <v>2.7052533030635</v>
      </c>
      <c r="Q183" s="86">
        <v>8.5808409999999995</v>
      </c>
      <c r="R183" s="94">
        <v>5.7355833507424894</v>
      </c>
    </row>
    <row r="184" spans="13:18">
      <c r="M184" s="86">
        <v>9.3176729999999992</v>
      </c>
      <c r="N184" s="94">
        <v>1.94079272652447</v>
      </c>
      <c r="O184" s="86">
        <v>8.7147439999999996</v>
      </c>
      <c r="P184" s="94">
        <v>2.7403777653093702</v>
      </c>
      <c r="Q184" s="86">
        <v>8.5957629999999998</v>
      </c>
      <c r="R184" s="94">
        <v>5.7953661770083507</v>
      </c>
    </row>
    <row r="185" spans="13:18">
      <c r="M185" s="86">
        <v>9.3533989999999996</v>
      </c>
      <c r="N185" s="94">
        <v>1.9790651940897601</v>
      </c>
      <c r="O185" s="86">
        <v>8.7416180000000008</v>
      </c>
      <c r="P185" s="94">
        <v>2.7766930322959</v>
      </c>
      <c r="Q185" s="86">
        <v>8.6112175000000004</v>
      </c>
      <c r="R185" s="94">
        <v>5.8551491132742104</v>
      </c>
    </row>
    <row r="186" spans="13:18">
      <c r="M186" s="86">
        <v>9.3868720000000003</v>
      </c>
      <c r="N186" s="94">
        <v>2.01830311592586</v>
      </c>
      <c r="O186" s="86">
        <v>8.7683949999999999</v>
      </c>
      <c r="P186" s="94">
        <v>2.8135662015032001</v>
      </c>
      <c r="Q186" s="86">
        <v>8.6272409999999997</v>
      </c>
      <c r="R186" s="94">
        <v>5.9149317195400695</v>
      </c>
    </row>
    <row r="187" spans="13:18">
      <c r="M187" s="86">
        <v>9.4207730000000005</v>
      </c>
      <c r="N187" s="94">
        <v>2.0580346895087303</v>
      </c>
      <c r="O187" s="86">
        <v>8.796932</v>
      </c>
      <c r="P187" s="94">
        <v>2.8504393707105002</v>
      </c>
      <c r="Q187" s="86">
        <v>8.6438780000000008</v>
      </c>
      <c r="R187" s="94">
        <v>5.9747143658059301</v>
      </c>
    </row>
    <row r="188" spans="13:18">
      <c r="M188" s="86">
        <v>9.4526800000000009</v>
      </c>
      <c r="N188" s="94">
        <v>2.09876156643013</v>
      </c>
      <c r="O188" s="86">
        <v>8.8225470000000001</v>
      </c>
      <c r="P188" s="94">
        <v>2.8889498450423998</v>
      </c>
      <c r="Q188" s="86">
        <v>8.6593630000000008</v>
      </c>
      <c r="R188" s="94">
        <v>6.0364170625699947</v>
      </c>
    </row>
    <row r="189" spans="13:18">
      <c r="M189" s="86">
        <v>9.4830469999999991</v>
      </c>
      <c r="N189" s="94">
        <v>2.1404441459969403</v>
      </c>
      <c r="O189" s="86">
        <v>8.8241490000000002</v>
      </c>
      <c r="P189" s="94">
        <v>2.88832134339098</v>
      </c>
      <c r="Q189" s="86">
        <v>8.6731180000000005</v>
      </c>
      <c r="R189" s="94">
        <v>6.1004778599460803</v>
      </c>
    </row>
    <row r="190" spans="13:18">
      <c r="M190" s="86">
        <v>9.5133010000000002</v>
      </c>
      <c r="N190" s="94">
        <v>2.1826916670257801</v>
      </c>
      <c r="O190" s="86">
        <v>8.8499149999999993</v>
      </c>
      <c r="P190" s="94">
        <v>2.9273369192930598</v>
      </c>
      <c r="Q190" s="86">
        <v>8.687322</v>
      </c>
      <c r="R190" s="94">
        <v>6.1645386573221579</v>
      </c>
    </row>
    <row r="191" spans="13:18">
      <c r="M191" s="86">
        <v>9.5427529999999994</v>
      </c>
      <c r="N191" s="94">
        <v>2.2257548498183799</v>
      </c>
      <c r="O191" s="86">
        <v>8.874962</v>
      </c>
      <c r="P191" s="94">
        <v>2.9672298973793598</v>
      </c>
      <c r="Q191" s="86">
        <v>8.7020049999999998</v>
      </c>
      <c r="R191" s="94">
        <v>6.2285996246982371</v>
      </c>
    </row>
    <row r="192" spans="13:18">
      <c r="M192" s="86">
        <v>9.5717250000000007</v>
      </c>
      <c r="N192" s="94">
        <v>2.2694710440221999</v>
      </c>
      <c r="O192" s="86">
        <v>8.8987490000000005</v>
      </c>
      <c r="P192" s="94">
        <v>3.0082195779217997</v>
      </c>
      <c r="Q192" s="86">
        <v>8.7172040000000006</v>
      </c>
      <c r="R192" s="94">
        <v>6.2926607120743201</v>
      </c>
    </row>
    <row r="193" spans="13:18">
      <c r="M193" s="86">
        <v>9.5996849999999991</v>
      </c>
      <c r="N193" s="94">
        <v>2.31407667980899</v>
      </c>
      <c r="O193" s="86">
        <v>8.9239160000000002</v>
      </c>
      <c r="P193" s="94">
        <v>3.0492091884642001</v>
      </c>
      <c r="Q193" s="86">
        <v>8.7329530000000002</v>
      </c>
      <c r="R193" s="94">
        <v>6.3567213494504005</v>
      </c>
    </row>
    <row r="194" spans="13:18">
      <c r="M194" s="86">
        <v>9.6275279999999999</v>
      </c>
      <c r="N194" s="94">
        <v>2.3592350265794102</v>
      </c>
      <c r="O194" s="86">
        <v>8.9476440000000004</v>
      </c>
      <c r="P194" s="94">
        <v>3.0914497413394502</v>
      </c>
      <c r="Q194" s="86">
        <v>8.7487999999999992</v>
      </c>
      <c r="R194" s="94">
        <v>6.4213457469262076</v>
      </c>
    </row>
    <row r="195" spans="13:18">
      <c r="M195" s="86">
        <v>9.6541910000000009</v>
      </c>
      <c r="N195" s="94">
        <v>2.4053528547479499</v>
      </c>
      <c r="O195" s="86">
        <v>8.97105</v>
      </c>
      <c r="P195" s="94">
        <v>3.1343639254707902</v>
      </c>
      <c r="Q195" s="86">
        <v>8.7619779999999992</v>
      </c>
      <c r="R195" s="94">
        <v>6.4895694450389305</v>
      </c>
    </row>
    <row r="196" spans="13:18">
      <c r="M196" s="86">
        <v>9.6810410000000005</v>
      </c>
      <c r="N196" s="94">
        <v>2.4519262435805103</v>
      </c>
      <c r="O196" s="86">
        <v>8.9950620000000008</v>
      </c>
      <c r="P196" s="94">
        <v>3.1776391101135002</v>
      </c>
      <c r="Q196" s="86">
        <v>8.7755690000000008</v>
      </c>
      <c r="R196" s="94">
        <v>6.5577925431516544</v>
      </c>
    </row>
    <row r="197" spans="13:18">
      <c r="M197" s="86">
        <v>9.7052949999999996</v>
      </c>
      <c r="N197" s="94">
        <v>2.5000266341886102</v>
      </c>
      <c r="O197" s="86">
        <v>9.0152470000000005</v>
      </c>
      <c r="P197" s="94">
        <v>3.2233811982479499</v>
      </c>
      <c r="Q197" s="86">
        <v>8.7895979999999998</v>
      </c>
      <c r="R197" s="94">
        <v>6.6260161412643743</v>
      </c>
    </row>
    <row r="198" spans="13:18">
      <c r="M198" s="86">
        <v>9.7293610000000008</v>
      </c>
      <c r="N198" s="94">
        <v>2.54866565542306</v>
      </c>
      <c r="O198" s="86">
        <v>9.0364159999999991</v>
      </c>
      <c r="P198" s="94">
        <v>3.2691229863824001</v>
      </c>
      <c r="Q198" s="86">
        <v>8.8040959999999995</v>
      </c>
      <c r="R198" s="94">
        <v>6.6942397993771001</v>
      </c>
    </row>
    <row r="199" spans="13:18">
      <c r="M199" s="86">
        <v>9.7548379999999995</v>
      </c>
      <c r="N199" s="94">
        <v>2.5973045166575197</v>
      </c>
      <c r="O199" s="86">
        <v>9.0586690000000001</v>
      </c>
      <c r="P199" s="94">
        <v>3.3148649745168401</v>
      </c>
      <c r="Q199" s="86">
        <v>8.819096</v>
      </c>
      <c r="R199" s="94">
        <v>6.7624630374898231</v>
      </c>
    </row>
    <row r="200" spans="13:18">
      <c r="M200" s="86">
        <v>9.7819040000000008</v>
      </c>
      <c r="N200" s="94">
        <v>2.64594367789197</v>
      </c>
      <c r="O200" s="86">
        <v>9.0821249999999996</v>
      </c>
      <c r="P200" s="94">
        <v>3.3606067326512901</v>
      </c>
      <c r="Q200" s="86">
        <v>8.8346309999999999</v>
      </c>
      <c r="R200" s="94">
        <v>6.8306866856025472</v>
      </c>
    </row>
    <row r="201" spans="13:18">
      <c r="M201" s="86">
        <v>9.8044919999999998</v>
      </c>
      <c r="N201" s="94">
        <v>2.69687300115464</v>
      </c>
      <c r="O201" s="86">
        <v>9.1065234999999998</v>
      </c>
      <c r="P201" s="94">
        <v>3.4065408509980499</v>
      </c>
      <c r="Q201" s="86">
        <v>8.8479010000000002</v>
      </c>
      <c r="R201" s="94">
        <v>6.9022533341465193</v>
      </c>
    </row>
    <row r="202" spans="13:18">
      <c r="M202" s="86">
        <v>9.8272639999999996</v>
      </c>
      <c r="N202" s="94">
        <v>2.7481699947428302</v>
      </c>
      <c r="O202" s="86">
        <v>9.1277570000000008</v>
      </c>
      <c r="P202" s="94">
        <v>3.4545923916829202</v>
      </c>
      <c r="Q202" s="86">
        <v>8.8609589999999994</v>
      </c>
      <c r="R202" s="94">
        <v>6.9745435327838656</v>
      </c>
    </row>
    <row r="203" spans="13:18">
      <c r="M203" s="86">
        <v>9.8512950000000004</v>
      </c>
      <c r="N203" s="94">
        <v>2.7994667683310199</v>
      </c>
      <c r="O203" s="86">
        <v>9.1486750000000008</v>
      </c>
      <c r="P203" s="94">
        <v>3.5033889730363801</v>
      </c>
      <c r="Q203" s="86">
        <v>8.8744209999999999</v>
      </c>
      <c r="R203" s="94">
        <v>7.0468340314212119</v>
      </c>
    </row>
    <row r="204" spans="13:18">
      <c r="M204" s="86">
        <v>9.8767359999999993</v>
      </c>
      <c r="N204" s="94">
        <v>2.8507636819192039</v>
      </c>
      <c r="O204" s="86">
        <v>9.1690035000000005</v>
      </c>
      <c r="P204" s="94">
        <v>3.5531001951343297</v>
      </c>
      <c r="Q204" s="86">
        <v>8.8883130000000001</v>
      </c>
      <c r="R204" s="94">
        <v>7.1191244300585597</v>
      </c>
    </row>
    <row r="205" spans="13:18">
      <c r="M205" s="86">
        <v>9.8974810000000009</v>
      </c>
      <c r="N205" s="94">
        <v>2.9045629271370803</v>
      </c>
      <c r="O205" s="86">
        <v>9.1892399999999999</v>
      </c>
      <c r="P205" s="94">
        <v>3.60340081770173</v>
      </c>
      <c r="Q205" s="86">
        <v>8.9026650000000007</v>
      </c>
      <c r="R205" s="94">
        <v>7.191414658695904</v>
      </c>
    </row>
    <row r="206" spans="13:18">
      <c r="M206" s="86">
        <v>9.919162</v>
      </c>
      <c r="N206" s="94">
        <v>2.958402632381155</v>
      </c>
      <c r="O206" s="86">
        <v>9.2103520000000003</v>
      </c>
      <c r="P206" s="94">
        <v>3.6537694703157499</v>
      </c>
      <c r="Q206" s="86">
        <v>8.9175070000000005</v>
      </c>
      <c r="R206" s="94">
        <v>7.2637054773332501</v>
      </c>
    </row>
    <row r="207" spans="13:18">
      <c r="M207" s="86">
        <v>9.9419819999999994</v>
      </c>
      <c r="N207" s="94">
        <v>3.0122421676252302</v>
      </c>
      <c r="O207" s="86">
        <v>9.2295440000000006</v>
      </c>
      <c r="P207" s="94">
        <v>3.70583010408706</v>
      </c>
      <c r="Q207" s="86">
        <v>8.9316139999999997</v>
      </c>
      <c r="R207" s="94">
        <v>7.3375232261160646</v>
      </c>
    </row>
    <row r="208" spans="13:18">
      <c r="M208" s="86">
        <v>9.9654939999999996</v>
      </c>
      <c r="N208" s="94">
        <v>3.0663408629958302</v>
      </c>
      <c r="O208" s="86">
        <v>9.2496229999999997</v>
      </c>
      <c r="P208" s="94">
        <v>3.7578906378583699</v>
      </c>
      <c r="Q208" s="86">
        <v>8.9449380000000005</v>
      </c>
      <c r="R208" s="94">
        <v>7.4128169250393956</v>
      </c>
    </row>
    <row r="209" spans="13:18">
      <c r="M209" s="86">
        <v>9.9852915000000007</v>
      </c>
      <c r="N209" s="94">
        <v>3.1226121594262701</v>
      </c>
      <c r="O209" s="86">
        <v>9.2692040000000002</v>
      </c>
      <c r="P209" s="94">
        <v>3.8108415921436403</v>
      </c>
      <c r="Q209" s="86">
        <v>8.9586839999999999</v>
      </c>
      <c r="R209" s="94">
        <v>7.4881108839627277</v>
      </c>
    </row>
    <row r="210" spans="13:18">
      <c r="M210" s="86">
        <v>10.006035000000001</v>
      </c>
      <c r="N210" s="94">
        <v>3.1788831558567101</v>
      </c>
      <c r="O210" s="86">
        <v>9.2882689999999997</v>
      </c>
      <c r="P210" s="94">
        <v>3.8646264869100562</v>
      </c>
      <c r="Q210" s="86">
        <v>8.9723430000000004</v>
      </c>
      <c r="R210" s="94">
        <v>7.5641031229397022</v>
      </c>
    </row>
    <row r="211" spans="13:18">
      <c r="M211" s="86">
        <v>10.027818999999999</v>
      </c>
      <c r="N211" s="94">
        <v>3.23515445228715</v>
      </c>
      <c r="O211" s="86">
        <v>9.3082100000000008</v>
      </c>
      <c r="P211" s="94">
        <v>3.918411121676475</v>
      </c>
      <c r="Q211" s="86">
        <v>8.9854319999999994</v>
      </c>
      <c r="R211" s="94">
        <v>7.6413811220154422</v>
      </c>
    </row>
    <row r="212" spans="13:18">
      <c r="M212" s="86">
        <v>10.04988</v>
      </c>
      <c r="N212" s="94">
        <v>3.2918284788727421</v>
      </c>
      <c r="O212" s="86">
        <v>9.3263859999999994</v>
      </c>
      <c r="P212" s="94">
        <v>3.9738744072499599</v>
      </c>
      <c r="Q212" s="86">
        <v>8.9859989999999996</v>
      </c>
      <c r="R212" s="94">
        <v>7.6406163219616241</v>
      </c>
    </row>
    <row r="213" spans="13:18">
      <c r="M213" s="86">
        <v>10.070040000000001</v>
      </c>
      <c r="N213" s="94">
        <v>3.3498576459803573</v>
      </c>
      <c r="O213" s="86">
        <v>9.3453420000000005</v>
      </c>
      <c r="P213" s="94">
        <v>4.0293472728281197</v>
      </c>
      <c r="Q213" s="86">
        <v>8.9993580000000009</v>
      </c>
      <c r="R213" s="94">
        <v>7.7180875810517353</v>
      </c>
    </row>
    <row r="214" spans="13:18">
      <c r="M214" s="86">
        <v>10.090512</v>
      </c>
      <c r="N214" s="94">
        <v>3.4082177431948297</v>
      </c>
      <c r="O214" s="86">
        <v>9.3634629999999994</v>
      </c>
      <c r="P214" s="94">
        <v>4.0859825688582898</v>
      </c>
      <c r="Q214" s="86">
        <v>9.0122269999999993</v>
      </c>
      <c r="R214" s="94">
        <v>7.796903020219494</v>
      </c>
    </row>
    <row r="215" spans="13:18">
      <c r="M215" s="86">
        <v>10.110284999999999</v>
      </c>
      <c r="N215" s="94">
        <v>3.4673860906704639</v>
      </c>
      <c r="O215" s="86">
        <v>9.3803990000000006</v>
      </c>
      <c r="P215" s="94">
        <v>4.1439183153941501</v>
      </c>
      <c r="Q215" s="86">
        <v>9.0229569999999999</v>
      </c>
      <c r="R215" s="94">
        <v>7.8796609195896385</v>
      </c>
    </row>
    <row r="216" spans="13:18">
      <c r="M216" s="86">
        <v>10.129889500000001</v>
      </c>
      <c r="N216" s="94">
        <v>3.5271393383049103</v>
      </c>
      <c r="O216" s="86">
        <v>9.398021</v>
      </c>
      <c r="P216" s="94">
        <v>4.2018539119299945</v>
      </c>
      <c r="Q216" s="86">
        <v>9.0339574999999996</v>
      </c>
      <c r="R216" s="94">
        <v>7.9624181689597826</v>
      </c>
    </row>
    <row r="217" spans="13:18">
      <c r="M217" s="86">
        <v>10.14828</v>
      </c>
      <c r="N217" s="94">
        <v>3.5879709662322261</v>
      </c>
      <c r="O217" s="86">
        <v>9.4163890000000006</v>
      </c>
      <c r="P217" s="94">
        <v>4.2597896584658503</v>
      </c>
      <c r="Q217" s="86">
        <v>9.0452440000000003</v>
      </c>
      <c r="R217" s="94">
        <v>8.0451759183299298</v>
      </c>
    </row>
    <row r="218" spans="13:18">
      <c r="M218" s="86">
        <v>10.167484</v>
      </c>
      <c r="N218" s="94">
        <v>3.64880239415954</v>
      </c>
      <c r="O218" s="86">
        <v>9.4355689999999992</v>
      </c>
      <c r="P218" s="94">
        <v>4.3177252550017027</v>
      </c>
      <c r="Q218" s="86">
        <v>9.056832</v>
      </c>
      <c r="R218" s="94">
        <v>8.1279336177000747</v>
      </c>
    </row>
    <row r="219" spans="13:18">
      <c r="M219" s="86">
        <v>10.187576999999999</v>
      </c>
      <c r="N219" s="94">
        <v>3.7096343520868604</v>
      </c>
      <c r="O219" s="86">
        <v>9.4536850000000001</v>
      </c>
      <c r="P219" s="94">
        <v>4.3770177519427502</v>
      </c>
      <c r="Q219" s="86">
        <v>9.0687379999999997</v>
      </c>
      <c r="R219" s="94">
        <v>8.2106913770702192</v>
      </c>
    </row>
    <row r="220" spans="13:18">
      <c r="M220" s="86">
        <v>10.206718</v>
      </c>
      <c r="N220" s="94">
        <v>3.771484530237057</v>
      </c>
      <c r="O220" s="86">
        <v>9.4698779999999996</v>
      </c>
      <c r="P220" s="94">
        <v>4.438127049426507</v>
      </c>
      <c r="Q220" s="86">
        <v>9.0809800000000003</v>
      </c>
      <c r="R220" s="94">
        <v>8.2934491164403639</v>
      </c>
    </row>
    <row r="221" spans="13:18">
      <c r="M221" s="86">
        <v>10.224517000000001</v>
      </c>
      <c r="N221" s="94">
        <v>3.8344648986345189</v>
      </c>
      <c r="O221" s="86">
        <v>9.4866980000000005</v>
      </c>
      <c r="P221" s="94">
        <v>4.4992361469102615</v>
      </c>
      <c r="Q221" s="86">
        <v>9.0935760000000005</v>
      </c>
      <c r="R221" s="94">
        <v>8.3762068558105103</v>
      </c>
    </row>
    <row r="222" spans="13:18" ht="15" thickBot="1">
      <c r="M222" s="86">
        <v>10.243074999999999</v>
      </c>
      <c r="N222" s="94">
        <v>3.8974451570319819</v>
      </c>
      <c r="O222" s="86">
        <v>9.5041960000000003</v>
      </c>
      <c r="P222" s="94">
        <v>4.5603455043940198</v>
      </c>
      <c r="Q222" s="143">
        <v>9.1065489999999993</v>
      </c>
      <c r="R222" s="144">
        <v>8.4589642151806554</v>
      </c>
    </row>
    <row r="223" spans="13:18">
      <c r="M223" s="86">
        <v>10.262463</v>
      </c>
      <c r="N223" s="94">
        <v>3.9604257454294429</v>
      </c>
      <c r="O223" s="86">
        <v>9.5224285000000002</v>
      </c>
      <c r="P223" s="94">
        <v>4.6214547918777802</v>
      </c>
    </row>
    <row r="224" spans="13:18">
      <c r="M224" s="86">
        <v>10.2805195</v>
      </c>
      <c r="N224" s="94">
        <v>4.0246440840418174</v>
      </c>
      <c r="O224" s="86">
        <v>9.5398809999999994</v>
      </c>
      <c r="P224" s="94">
        <v>4.6837337096145948</v>
      </c>
    </row>
    <row r="225" spans="13:16">
      <c r="M225" s="86">
        <v>10.29777</v>
      </c>
      <c r="N225" s="94">
        <v>4.0896351528007822</v>
      </c>
      <c r="O225" s="86">
        <v>9.5554229999999993</v>
      </c>
      <c r="P225" s="94">
        <v>4.7478969077591655</v>
      </c>
    </row>
    <row r="226" spans="13:16">
      <c r="M226" s="86">
        <v>10.920154</v>
      </c>
      <c r="N226" s="94">
        <v>7.0807121532585802</v>
      </c>
      <c r="O226" s="86">
        <v>9.5715430000000001</v>
      </c>
      <c r="P226" s="94">
        <v>4.8120595059037301</v>
      </c>
    </row>
    <row r="227" spans="13:16">
      <c r="M227" s="86">
        <v>10.933846000000001</v>
      </c>
      <c r="N227" s="94">
        <v>7.1654679631246108</v>
      </c>
      <c r="O227" s="86">
        <v>9.5882839999999998</v>
      </c>
      <c r="P227" s="94">
        <v>4.8762226040483023</v>
      </c>
    </row>
    <row r="228" spans="13:16">
      <c r="M228" s="86">
        <v>10.947388999999999</v>
      </c>
      <c r="N228" s="94">
        <v>7.2508110879979872</v>
      </c>
      <c r="O228" s="86">
        <v>9.6056950000000008</v>
      </c>
      <c r="P228" s="94">
        <v>4.9403851021928702</v>
      </c>
    </row>
    <row r="229" spans="13:16">
      <c r="M229" s="86">
        <v>10.960526</v>
      </c>
      <c r="N229" s="94">
        <v>7.3370012728812553</v>
      </c>
      <c r="O229" s="86">
        <v>9.6225609999999993</v>
      </c>
      <c r="P229" s="94">
        <v>5.00554647049902</v>
      </c>
    </row>
    <row r="230" spans="13:16">
      <c r="M230" s="86">
        <v>10.974074</v>
      </c>
      <c r="N230" s="94">
        <v>7.4231914527645237</v>
      </c>
      <c r="O230" s="86">
        <v>9.6375279999999997</v>
      </c>
      <c r="P230" s="94">
        <v>5.0726594291210185</v>
      </c>
    </row>
    <row r="231" spans="13:16">
      <c r="M231" s="86">
        <v>10.988059</v>
      </c>
      <c r="N231" s="94">
        <v>7.5093813426477922</v>
      </c>
      <c r="O231" s="86">
        <v>9.6530290000000001</v>
      </c>
      <c r="P231" s="94">
        <v>5.1397728277430152</v>
      </c>
    </row>
    <row r="232" spans="13:16">
      <c r="M232" s="86">
        <v>11.0010195</v>
      </c>
      <c r="N232" s="94">
        <v>7.5970988775465607</v>
      </c>
      <c r="O232" s="86">
        <v>9.6691050000000001</v>
      </c>
      <c r="P232" s="94">
        <v>5.2068855063650137</v>
      </c>
    </row>
    <row r="233" spans="13:16">
      <c r="M233" s="86">
        <v>11.014296999999999</v>
      </c>
      <c r="N233" s="94">
        <v>7.6848983324461635</v>
      </c>
      <c r="O233" s="86">
        <v>9.6857980000000001</v>
      </c>
      <c r="P233" s="94">
        <v>5.2739984749870121</v>
      </c>
    </row>
    <row r="234" spans="13:16">
      <c r="M234" s="86">
        <v>11.027991999999999</v>
      </c>
      <c r="N234" s="94">
        <v>7.7726973823457666</v>
      </c>
      <c r="O234" s="86">
        <v>9.7023650000000004</v>
      </c>
      <c r="P234" s="94">
        <v>5.3417458236881075</v>
      </c>
    </row>
    <row r="235" spans="13:16">
      <c r="M235" s="86">
        <v>11.040559999999999</v>
      </c>
      <c r="N235" s="94">
        <v>7.8622808672596465</v>
      </c>
      <c r="O235" s="86">
        <v>9.7176109999999998</v>
      </c>
      <c r="P235" s="94">
        <v>5.4110162825792045</v>
      </c>
    </row>
    <row r="236" spans="13:16">
      <c r="M236" s="86">
        <v>11.052891000000001</v>
      </c>
      <c r="N236" s="94">
        <v>7.9525390821789248</v>
      </c>
      <c r="O236" s="86">
        <v>9.7334119999999995</v>
      </c>
      <c r="P236" s="94">
        <v>5.4802871614703017</v>
      </c>
    </row>
    <row r="237" spans="13:16">
      <c r="M237" s="86">
        <v>11.065581</v>
      </c>
      <c r="N237" s="94">
        <v>8.0427970020982045</v>
      </c>
      <c r="O237" s="86">
        <v>9.7485110000000006</v>
      </c>
      <c r="P237" s="94">
        <v>5.5506490404736706</v>
      </c>
    </row>
    <row r="238" spans="13:16">
      <c r="M238" s="86">
        <v>11.078654</v>
      </c>
      <c r="N238" s="94">
        <v>8.1330554120174821</v>
      </c>
      <c r="O238" s="86">
        <v>9.763757</v>
      </c>
      <c r="P238" s="94">
        <v>5.621333249510255</v>
      </c>
    </row>
    <row r="239" spans="13:16">
      <c r="M239" s="86">
        <v>11.092133499999999</v>
      </c>
      <c r="N239" s="94">
        <v>8.2233128319367612</v>
      </c>
      <c r="O239" s="86">
        <v>9.7789850000000005</v>
      </c>
      <c r="P239" s="94">
        <v>5.692539538591058</v>
      </c>
    </row>
    <row r="240" spans="13:16">
      <c r="M240" s="86">
        <v>11.106045</v>
      </c>
      <c r="N240" s="94">
        <v>8.3135712518560396</v>
      </c>
      <c r="O240" s="86">
        <v>9.7793310000000009</v>
      </c>
      <c r="P240" s="94">
        <v>5.6922102585647707</v>
      </c>
    </row>
    <row r="241" spans="13:16">
      <c r="M241" s="86">
        <v>11.119631999999999</v>
      </c>
      <c r="N241" s="94">
        <v>8.404768617780908</v>
      </c>
      <c r="O241" s="86">
        <v>9.7943610000000003</v>
      </c>
      <c r="P241" s="94">
        <v>5.7640302677040118</v>
      </c>
    </row>
    <row r="242" spans="13:16">
      <c r="M242" s="86">
        <v>11.131570999999999</v>
      </c>
      <c r="N242" s="94">
        <v>8.4983932977202237</v>
      </c>
      <c r="O242" s="86">
        <v>9.8091989999999996</v>
      </c>
      <c r="P242" s="94">
        <v>5.8364947868953188</v>
      </c>
    </row>
    <row r="243" spans="13:16">
      <c r="M243" s="86">
        <v>11.143846999999999</v>
      </c>
      <c r="N243" s="94">
        <v>8.5920169816595386</v>
      </c>
      <c r="O243" s="86">
        <v>9.8235860000000006</v>
      </c>
      <c r="P243" s="94">
        <v>5.9098377961531074</v>
      </c>
    </row>
    <row r="244" spans="13:16">
      <c r="M244" s="86">
        <v>11.156480999999999</v>
      </c>
      <c r="N244" s="94">
        <v>8.6856416655988546</v>
      </c>
      <c r="O244" s="86">
        <v>9.8384660000000004</v>
      </c>
      <c r="P244" s="94">
        <v>5.9831808154108961</v>
      </c>
    </row>
    <row r="245" spans="13:16">
      <c r="M245" s="86">
        <v>11.169494</v>
      </c>
      <c r="N245" s="94">
        <v>8.779266351538169</v>
      </c>
      <c r="O245" s="86">
        <v>9.8534970000000008</v>
      </c>
      <c r="P245" s="94">
        <v>6.0568740546919955</v>
      </c>
    </row>
    <row r="246" spans="13:16">
      <c r="M246" s="86">
        <v>11.182907999999999</v>
      </c>
      <c r="N246" s="94">
        <v>8.8728910314774847</v>
      </c>
      <c r="O246" s="86">
        <v>9.8676619999999993</v>
      </c>
      <c r="P246" s="94">
        <v>6.1318269440569004</v>
      </c>
    </row>
    <row r="247" spans="13:16">
      <c r="M247" s="86">
        <v>11.19675</v>
      </c>
      <c r="N247" s="94">
        <v>8.9665147114168011</v>
      </c>
      <c r="O247" s="86">
        <v>9.8823059999999998</v>
      </c>
      <c r="P247" s="94">
        <v>6.2067801134218055</v>
      </c>
    </row>
    <row r="248" spans="13:16">
      <c r="M248" s="86">
        <v>11.208796</v>
      </c>
      <c r="N248" s="94">
        <v>9.0630433913681365</v>
      </c>
      <c r="O248" s="86">
        <v>9.8968299999999996</v>
      </c>
      <c r="P248" s="94">
        <v>6.2823626828204642</v>
      </c>
    </row>
    <row r="249" spans="13:16">
      <c r="M249" s="86">
        <v>11.22072</v>
      </c>
      <c r="N249" s="94">
        <v>9.1601559013218932</v>
      </c>
      <c r="O249" s="86">
        <v>9.9100319999999993</v>
      </c>
      <c r="P249" s="94">
        <v>6.3597095823136991</v>
      </c>
    </row>
    <row r="250" spans="13:16">
      <c r="M250" s="86">
        <v>11.232983000000001</v>
      </c>
      <c r="N250" s="94">
        <v>9.2572704172756506</v>
      </c>
      <c r="O250" s="86">
        <v>9.923648</v>
      </c>
      <c r="P250" s="94">
        <v>6.4370568718069343</v>
      </c>
    </row>
    <row r="251" spans="13:16">
      <c r="M251" s="86">
        <v>11.2456</v>
      </c>
      <c r="N251" s="94">
        <v>9.3543839212294078</v>
      </c>
      <c r="O251" s="86">
        <v>9.9377049999999993</v>
      </c>
      <c r="P251" s="94">
        <v>6.5144034713001711</v>
      </c>
    </row>
    <row r="252" spans="13:16">
      <c r="M252" s="86">
        <v>11.258595</v>
      </c>
      <c r="N252" s="94">
        <v>9.4514964371831649</v>
      </c>
      <c r="O252" s="86">
        <v>9.9522309999999994</v>
      </c>
      <c r="P252" s="94">
        <v>6.591750070793406</v>
      </c>
    </row>
    <row r="253" spans="13:16">
      <c r="M253" s="86">
        <v>11.271991999999999</v>
      </c>
      <c r="N253" s="94">
        <v>9.5486099511369229</v>
      </c>
      <c r="O253" s="86">
        <v>9.9672610000000006</v>
      </c>
      <c r="P253" s="94">
        <v>6.6690976602866421</v>
      </c>
    </row>
    <row r="254" spans="13:16">
      <c r="M254" s="86">
        <v>11.284833000000001</v>
      </c>
      <c r="N254" s="94">
        <v>9.6471233510948338</v>
      </c>
      <c r="O254" s="86">
        <v>9.9817250000000008</v>
      </c>
      <c r="P254" s="94">
        <v>6.7475668698257634</v>
      </c>
    </row>
    <row r="255" spans="13:16">
      <c r="M255" s="86">
        <v>11.29646</v>
      </c>
      <c r="N255" s="94">
        <v>9.7478677710593633</v>
      </c>
      <c r="O255" s="86">
        <v>9.9946020000000004</v>
      </c>
      <c r="P255" s="94">
        <v>6.8280872294486974</v>
      </c>
    </row>
    <row r="256" spans="13:16" ht="15" thickBot="1">
      <c r="M256" s="143">
        <v>11.308407000000001</v>
      </c>
      <c r="N256" s="144">
        <v>9.8486111850238931</v>
      </c>
      <c r="O256" s="86">
        <v>10.0078745</v>
      </c>
      <c r="P256" s="94">
        <v>6.90860708907163</v>
      </c>
    </row>
    <row r="257" spans="15:16">
      <c r="O257" s="86">
        <v>10.0215645</v>
      </c>
      <c r="P257" s="94">
        <v>6.9891273486945629</v>
      </c>
    </row>
    <row r="258" spans="15:16">
      <c r="O258" s="86">
        <v>10.035701</v>
      </c>
      <c r="P258" s="94">
        <v>7.0696476383174964</v>
      </c>
    </row>
    <row r="259" spans="15:16">
      <c r="O259" s="86">
        <v>10.050312</v>
      </c>
      <c r="P259" s="94">
        <v>7.150167907940431</v>
      </c>
    </row>
    <row r="260" spans="15:16">
      <c r="O260" s="86">
        <v>10.064131</v>
      </c>
      <c r="P260" s="94">
        <v>7.2320987476045469</v>
      </c>
    </row>
    <row r="261" spans="15:16">
      <c r="O261" s="86">
        <v>10.07673</v>
      </c>
      <c r="P261" s="94">
        <v>7.315792237320121</v>
      </c>
    </row>
    <row r="262" spans="15:16">
      <c r="O262" s="86">
        <v>10.089705</v>
      </c>
      <c r="P262" s="94">
        <v>7.3994858270356954</v>
      </c>
    </row>
    <row r="263" spans="15:16">
      <c r="O263" s="86">
        <v>10.10308</v>
      </c>
      <c r="P263" s="94">
        <v>7.4831793067512686</v>
      </c>
    </row>
    <row r="264" spans="15:16">
      <c r="O264" s="86">
        <v>10.11688</v>
      </c>
      <c r="P264" s="94">
        <v>7.5668728964668412</v>
      </c>
    </row>
    <row r="265" spans="15:16">
      <c r="O265" s="86">
        <v>10.131133</v>
      </c>
      <c r="P265" s="94">
        <v>7.6505663861824154</v>
      </c>
    </row>
    <row r="266" spans="15:16">
      <c r="O266" s="86">
        <v>10.144394</v>
      </c>
      <c r="P266" s="94">
        <v>7.7359712059346304</v>
      </c>
    </row>
    <row r="267" spans="15:16">
      <c r="O267" s="86">
        <v>10.1567545</v>
      </c>
      <c r="P267" s="94">
        <v>7.8228619257186516</v>
      </c>
    </row>
    <row r="268" spans="15:16">
      <c r="O268" s="86">
        <v>10.169477000000001</v>
      </c>
      <c r="P268" s="94">
        <v>7.909752465502673</v>
      </c>
    </row>
    <row r="269" spans="15:16">
      <c r="O269" s="86">
        <v>10.182585</v>
      </c>
      <c r="P269" s="94">
        <v>7.9966433052866943</v>
      </c>
    </row>
    <row r="270" spans="15:16">
      <c r="O270" s="86">
        <v>10.196099</v>
      </c>
      <c r="P270" s="94">
        <v>8.0835337250707155</v>
      </c>
    </row>
    <row r="271" spans="15:16">
      <c r="O271" s="86">
        <v>10.210049</v>
      </c>
      <c r="P271" s="94">
        <v>8.170424564854736</v>
      </c>
    </row>
    <row r="272" spans="15:16">
      <c r="O272" s="86">
        <v>10.223189</v>
      </c>
      <c r="P272" s="94">
        <v>8.2588322746633285</v>
      </c>
    </row>
    <row r="273" spans="15:16">
      <c r="O273" s="86">
        <v>10.235958</v>
      </c>
      <c r="P273" s="94">
        <v>8.3481486044865925</v>
      </c>
    </row>
    <row r="274" spans="15:16">
      <c r="O274" s="86">
        <v>10.249114000000001</v>
      </c>
      <c r="P274" s="94">
        <v>8.4374639143098591</v>
      </c>
    </row>
    <row r="275" spans="15:16">
      <c r="O275" s="86">
        <v>10.261829000000001</v>
      </c>
      <c r="P275" s="94">
        <v>8.5278775041476109</v>
      </c>
    </row>
    <row r="276" spans="15:16">
      <c r="O276" s="86">
        <v>10.2745</v>
      </c>
      <c r="P276" s="94">
        <v>8.6188292739924552</v>
      </c>
    </row>
    <row r="277" spans="15:16">
      <c r="O277" s="86">
        <v>10.28755</v>
      </c>
      <c r="P277" s="94">
        <v>8.7097800338372977</v>
      </c>
    </row>
    <row r="278" spans="15:16">
      <c r="O278" s="86">
        <v>10.299721</v>
      </c>
      <c r="P278" s="94">
        <v>8.802517403701227</v>
      </c>
    </row>
    <row r="279" spans="15:16">
      <c r="O279" s="86">
        <v>10.311721</v>
      </c>
      <c r="P279" s="94">
        <v>8.8959586435726958</v>
      </c>
    </row>
    <row r="280" spans="15:16">
      <c r="O280" s="86">
        <v>10.324062</v>
      </c>
      <c r="P280" s="94">
        <v>8.9894008734441666</v>
      </c>
    </row>
    <row r="281" spans="15:16">
      <c r="O281" s="86">
        <v>10.336765</v>
      </c>
      <c r="P281" s="94">
        <v>9.0828421033156364</v>
      </c>
    </row>
    <row r="282" spans="15:16">
      <c r="O282" s="86">
        <v>10.34985</v>
      </c>
      <c r="P282" s="94">
        <v>9.1762843331871053</v>
      </c>
    </row>
    <row r="283" spans="15:16">
      <c r="O283" s="86">
        <v>10.363341</v>
      </c>
      <c r="P283" s="94">
        <v>9.2697255630585751</v>
      </c>
    </row>
    <row r="284" spans="15:16">
      <c r="O284" s="86">
        <v>10.375344</v>
      </c>
      <c r="P284" s="94">
        <v>9.3659078129527895</v>
      </c>
    </row>
    <row r="285" spans="15:16">
      <c r="O285" s="86">
        <v>10.387218000000001</v>
      </c>
      <c r="P285" s="94">
        <v>9.4627430328524209</v>
      </c>
    </row>
    <row r="286" spans="15:16">
      <c r="O286" s="86">
        <v>10.399426</v>
      </c>
      <c r="P286" s="94">
        <v>9.5595772627520539</v>
      </c>
    </row>
    <row r="287" spans="15:16">
      <c r="O287" s="86">
        <v>10.411987</v>
      </c>
      <c r="P287" s="94">
        <v>9.6564115026516859</v>
      </c>
    </row>
    <row r="288" spans="15:16">
      <c r="O288" s="86">
        <v>10.424922</v>
      </c>
      <c r="P288" s="94">
        <v>9.7532467225513173</v>
      </c>
    </row>
    <row r="289" spans="15:16">
      <c r="O289" s="86">
        <v>10.438254000000001</v>
      </c>
      <c r="P289" s="94">
        <v>9.8500809424509512</v>
      </c>
    </row>
    <row r="290" spans="15:16">
      <c r="O290" s="86">
        <v>10.449952</v>
      </c>
      <c r="P290" s="94">
        <v>9.9500558723696422</v>
      </c>
    </row>
    <row r="291" spans="15:16">
      <c r="O291" s="86">
        <v>10.461734999999999</v>
      </c>
      <c r="P291" s="94">
        <v>10.050386302290489</v>
      </c>
    </row>
    <row r="292" spans="15:16">
      <c r="O292" s="86">
        <v>10.473846</v>
      </c>
      <c r="P292" s="94">
        <v>10.150715232211336</v>
      </c>
    </row>
    <row r="293" spans="15:16">
      <c r="O293" s="86">
        <v>10.486305</v>
      </c>
      <c r="P293" s="94">
        <v>10.251046152132185</v>
      </c>
    </row>
    <row r="294" spans="15:16">
      <c r="O294" s="86">
        <v>10.499131999999999</v>
      </c>
      <c r="P294" s="94">
        <v>10.351375092053031</v>
      </c>
    </row>
    <row r="295" spans="15:16">
      <c r="O295" s="86">
        <v>10.51235</v>
      </c>
      <c r="P295" s="94">
        <v>10.451706001973879</v>
      </c>
    </row>
    <row r="296" spans="15:16">
      <c r="O296" s="86">
        <v>10.52379</v>
      </c>
      <c r="P296" s="94">
        <v>10.555610161910979</v>
      </c>
    </row>
    <row r="297" spans="15:16">
      <c r="O297" s="86">
        <v>10.535515</v>
      </c>
      <c r="P297" s="94">
        <v>10.659554841848255</v>
      </c>
    </row>
    <row r="298" spans="15:16">
      <c r="O298" s="86">
        <v>10.547565000000001</v>
      </c>
      <c r="P298" s="94">
        <v>10.763499511785533</v>
      </c>
    </row>
    <row r="299" spans="15:16">
      <c r="O299" s="86">
        <v>10.559958999999999</v>
      </c>
      <c r="P299" s="94">
        <v>10.867443191722808</v>
      </c>
    </row>
    <row r="300" spans="15:16" ht="15" thickBot="1">
      <c r="O300" s="143">
        <v>10.572718</v>
      </c>
      <c r="P300" s="144">
        <v>10.971387851660085</v>
      </c>
    </row>
  </sheetData>
  <mergeCells count="21">
    <mergeCell ref="G33:H33"/>
    <mergeCell ref="B5:E5"/>
    <mergeCell ref="G5:L5"/>
    <mergeCell ref="M5:R5"/>
    <mergeCell ref="B6:B7"/>
    <mergeCell ref="C6:E6"/>
    <mergeCell ref="G6:H6"/>
    <mergeCell ref="I6:J6"/>
    <mergeCell ref="K6:L6"/>
    <mergeCell ref="M6:N7"/>
    <mergeCell ref="O6:P7"/>
    <mergeCell ref="Q6:R7"/>
    <mergeCell ref="G7:H7"/>
    <mergeCell ref="I7:J7"/>
    <mergeCell ref="K7:L7"/>
    <mergeCell ref="B2:E2"/>
    <mergeCell ref="G2:R2"/>
    <mergeCell ref="B3:E3"/>
    <mergeCell ref="G3:R3"/>
    <mergeCell ref="B4:E4"/>
    <mergeCell ref="G4:R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Description of document</vt:lpstr>
      <vt:lpstr>Table 1</vt:lpstr>
      <vt:lpstr>Table 2</vt:lpstr>
      <vt:lpstr>Table 3</vt:lpstr>
      <vt:lpstr>Table 4</vt:lpstr>
      <vt:lpstr>Table 5</vt:lpstr>
      <vt:lpstr>Table 6</vt:lpstr>
      <vt:lpstr>Table 7</vt:lpstr>
      <vt:lpstr>Table 8</vt:lpstr>
      <vt:lpstr>Figure 4</vt:lpstr>
      <vt:lpstr>Figure 5</vt:lpstr>
      <vt:lpstr>Figure 6</vt:lpstr>
      <vt:lpstr>Figure 7</vt:lpstr>
      <vt:lpstr>Figure 8</vt:lpstr>
      <vt:lpstr>Figure 9</vt:lpstr>
      <vt:lpstr>Figure 10</vt:lpstr>
      <vt:lpstr>Figure 11</vt:lpstr>
      <vt:lpstr>Figure 12</vt:lpstr>
      <vt:lpstr>Figure 13</vt:lpstr>
      <vt:lpstr>Figure 14</vt:lpstr>
      <vt:lpstr>Figure 16</vt:lpstr>
      <vt:lpstr>Figure 17</vt:lpstr>
      <vt:lpstr>Figure 18</vt:lpstr>
      <vt:lpstr>Figure 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Alyazidi, Ahmed M A</dc:creator>
  <cp:lastModifiedBy>Dewa Made Arie Sutha Utama</cp:lastModifiedBy>
  <cp:lastPrinted>2024-10-23T12:07:41Z</cp:lastPrinted>
  <dcterms:created xsi:type="dcterms:W3CDTF">2015-06-05T18:17:20Z</dcterms:created>
  <dcterms:modified xsi:type="dcterms:W3CDTF">2025-11-19T06:21:16Z</dcterms:modified>
</cp:coreProperties>
</file>